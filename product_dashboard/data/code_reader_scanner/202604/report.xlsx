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worksheets/sheet9.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0.xml" ContentType="application/vnd.openxmlformats-officedocument.spreadsheetml.worksheet+xml"/>
  <Override PartName="/xl/tables/table18.xml" ContentType="application/vnd.openxmlformats-officedocument.spreadsheetml.table+xml"/>
  <Override PartName="/xl/worksheets/sheet11.xml" ContentType="application/vnd.openxmlformats-officedocument.spreadsheetml.worksheet+xml"/>
  <Override PartName="/xl/tables/table19.xml" ContentType="application/vnd.openxmlformats-officedocument.spreadsheetml.table+xml"/>
  <Override PartName="/xl/worksheets/sheet12.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worksheets/sheet13.xml" ContentType="application/vnd.openxmlformats-officedocument.spreadsheetml.worksheet+xml"/>
  <Override PartName="/xl/tables/table22.xml" ContentType="application/vnd.openxmlformats-officedocument.spreadsheetml.table+xml"/>
  <Override PartName="/xl/worksheets/sheet14.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15.xml" ContentType="application/vnd.openxmlformats-officedocument.spreadsheetml.worksheet+xml"/>
  <Override PartName="/xl/tables/table25.xml" ContentType="application/vnd.openxmlformats-officedocument.spreadsheetml.table+xml"/>
  <Override PartName="/xl/worksheets/sheet16.xml" ContentType="application/vnd.openxmlformats-officedocument.spreadsheetml.worksheet+xml"/>
  <Override PartName="/xl/tables/table26.xml" ContentType="application/vnd.openxmlformats-officedocument.spreadsheetml.table+xml"/>
  <Override PartName="/xl/worksheets/sheet17.xml" ContentType="application/vnd.openxmlformats-officedocument.spreadsheetml.worksheet+xml"/>
  <Override PartName="/xl/tables/table27.xml" ContentType="application/vnd.openxmlformats-officedocument.spreadsheetml.table+xml"/>
  <Override PartName="/xl/worksheets/sheet18.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worksheets/sheet1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worksheets/sheet20.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worksheets/sheet21.xml" ContentType="application/vnd.openxmlformats-officedocument.spreadsheetml.worksheet+xml"/>
  <Override PartName="/xl/tables/table34.xml" ContentType="application/vnd.openxmlformats-officedocument.spreadsheetml.table+xml"/>
  <Override PartName="/xl/tables/table35.xml" ContentType="application/vnd.openxmlformats-officedocument.spreadsheetml.table+xml"/>
  <Override PartName="/xl/worksheets/sheet22.xml" ContentType="application/vnd.openxmlformats-officedocument.spreadsheetml.worksheet+xml"/>
  <Override PartName="/xl/tables/table36.xml" ContentType="application/vnd.openxmlformats-officedocument.spreadsheetml.table+xml"/>
  <Override PartName="/xl/tables/table37.xml" ContentType="application/vnd.openxmlformats-officedocument.spreadsheetml.table+xml"/>
  <Override PartName="/xl/worksheets/sheet23.xml" ContentType="application/vnd.openxmlformats-officedocument.spreadsheetml.worksheet+xml"/>
  <Override PartName="/xl/tables/table38.xml" ContentType="application/vnd.openxmlformats-officedocument.spreadsheetml.table+xml"/>
  <Override PartName="/xl/worksheets/sheet24.xml" ContentType="application/vnd.openxmlformats-officedocument.spreadsheetml.worksheet+xml"/>
  <Override PartName="/xl/tables/table39.xml" ContentType="application/vnd.openxmlformats-officedocument.spreadsheetml.table+xml"/>
  <Override PartName="/xl/tables/table40.xml" ContentType="application/vnd.openxmlformats-officedocument.spreadsheetml.table+xml"/>
  <Override PartName="/xl/worksheets/sheet25.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worksheets/sheet26.xml" ContentType="application/vnd.openxmlformats-officedocument.spreadsheetml.worksheet+xml"/>
  <Override PartName="/xl/tables/table43.xml" ContentType="application/vnd.openxmlformats-officedocument.spreadsheetml.table+xml"/>
  <Override PartName="/xl/worksheets/sheet27.xml" ContentType="application/vnd.openxmlformats-officedocument.spreadsheetml.worksheet+xml"/>
  <Override PartName="/xl/tables/table44.xml" ContentType="application/vnd.openxmlformats-officedocument.spreadsheetml.table+xml"/>
  <Override PartName="/xl/tables/table45.xml" ContentType="application/vnd.openxmlformats-officedocument.spreadsheetml.table+xml"/>
  <Override PartName="/xl/worksheets/sheet28.xml" ContentType="application/vnd.openxmlformats-officedocument.spreadsheetml.worksheet+xml"/>
  <Override PartName="/xl/drawings/drawing1.xml" ContentType="application/vnd.openxmlformats-officedocument.drawing+xml"/>
  <Override PartName="/xl/tables/table4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060" yWindow="1240" windowWidth="26060" windowHeight="21100" tabRatio="600" firstSheet="0" activeTab="1" autoFilterDateGrouping="1"/>
  </bookViews>
  <sheets>
    <sheet name="Summary" sheetId="1" state="visible" r:id="rId1"/>
    <sheet name="Rolling 12 mo" sheetId="2" state="visible" r:id="rId2"/>
    <sheet name="Top 50" sheetId="3" state="visible" r:id="rId3"/>
    <sheet name="Innova" sheetId="4" state="visible" r:id="rId4"/>
    <sheet name="Innova 1P" sheetId="5" state="visible" r:id="rId5"/>
    <sheet name="Innova 3P" sheetId="6" state="visible" r:id="rId6"/>
    <sheet name="BLCKTEC" sheetId="7" state="visible" r:id="rId7"/>
    <sheet name="Ancel" sheetId="8" state="visible" r:id="rId8"/>
    <sheet name="Autel" sheetId="9" state="visible" r:id="rId9"/>
    <sheet name="Bluedriver" sheetId="10" state="visible" r:id="rId10"/>
    <sheet name="Diesel Laptops" sheetId="11" state="visible" r:id="rId11"/>
    <sheet name="FIXD" sheetId="12" state="visible" r:id="rId12"/>
    <sheet name="Foxwell" sheetId="13" state="visible" r:id="rId13"/>
    <sheet name="Generic" sheetId="14" state="visible" r:id="rId14"/>
    <sheet name="iCarsoft" sheetId="15" state="visible" r:id="rId15"/>
    <sheet name="KINGBOLEN" sheetId="16" state="visible" r:id="rId16"/>
    <sheet name="Launch" sheetId="17" state="visible" r:id="rId17"/>
    <sheet name="Mucar" sheetId="18" state="visible" r:id="rId18"/>
    <sheet name="OBDeleven" sheetId="19" state="visible" r:id="rId19"/>
    <sheet name="OBDLink" sheetId="20" state="visible" r:id="rId20"/>
    <sheet name="OPUS | IVS" sheetId="21" state="visible" r:id="rId21"/>
    <sheet name="OTOFIX" sheetId="22" state="visible" r:id="rId22"/>
    <sheet name="Thinkcar" sheetId="23" state="visible" r:id="rId23"/>
    <sheet name="TOPDON" sheetId="24" state="visible" r:id="rId24"/>
    <sheet name="Veepeak" sheetId="25" state="visible" r:id="rId25"/>
    <sheet name="Vgate" sheetId="26" state="visible" r:id="rId26"/>
    <sheet name="XTOOL" sheetId="27" state="visible" r:id="rId27"/>
    <sheet name="Z Automotive" sheetId="28" state="visible" r:id="rId28"/>
  </sheets>
  <definedNames/>
  <calcPr calcId="191029" calcMode="auto" fullCalcOnLoad="1" forceFullCalc="1"/>
</workbook>
</file>

<file path=xl/styles.xml><?xml version="1.0" encoding="utf-8"?>
<styleSheet xmlns="http://schemas.openxmlformats.org/spreadsheetml/2006/main">
  <numFmts count="8">
    <numFmt numFmtId="164" formatCode="&quot;$&quot;#,##0"/>
    <numFmt numFmtId="165" formatCode="#,##0.0"/>
    <numFmt numFmtId="166" formatCode="\$#,##0.00"/>
    <numFmt numFmtId="167" formatCode="&quot;$&quot;#,##0.00"/>
    <numFmt numFmtId="168" formatCode="0.0"/>
    <numFmt numFmtId="169" formatCode="&quot;$&quot;#,##0.00_);[Red]\(&quot;$&quot;#,##0.00\)"/>
    <numFmt numFmtId="170" formatCode="&quot;$&quot;#,##0_);[Red]\(&quot;$&quot;#,##0\)"/>
    <numFmt numFmtId="171" formatCode="_(* #,##0_);_(* \(#,##0\);_(* &quot;-&quot;??_);_(@_)"/>
  </numFmts>
  <fonts count="51">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b val="1"/>
      <color rgb="FF000000"/>
      <sz val="21"/>
    </font>
    <font>
      <name val="Arial"/>
      <family val="2"/>
      <b val="1"/>
      <color rgb="FF000000"/>
      <sz val="10"/>
    </font>
    <font>
      <name val="Calibri"/>
      <family val="2"/>
      <b val="1"/>
      <color rgb="FF000000"/>
      <sz val="10"/>
      <scheme val="minor"/>
    </font>
    <font>
      <name val="Calibri"/>
      <family val="2"/>
      <color rgb="FF000000"/>
      <sz val="10"/>
      <scheme val="minor"/>
    </font>
    <font>
      <name val="Arial"/>
      <family val="2"/>
      <color rgb="FF000000"/>
      <sz val="10"/>
    </font>
    <font>
      <name val="Arial"/>
      <family val="2"/>
      <color theme="1"/>
      <sz val="10"/>
    </font>
    <font>
      <name val="Calibri"/>
      <family val="2"/>
      <b val="1"/>
      <color theme="1"/>
      <sz val="12"/>
    </font>
    <font>
      <name val="Calibri"/>
      <family val="2"/>
      <b val="1"/>
      <color theme="1"/>
      <sz val="11"/>
    </font>
    <font>
      <name val="Calibri"/>
      <family val="2"/>
      <color theme="1"/>
      <sz val="36"/>
    </font>
    <font>
      <name val="Calibri"/>
      <family val="2"/>
      <color theme="10"/>
      <sz val="12"/>
      <u val="single"/>
      <scheme val="minor"/>
    </font>
    <font>
      <name val="Calibri"/>
      <family val="2"/>
      <sz val="10"/>
    </font>
    <font>
      <name val="Calibri"/>
      <family val="2"/>
      <b val="1"/>
      <color theme="1"/>
      <sz val="24"/>
    </font>
    <font>
      <name val="Calibri"/>
      <family val="2"/>
      <b val="1"/>
      <color theme="1"/>
      <sz val="22"/>
    </font>
    <font>
      <name val="Calibri"/>
      <family val="2"/>
      <color theme="1"/>
      <sz val="10"/>
    </font>
    <font>
      <name val="Calibri"/>
      <family val="2"/>
      <color rgb="FFFF0000"/>
      <sz val="12"/>
      <scheme val="minor"/>
    </font>
    <font>
      <name val="Calibri"/>
      <family val="2"/>
      <sz val="8"/>
      <scheme val="minor"/>
    </font>
    <font>
      <name val="Calibri"/>
      <family val="2"/>
      <color theme="1"/>
      <sz val="12"/>
    </font>
    <font>
      <name val="Calibri"/>
      <family val="2"/>
      <b val="1"/>
      <sz val="12"/>
    </font>
    <font>
      <name val="Calibri"/>
      <family val="2"/>
      <color rgb="FF0000FF"/>
      <sz val="10"/>
      <u val="single"/>
    </font>
    <font>
      <name val="Arial"/>
      <family val="2"/>
      <sz val="10"/>
    </font>
    <font>
      <name val="Arial"/>
      <family val="2"/>
      <b val="1"/>
      <sz val="10"/>
    </font>
    <font>
      <name val="Calibri"/>
      <family val="2"/>
      <color rgb="FF0000FF"/>
      <sz val="12"/>
      <u val="single"/>
    </font>
    <font>
      <name val="Calibri"/>
      <family val="2"/>
      <b val="1"/>
      <color theme="1"/>
      <sz val="36"/>
    </font>
    <font>
      <name val="Calibri"/>
      <family val="2"/>
      <color theme="1"/>
      <sz val="12"/>
      <scheme val="minor"/>
    </font>
    <font>
      <name val="Calibri"/>
      <family val="2"/>
      <b val="1"/>
      <color theme="1"/>
      <sz val="10"/>
    </font>
    <font>
      <name val="Calibri"/>
      <family val="2"/>
      <color theme="10"/>
      <sz val="12"/>
      <u val="single"/>
    </font>
    <font>
      <name val="Calibri"/>
      <family val="2"/>
      <b val="1"/>
      <color theme="10"/>
      <sz val="12"/>
      <u val="single"/>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scheme val="minor"/>
    </font>
    <font>
      <name val="Calibri"/>
      <family val="2"/>
      <color rgb="FF0070C0"/>
      <sz val="12"/>
      <u val="single"/>
      <scheme val="minor"/>
    </font>
    <font>
      <name val="Calibri (Body)"/>
      <color rgb="FFFF0000"/>
      <sz val="10"/>
    </font>
    <font>
      <name val="Calibri (Body)"/>
      <color theme="1"/>
      <sz val="10"/>
    </font>
    <font>
      <name val="Calibri (Body)"/>
      <color theme="4"/>
      <sz val="10"/>
    </font>
    <font>
      <name val="Calibri"/>
      <family val="2"/>
      <color theme="4"/>
      <sz val="10"/>
      <scheme val="minor"/>
    </font>
    <font>
      <name val="Arial"/>
      <family val="2"/>
      <color theme="4"/>
      <sz val="10"/>
    </font>
    <font>
      <name val="Calibri"/>
      <family val="2"/>
      <color theme="4"/>
      <sz val="12"/>
      <scheme val="minor"/>
    </font>
    <font>
      <name val="Calibri"/>
      <family val="2"/>
      <color theme="4"/>
      <sz val="12"/>
      <u val="single"/>
      <scheme val="minor"/>
    </font>
    <font>
      <name val="Calibri (Body)"/>
      <color rgb="FFFF0000"/>
      <sz val="12"/>
    </font>
    <font>
      <name val="Calibri (Body)"/>
      <color theme="4"/>
      <sz val="12"/>
    </font>
    <font>
      <name val="Calibri"/>
      <family val="2"/>
      <b val="1"/>
      <color rgb="FF0000FF"/>
      <sz val="12"/>
      <u val="single"/>
    </font>
    <font>
      <name val="Calibri"/>
      <family val="2"/>
      <color theme="10"/>
      <sz val="10"/>
      <u val="single"/>
    </font>
  </fonts>
  <fills count="10">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rgb="FFDAD2E9"/>
        <bgColor theme="6" tint="0.7999816888943144"/>
      </patternFill>
    </fill>
    <fill>
      <patternFill patternType="solid">
        <fgColor rgb="FFEDEDED"/>
        <bgColor rgb="FFEDEDED"/>
      </patternFill>
    </fill>
    <fill>
      <patternFill patternType="solid">
        <fgColor rgb="FFDAD2E9"/>
        <bgColor rgb="FF000000"/>
      </patternFill>
    </fill>
  </fills>
  <borders count="13">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thin">
        <color theme="6"/>
      </bottom>
      <diagonal/>
    </border>
    <border>
      <left/>
      <right/>
      <top style="double">
        <color indexed="64"/>
      </top>
      <bottom/>
      <diagonal/>
    </border>
    <border>
      <left style="thin">
        <color indexed="64"/>
      </left>
      <right style="thin">
        <color theme="6"/>
      </right>
      <top/>
      <bottom style="thin">
        <color theme="6"/>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s>
  <cellStyleXfs count="4">
    <xf numFmtId="0" fontId="31" fillId="0" borderId="0"/>
    <xf numFmtId="0" fontId="17" fillId="0" borderId="0"/>
    <xf numFmtId="43" fontId="31" fillId="0" borderId="0"/>
    <xf numFmtId="9" fontId="31" fillId="0" borderId="0"/>
  </cellStyleXfs>
  <cellXfs count="370">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12" fillId="0" borderId="0" pivotButton="0" quotePrefix="0" xfId="0"/>
    <xf numFmtId="0" fontId="12" fillId="0" borderId="0" applyAlignment="1" pivotButton="0" quotePrefix="0" xfId="0">
      <alignment horizontal="right"/>
    </xf>
    <xf numFmtId="0" fontId="13" fillId="0" borderId="0" applyAlignment="1" pivotButton="0" quotePrefix="0" xfId="0">
      <alignment horizontal="right"/>
    </xf>
    <xf numFmtId="49" fontId="6" fillId="0" borderId="0" pivotButton="0" quotePrefix="0" xfId="0"/>
    <xf numFmtId="3" fontId="6" fillId="0" borderId="0" pivotButton="0" quotePrefix="0" xfId="0"/>
    <xf numFmtId="166" fontId="6" fillId="0" borderId="0" pivotButton="0" quotePrefix="0" xfId="0"/>
    <xf numFmtId="167"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7" fillId="0" borderId="0" pivotButton="0" quotePrefix="0" xfId="1"/>
    <xf numFmtId="0" fontId="22" fillId="0" borderId="0" pivotButton="0" quotePrefix="0" xfId="0"/>
    <xf numFmtId="167" fontId="7" fillId="0" borderId="1" pivotButton="0" quotePrefix="0" xfId="0"/>
    <xf numFmtId="0" fontId="15" fillId="0" borderId="0" applyAlignment="1" pivotButton="0" quotePrefix="0" xfId="0">
      <alignment horizontal="left" wrapText="1"/>
    </xf>
    <xf numFmtId="0" fontId="6" fillId="0" borderId="0" applyAlignment="1" pivotButton="0" quotePrefix="0" xfId="0">
      <alignment horizontal="left" wrapText="1"/>
    </xf>
    <xf numFmtId="0" fontId="0" fillId="0" borderId="0" applyAlignment="1" pivotButton="0" quotePrefix="0" xfId="0">
      <alignment wrapText="1"/>
    </xf>
    <xf numFmtId="0" fontId="1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wrapText="1"/>
    </xf>
    <xf numFmtId="0" fontId="1" fillId="0" borderId="0" applyAlignment="1" pivotButton="0" quotePrefix="0" xfId="0">
      <alignment horizontal="left" wrapText="1"/>
    </xf>
    <xf numFmtId="2" fontId="0" fillId="0" borderId="0" applyAlignment="1" pivotButton="0" quotePrefix="0" xfId="0">
      <alignment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7"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25" fillId="3" borderId="0" applyAlignment="1" pivotButton="0" quotePrefix="0" xfId="0">
      <alignment horizontal="left" vertical="center" wrapText="1"/>
    </xf>
    <xf numFmtId="0" fontId="25" fillId="3" borderId="0" applyAlignment="1" pivotButton="0" quotePrefix="0" xfId="0">
      <alignment horizontal="left" vertical="center" wrapText="1"/>
    </xf>
    <xf numFmtId="167" fontId="25" fillId="3" borderId="0" applyAlignment="1" pivotButton="0" quotePrefix="0" xfId="0">
      <alignment horizontal="left" vertical="center" wrapText="1"/>
    </xf>
    <xf numFmtId="164" fontId="25" fillId="3" borderId="0" applyAlignment="1" pivotButton="0" quotePrefix="0" xfId="0">
      <alignment horizontal="left" vertical="center" wrapText="1"/>
    </xf>
    <xf numFmtId="0" fontId="25" fillId="5" borderId="0" applyAlignment="1" pivotButton="0" quotePrefix="0" xfId="0">
      <alignment horizontal="left" vertical="center" wrapText="1"/>
    </xf>
    <xf numFmtId="3" fontId="25" fillId="3" borderId="0" applyAlignment="1" pivotButton="0" quotePrefix="0" xfId="0">
      <alignment horizontal="left" vertical="center" wrapText="1"/>
    </xf>
    <xf numFmtId="2" fontId="25" fillId="3" borderId="0" applyAlignment="1" pivotButton="0" quotePrefix="0" xfId="0">
      <alignment horizontal="left" vertical="center" wrapText="1"/>
    </xf>
    <xf numFmtId="168" fontId="25" fillId="3" borderId="0" applyAlignment="1" pivotButton="0" quotePrefix="0" xfId="0">
      <alignment horizontal="left" vertical="center" wrapText="1"/>
    </xf>
    <xf numFmtId="3" fontId="25" fillId="5" borderId="0" applyAlignment="1" pivotButton="0" quotePrefix="0" xfId="0">
      <alignment horizontal="left" vertical="center" wrapText="1"/>
    </xf>
    <xf numFmtId="167" fontId="15" fillId="0" borderId="0" applyAlignment="1" pivotButton="0" quotePrefix="0" xfId="0">
      <alignment horizontal="left" vertical="center" wrapText="1"/>
    </xf>
    <xf numFmtId="164" fontId="15" fillId="0" borderId="0" applyAlignment="1" pivotButton="0" quotePrefix="0" xfId="0">
      <alignment horizontal="left" vertical="center" wrapText="1"/>
    </xf>
    <xf numFmtId="3" fontId="15" fillId="0" borderId="0" applyAlignment="1" pivotButton="0" quotePrefix="0" xfId="0">
      <alignment horizontal="left" vertical="center" wrapText="1"/>
    </xf>
    <xf numFmtId="2" fontId="15" fillId="0" borderId="0" applyAlignment="1" pivotButton="0" quotePrefix="0" xfId="0">
      <alignment horizontal="left" vertical="center" wrapText="1"/>
    </xf>
    <xf numFmtId="9" fontId="15" fillId="0" borderId="0" applyAlignment="1" pivotButton="0" quotePrefix="0" xfId="0">
      <alignment horizontal="left" vertical="center" wrapText="1"/>
    </xf>
    <xf numFmtId="164" fontId="14" fillId="0" borderId="0" applyAlignment="1" pivotButton="0" quotePrefix="0" xfId="0">
      <alignment horizontal="left" vertical="center" wrapText="1"/>
    </xf>
    <xf numFmtId="167" fontId="14" fillId="0" borderId="0" applyAlignment="1" pivotButton="0" quotePrefix="0" xfId="0">
      <alignment horizontal="left" vertical="center" wrapText="1"/>
    </xf>
    <xf numFmtId="3" fontId="14" fillId="0" borderId="0" applyAlignment="1" pivotButton="0" quotePrefix="0" xfId="0">
      <alignment horizontal="left" vertical="center" wrapText="1"/>
    </xf>
    <xf numFmtId="2" fontId="14" fillId="0" borderId="0" applyAlignment="1" pivotButton="0" quotePrefix="0" xfId="0">
      <alignment horizontal="left" vertical="center" wrapText="1"/>
    </xf>
    <xf numFmtId="164" fontId="0" fillId="0" borderId="0" applyAlignment="1" pivotButton="0" quotePrefix="0" xfId="0">
      <alignment vertical="center" wrapText="1"/>
    </xf>
    <xf numFmtId="167"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167" fontId="1" fillId="0" borderId="0" applyAlignment="1" pivotButton="0" quotePrefix="0" xfId="0">
      <alignment vertical="center" wrapText="1"/>
    </xf>
    <xf numFmtId="164" fontId="1" fillId="0" borderId="0" applyAlignment="1" pivotButton="0" quotePrefix="0" xfId="0">
      <alignment vertical="center" wrapText="1"/>
    </xf>
    <xf numFmtId="3" fontId="0" fillId="0" borderId="0" applyAlignment="1" pivotButton="0" quotePrefix="0" xfId="0">
      <alignment vertical="center" wrapText="1"/>
    </xf>
    <xf numFmtId="167" fontId="0" fillId="0" borderId="0" applyAlignment="1" pivotButton="0" quotePrefix="0" xfId="0">
      <alignment vertical="center" wrapText="1"/>
    </xf>
    <xf numFmtId="167" fontId="15" fillId="0" borderId="0" applyAlignment="1" pivotButton="0" quotePrefix="0" xfId="0">
      <alignment horizontal="left" wrapText="1"/>
    </xf>
    <xf numFmtId="164" fontId="15" fillId="0" borderId="0" applyAlignment="1" pivotButton="0" quotePrefix="0" xfId="0">
      <alignment horizontal="left" wrapText="1"/>
    </xf>
    <xf numFmtId="3" fontId="15" fillId="0" borderId="0" applyAlignment="1" pivotButton="0" quotePrefix="0" xfId="0">
      <alignment horizontal="left" wrapText="1"/>
    </xf>
    <xf numFmtId="2" fontId="15" fillId="0" borderId="0" applyAlignment="1" pivotButton="0" quotePrefix="0" xfId="0">
      <alignment horizontal="left" wrapText="1"/>
    </xf>
    <xf numFmtId="9" fontId="15" fillId="0" borderId="0" applyAlignment="1" pivotButton="0" quotePrefix="0" xfId="0">
      <alignment horizontal="left" wrapText="1"/>
    </xf>
    <xf numFmtId="164" fontId="0" fillId="0" borderId="0" applyAlignment="1" pivotButton="0" quotePrefix="0" xfId="0">
      <alignment wrapText="1"/>
    </xf>
    <xf numFmtId="167" fontId="6" fillId="0" borderId="0" applyAlignment="1" pivotButton="0" quotePrefix="0" xfId="0">
      <alignment horizontal="right" wrapText="1"/>
    </xf>
    <xf numFmtId="164" fontId="6" fillId="0" borderId="0" applyAlignment="1" pivotButton="0" quotePrefix="0" xfId="0">
      <alignment horizontal="right" wrapText="1"/>
    </xf>
    <xf numFmtId="164" fontId="6" fillId="4" borderId="0" applyAlignment="1" pivotButton="0" quotePrefix="0" xfId="0">
      <alignment horizontal="right" wrapText="1"/>
    </xf>
    <xf numFmtId="3" fontId="6" fillId="0" borderId="0" applyAlignment="1" pivotButton="0" quotePrefix="0" xfId="0">
      <alignment horizontal="right" wrapText="1"/>
    </xf>
    <xf numFmtId="2" fontId="6" fillId="0" borderId="0" applyAlignment="1" pivotButton="0" quotePrefix="0" xfId="0">
      <alignment horizontal="right" wrapText="1"/>
    </xf>
    <xf numFmtId="3" fontId="6" fillId="4" borderId="0" applyAlignment="1" pivotButton="0" quotePrefix="0" xfId="0">
      <alignment horizontal="right" wrapText="1"/>
    </xf>
    <xf numFmtId="3" fontId="0" fillId="0" borderId="0" applyAlignment="1" pivotButton="0" quotePrefix="0" xfId="0">
      <alignment wrapText="1"/>
    </xf>
    <xf numFmtId="167" fontId="0" fillId="0" borderId="0" applyAlignment="1" pivotButton="0" quotePrefix="0" xfId="0">
      <alignment wrapText="1"/>
    </xf>
    <xf numFmtId="0" fontId="24" fillId="0" borderId="0" applyAlignment="1" pivotButton="0" quotePrefix="0" xfId="0">
      <alignment vertical="center" wrapText="1"/>
    </xf>
    <xf numFmtId="0" fontId="21" fillId="0" borderId="0" applyAlignment="1" pivotButton="0" quotePrefix="0" xfId="0">
      <alignment vertical="center" wrapText="1"/>
    </xf>
    <xf numFmtId="0" fontId="14" fillId="0" borderId="0" applyAlignment="1" pivotButton="0" quotePrefix="0" xfId="0">
      <alignment vertical="center" wrapText="1"/>
    </xf>
    <xf numFmtId="0" fontId="14" fillId="0" borderId="0" applyAlignment="1" pivotButton="0" quotePrefix="0" xfId="0">
      <alignment horizontal="left" vertical="center" wrapText="1"/>
    </xf>
    <xf numFmtId="2" fontId="14" fillId="0" borderId="0" applyAlignment="1" pivotButton="0" quotePrefix="0" xfId="0">
      <alignment vertical="center" wrapText="1"/>
    </xf>
    <xf numFmtId="0" fontId="21" fillId="0" borderId="0" applyAlignment="1" pivotButton="0" quotePrefix="0" xfId="0">
      <alignment horizontal="left" vertical="center" wrapText="1"/>
    </xf>
    <xf numFmtId="169" fontId="21" fillId="0" borderId="0" applyAlignment="1" pivotButton="0" quotePrefix="0" xfId="0">
      <alignment vertical="center" wrapText="1"/>
    </xf>
    <xf numFmtId="170" fontId="21" fillId="0" borderId="0" applyAlignment="1" pivotButton="0" quotePrefix="0" xfId="0">
      <alignment vertical="center" wrapText="1"/>
    </xf>
    <xf numFmtId="170" fontId="21" fillId="4" borderId="0" applyAlignment="1" pivotButton="0" quotePrefix="0" xfId="0">
      <alignment vertical="center" wrapText="1"/>
    </xf>
    <xf numFmtId="3" fontId="21" fillId="0" borderId="0" applyAlignment="1" pivotButton="0" quotePrefix="0" xfId="0">
      <alignment vertical="center" wrapText="1"/>
    </xf>
    <xf numFmtId="2" fontId="21" fillId="0" borderId="0" applyAlignment="1" pivotButton="0" quotePrefix="0" xfId="0">
      <alignment vertical="center" wrapText="1"/>
    </xf>
    <xf numFmtId="0" fontId="26" fillId="0" borderId="0" applyAlignment="1" pivotButton="0" quotePrefix="0" xfId="0">
      <alignment vertical="center" wrapText="1"/>
    </xf>
    <xf numFmtId="3" fontId="21" fillId="4" borderId="0" applyAlignment="1" pivotButton="0" quotePrefix="0" xfId="0">
      <alignment vertical="center" wrapText="1"/>
    </xf>
    <xf numFmtId="0" fontId="21" fillId="4" borderId="0" applyAlignment="1" pivotButton="0" quotePrefix="0" xfId="0">
      <alignment vertical="center" wrapText="1"/>
    </xf>
    <xf numFmtId="0" fontId="24" fillId="0" borderId="0" applyAlignment="1" pivotButton="0" quotePrefix="0" xfId="0">
      <alignment horizontal="left" vertical="center" wrapText="1"/>
    </xf>
    <xf numFmtId="2" fontId="24" fillId="0" borderId="0" applyAlignment="1" pivotButton="0" quotePrefix="0" xfId="0">
      <alignment vertical="center" wrapText="1"/>
    </xf>
    <xf numFmtId="0" fontId="27" fillId="3" borderId="0" pivotButton="0" quotePrefix="0" xfId="0"/>
    <xf numFmtId="0" fontId="28" fillId="3" borderId="0" applyAlignment="1" pivotButton="0" quotePrefix="0" xfId="0">
      <alignment horizontal="left"/>
    </xf>
    <xf numFmtId="164" fontId="28" fillId="3" borderId="0" applyAlignment="1" pivotButton="0" quotePrefix="0" xfId="0">
      <alignment horizontal="left"/>
    </xf>
    <xf numFmtId="164" fontId="28" fillId="3" borderId="0" applyAlignment="1" pivotButton="0" quotePrefix="0" xfId="0">
      <alignment horizontal="left" wrapText="1"/>
    </xf>
    <xf numFmtId="3" fontId="28" fillId="3" borderId="0" applyAlignment="1" pivotButton="0" quotePrefix="0" xfId="0">
      <alignment horizontal="left" wrapText="1"/>
    </xf>
    <xf numFmtId="3" fontId="28" fillId="3" borderId="0" applyAlignment="1" pivotButton="0" quotePrefix="0" xfId="0">
      <alignment horizontal="left"/>
    </xf>
    <xf numFmtId="168" fontId="28" fillId="3" borderId="0" applyAlignment="1" pivotButton="0" quotePrefix="0" xfId="0">
      <alignment horizontal="left"/>
    </xf>
    <xf numFmtId="0" fontId="17" fillId="0" borderId="0" applyAlignment="1" pivotButton="0" quotePrefix="0" xfId="1">
      <alignment horizontal="left" wrapText="1"/>
    </xf>
    <xf numFmtId="167" fontId="6" fillId="4" borderId="0" applyAlignment="1" pivotButton="0" quotePrefix="0" xfId="0">
      <alignment horizontal="right" vertical="center" wrapText="1"/>
    </xf>
    <xf numFmtId="0" fontId="17" fillId="0" borderId="0" applyAlignment="1" pivotButton="0" quotePrefix="0" xfId="1">
      <alignment horizontal="left" vertical="center" wrapText="1"/>
    </xf>
    <xf numFmtId="169" fontId="24" fillId="0" borderId="0" applyAlignment="1" pivotButton="0" quotePrefix="0" xfId="0">
      <alignment vertical="center" wrapText="1"/>
    </xf>
    <xf numFmtId="0" fontId="29" fillId="0" borderId="0" applyAlignment="1" pivotButton="0" quotePrefix="0" xfId="0">
      <alignment vertical="center" wrapText="1"/>
    </xf>
    <xf numFmtId="167" fontId="6" fillId="0" borderId="0" applyAlignment="1" pivotButton="0" quotePrefix="0" xfId="0">
      <alignment horizontal="left" vertical="center" wrapText="1"/>
    </xf>
    <xf numFmtId="164" fontId="6" fillId="0" borderId="0" applyAlignment="1" pivotButton="0" quotePrefix="0" xfId="0">
      <alignment horizontal="left" vertical="center" wrapText="1"/>
    </xf>
    <xf numFmtId="3" fontId="6" fillId="0" borderId="0" applyAlignment="1" pivotButton="0" quotePrefix="0" xfId="0">
      <alignment horizontal="left" vertical="center" wrapText="1"/>
    </xf>
    <xf numFmtId="2" fontId="6" fillId="0" borderId="0" applyAlignment="1" pivotButton="0" quotePrefix="0" xfId="0">
      <alignment horizontal="left" vertical="center" wrapText="1"/>
    </xf>
    <xf numFmtId="167" fontId="1" fillId="0" borderId="0" applyAlignment="1" pivotButton="0" quotePrefix="0" xfId="0">
      <alignment horizontal="righ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167" fontId="1" fillId="0" borderId="0" applyAlignment="1" pivotButton="0" quotePrefix="0" xfId="0">
      <alignment horizontal="right" wrapText="1"/>
    </xf>
    <xf numFmtId="164" fontId="1" fillId="0" borderId="0" applyAlignment="1" pivotButton="0" quotePrefix="0" xfId="0">
      <alignment horizontal="right" wrapText="1"/>
    </xf>
    <xf numFmtId="3" fontId="1" fillId="0" borderId="0" applyAlignment="1" pivotButton="0" quotePrefix="0" xfId="0">
      <alignment horizontal="right" wrapText="1"/>
    </xf>
    <xf numFmtId="2" fontId="1" fillId="0" borderId="0" applyAlignment="1" pivotButton="0" quotePrefix="0" xfId="0">
      <alignment horizontal="right" wrapText="1"/>
    </xf>
    <xf numFmtId="2" fontId="1" fillId="0" borderId="0" applyAlignment="1" pivotButton="0" quotePrefix="0" xfId="0">
      <alignment horizontal="right" vertical="center" wrapText="1"/>
    </xf>
    <xf numFmtId="0" fontId="13" fillId="0" borderId="3" applyAlignment="1" pivotButton="0" quotePrefix="0" xfId="0">
      <alignment vertical="center" wrapText="1"/>
    </xf>
    <xf numFmtId="169" fontId="13" fillId="0" borderId="3" applyAlignment="1" pivotButton="0" quotePrefix="0" xfId="0">
      <alignment horizontal="right" vertical="center" wrapText="1"/>
    </xf>
    <xf numFmtId="170" fontId="13" fillId="0" borderId="3" applyAlignment="1" pivotButton="0" quotePrefix="0" xfId="0">
      <alignment horizontal="right" vertical="center" wrapText="1"/>
    </xf>
    <xf numFmtId="3" fontId="13" fillId="0" borderId="3" applyAlignment="1" pivotButton="0" quotePrefix="0" xfId="0">
      <alignment horizontal="right" vertical="center" wrapText="1"/>
    </xf>
    <xf numFmtId="0" fontId="13" fillId="0" borderId="3" applyAlignment="1" pivotButton="0" quotePrefix="0" xfId="0">
      <alignment horizontal="right" vertical="center" wrapText="1"/>
    </xf>
    <xf numFmtId="0" fontId="1" fillId="0" borderId="0" applyAlignment="1" pivotButton="0" quotePrefix="0" xfId="0">
      <alignment horizontal="right" vertical="center" wrapText="1"/>
    </xf>
    <xf numFmtId="0" fontId="13" fillId="0" borderId="0" applyAlignment="1" pivotButton="0" quotePrefix="0" xfId="0">
      <alignment horizontal="right" vertical="center" wrapText="1"/>
    </xf>
    <xf numFmtId="0" fontId="10" fillId="3" borderId="2" applyAlignment="1" pivotButton="0" quotePrefix="0" xfId="0">
      <alignment horizontal="center" vertical="center" wrapText="1"/>
    </xf>
    <xf numFmtId="0" fontId="1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vertical="center" wrapText="1"/>
    </xf>
    <xf numFmtId="164" fontId="6" fillId="0" borderId="0" applyAlignment="1" pivotButton="0" quotePrefix="0" xfId="0">
      <alignment vertical="center" wrapText="1"/>
    </xf>
    <xf numFmtId="164" fontId="6" fillId="4" borderId="0" applyAlignment="1" pivotButton="0" quotePrefix="0" xfId="0">
      <alignment vertical="center" wrapText="1"/>
    </xf>
    <xf numFmtId="3" fontId="6" fillId="0" borderId="0" applyAlignment="1" pivotButton="0" quotePrefix="0" xfId="0">
      <alignment vertical="center" wrapText="1"/>
    </xf>
    <xf numFmtId="10" fontId="6" fillId="0" borderId="0" applyAlignment="1" pivotButton="0" quotePrefix="0" xfId="3">
      <alignment vertical="center" wrapText="1"/>
    </xf>
    <xf numFmtId="167" fontId="6" fillId="0" borderId="0" applyAlignment="1" pivotButton="0" quotePrefix="0" xfId="0">
      <alignment vertical="center" wrapText="1"/>
    </xf>
    <xf numFmtId="165" fontId="6" fillId="0" borderId="0" applyAlignment="1" pivotButton="0" quotePrefix="0" xfId="0">
      <alignment vertical="center" wrapText="1"/>
    </xf>
    <xf numFmtId="0" fontId="18" fillId="0" borderId="0" applyAlignment="1" pivotButton="0" quotePrefix="0" xfId="0">
      <alignment horizontal="center" vertical="center" wrapText="1"/>
    </xf>
    <xf numFmtId="0" fontId="11" fillId="0" borderId="4" applyAlignment="1" pivotButton="0" quotePrefix="0" xfId="0">
      <alignment horizontal="center" vertical="center" wrapText="1"/>
    </xf>
    <xf numFmtId="164" fontId="12" fillId="0" borderId="0" applyAlignment="1" pivotButton="0" quotePrefix="0" xfId="0">
      <alignment vertical="center" wrapText="1"/>
    </xf>
    <xf numFmtId="0" fontId="32" fillId="6" borderId="5" applyAlignment="1" pivotButton="0" quotePrefix="0" xfId="0">
      <alignment horizontal="center" vertical="center" wrapText="1"/>
    </xf>
    <xf numFmtId="2" fontId="1" fillId="0" borderId="0" applyAlignment="1" pivotButton="0" quotePrefix="0" xfId="0">
      <alignment vertical="center" wrapText="1"/>
    </xf>
    <xf numFmtId="0" fontId="34" fillId="0" borderId="0" applyAlignment="1" pivotButton="0" quotePrefix="0" xfId="1">
      <alignment vertical="center" wrapText="1"/>
    </xf>
    <xf numFmtId="0" fontId="35" fillId="0" borderId="0" applyAlignment="1" pivotButton="0" quotePrefix="0" xfId="0">
      <alignment horizontal="right"/>
    </xf>
    <xf numFmtId="49" fontId="36" fillId="0" borderId="0" pivotButton="0" quotePrefix="0" xfId="0"/>
    <xf numFmtId="0" fontId="36" fillId="0" borderId="0" pivotButton="0" quotePrefix="0" xfId="0"/>
    <xf numFmtId="164" fontId="36" fillId="0" borderId="0" pivotButton="0" quotePrefix="0" xfId="0"/>
    <xf numFmtId="3" fontId="36" fillId="0" borderId="0" pivotButton="0" quotePrefix="0" xfId="0"/>
    <xf numFmtId="0" fontId="37" fillId="0" borderId="0" applyAlignment="1" pivotButton="0" quotePrefix="0" xfId="1">
      <alignment vertical="center" wrapText="1"/>
    </xf>
    <xf numFmtId="166" fontId="36" fillId="0" borderId="0" pivotButton="0" quotePrefix="0" xfId="0"/>
    <xf numFmtId="167" fontId="36" fillId="0" borderId="0" pivotButton="0" quotePrefix="0" xfId="0"/>
    <xf numFmtId="0" fontId="36" fillId="0" borderId="0" applyAlignment="1" pivotButton="0" quotePrefix="0" xfId="0">
      <alignment horizontal="center" vertical="center" wrapText="1"/>
    </xf>
    <xf numFmtId="164" fontId="35" fillId="0" borderId="0" applyAlignment="1" pivotButton="0" quotePrefix="0" xfId="0">
      <alignment vertical="center" wrapText="1"/>
    </xf>
    <xf numFmtId="0" fontId="38" fillId="0" borderId="0" pivotButton="0" quotePrefix="0" xfId="0"/>
    <xf numFmtId="0" fontId="39" fillId="0" borderId="0" applyAlignment="1" pivotButton="0" quotePrefix="0" xfId="1">
      <alignment vertical="center" wrapText="1"/>
    </xf>
    <xf numFmtId="0" fontId="40" fillId="0" borderId="0" applyAlignment="1" pivotButton="0" quotePrefix="0" xfId="0">
      <alignment horizontal="center" vertical="center" wrapText="1"/>
    </xf>
    <xf numFmtId="0" fontId="40" fillId="0" borderId="0" applyAlignment="1" pivotButton="0" quotePrefix="0" xfId="0">
      <alignment vertical="center" wrapText="1"/>
    </xf>
    <xf numFmtId="164" fontId="40" fillId="0" borderId="0" applyAlignment="1" pivotButton="0" quotePrefix="0" xfId="0">
      <alignment vertical="center" wrapText="1"/>
    </xf>
    <xf numFmtId="3" fontId="40" fillId="0" borderId="0" applyAlignment="1" pivotButton="0" quotePrefix="0" xfId="0">
      <alignment vertical="center" wrapText="1"/>
    </xf>
    <xf numFmtId="10" fontId="40" fillId="0" borderId="0" applyAlignment="1" pivotButton="0" quotePrefix="0" xfId="3">
      <alignment vertical="center" wrapText="1"/>
    </xf>
    <xf numFmtId="167" fontId="40" fillId="0" borderId="0" applyAlignment="1" pivotButton="0" quotePrefix="0" xfId="0">
      <alignment vertical="center" wrapText="1"/>
    </xf>
    <xf numFmtId="165" fontId="40" fillId="0" borderId="0" applyAlignment="1" pivotButton="0" quotePrefix="0" xfId="0">
      <alignment vertical="center" wrapText="1"/>
    </xf>
    <xf numFmtId="0" fontId="41" fillId="0" borderId="0" applyAlignment="1" pivotButton="0" quotePrefix="0" xfId="0">
      <alignment horizontal="center" vertical="center" wrapText="1"/>
    </xf>
    <xf numFmtId="0" fontId="41" fillId="0" borderId="0" applyAlignment="1" pivotButton="0" quotePrefix="0" xfId="0">
      <alignment vertical="center" wrapText="1"/>
    </xf>
    <xf numFmtId="164" fontId="41" fillId="0" borderId="0" applyAlignment="1" pivotButton="0" quotePrefix="0" xfId="0">
      <alignment vertical="center" wrapText="1"/>
    </xf>
    <xf numFmtId="164" fontId="41" fillId="4" borderId="0" applyAlignment="1" pivotButton="0" quotePrefix="0" xfId="0">
      <alignment vertical="center" wrapText="1"/>
    </xf>
    <xf numFmtId="3" fontId="41" fillId="0" borderId="0" applyAlignment="1" pivotButton="0" quotePrefix="0" xfId="0">
      <alignment vertical="center" wrapText="1"/>
    </xf>
    <xf numFmtId="10" fontId="41" fillId="0" borderId="0" applyAlignment="1" pivotButton="0" quotePrefix="0" xfId="3">
      <alignment vertical="center" wrapText="1"/>
    </xf>
    <xf numFmtId="167" fontId="41" fillId="0" borderId="0" applyAlignment="1" pivotButton="0" quotePrefix="0" xfId="0">
      <alignment vertical="center" wrapText="1"/>
    </xf>
    <xf numFmtId="165" fontId="41" fillId="0" borderId="0" applyAlignment="1" pivotButton="0" quotePrefix="0" xfId="0">
      <alignment vertical="center" wrapText="1"/>
    </xf>
    <xf numFmtId="164" fontId="12" fillId="0" borderId="2" pivotButton="0" quotePrefix="0" xfId="0"/>
    <xf numFmtId="3" fontId="12" fillId="0" borderId="2" pivotButton="0" quotePrefix="0" xfId="0"/>
    <xf numFmtId="3" fontId="12" fillId="0" borderId="0" applyAlignment="1" pivotButton="0" quotePrefix="0" xfId="2">
      <alignment vertical="center" wrapText="1"/>
    </xf>
    <xf numFmtId="2" fontId="17" fillId="0" borderId="0" applyAlignment="1" pivotButton="0" quotePrefix="0" xfId="1">
      <alignment vertical="center" wrapText="1"/>
    </xf>
    <xf numFmtId="0" fontId="17" fillId="0" borderId="0" applyAlignment="1" pivotButton="0" quotePrefix="0" xfId="1">
      <alignment vertical="center" wrapText="1"/>
    </xf>
    <xf numFmtId="164" fontId="1" fillId="0" borderId="0" pivotButton="0" quotePrefix="0" xfId="0"/>
    <xf numFmtId="0" fontId="6" fillId="0" borderId="0" applyAlignment="1" pivotButton="0" quotePrefix="0" xfId="0">
      <alignment horizontal="center" vertical="center" wrapText="1"/>
    </xf>
    <xf numFmtId="164" fontId="12" fillId="0" borderId="2" applyAlignment="1" pivotButton="0" quotePrefix="0" xfId="0">
      <alignment vertical="center" wrapText="1"/>
    </xf>
    <xf numFmtId="0" fontId="10" fillId="0" borderId="7" applyAlignment="1" pivotButton="0" quotePrefix="0" xfId="0">
      <alignment horizontal="center"/>
    </xf>
    <xf numFmtId="3" fontId="12" fillId="0" borderId="0" pivotButton="0" quotePrefix="0" xfId="0"/>
    <xf numFmtId="3" fontId="7" fillId="0" borderId="0" applyAlignment="1" pivotButton="0" quotePrefix="0" xfId="0">
      <alignment horizontal="right" vertical="center" wrapText="1"/>
    </xf>
    <xf numFmtId="2" fontId="7" fillId="0" borderId="0" applyAlignment="1" pivotButton="0" quotePrefix="0" xfId="0">
      <alignment horizontal="right" vertical="center" wrapText="1"/>
    </xf>
    <xf numFmtId="0" fontId="34" fillId="0" borderId="0" applyAlignment="1" pivotButton="0" quotePrefix="0" xfId="1">
      <alignment horizontal="left" vertical="center" wrapText="1"/>
    </xf>
    <xf numFmtId="164" fontId="35" fillId="0" borderId="2" applyAlignment="1" pivotButton="0" quotePrefix="0" xfId="0">
      <alignment vertical="center" wrapText="1"/>
    </xf>
    <xf numFmtId="0" fontId="42" fillId="0" borderId="0" applyAlignment="1" pivotButton="0" quotePrefix="0" xfId="0">
      <alignment horizontal="center" vertical="center" wrapText="1"/>
    </xf>
    <xf numFmtId="0" fontId="42" fillId="0" borderId="0" applyAlignment="1" pivotButton="0" quotePrefix="0" xfId="0">
      <alignment vertical="center" wrapText="1"/>
    </xf>
    <xf numFmtId="164" fontId="42" fillId="0" borderId="0" applyAlignment="1" pivotButton="0" quotePrefix="0" xfId="0">
      <alignment vertical="center" wrapText="1"/>
    </xf>
    <xf numFmtId="164" fontId="42" fillId="4" borderId="0" applyAlignment="1" pivotButton="0" quotePrefix="0" xfId="0">
      <alignment vertical="center" wrapText="1"/>
    </xf>
    <xf numFmtId="3" fontId="42" fillId="0" borderId="0" applyAlignment="1" pivotButton="0" quotePrefix="0" xfId="0">
      <alignment vertical="center" wrapText="1"/>
    </xf>
    <xf numFmtId="10" fontId="42" fillId="0" borderId="0" applyAlignment="1" pivotButton="0" quotePrefix="0" xfId="3">
      <alignment vertical="center" wrapText="1"/>
    </xf>
    <xf numFmtId="167" fontId="42" fillId="0" borderId="0" applyAlignment="1" pivotButton="0" quotePrefix="0" xfId="0">
      <alignment vertical="center" wrapText="1"/>
    </xf>
    <xf numFmtId="165" fontId="42" fillId="0" borderId="0" applyAlignment="1" pivotButton="0" quotePrefix="0" xfId="0">
      <alignment vertical="center" wrapText="1"/>
    </xf>
    <xf numFmtId="164" fontId="12" fillId="0" borderId="9" pivotButton="0" quotePrefix="0" xfId="0"/>
    <xf numFmtId="164" fontId="12" fillId="0" borderId="9" applyAlignment="1" pivotButton="0" quotePrefix="0" xfId="0">
      <alignment vertical="center" wrapText="1"/>
    </xf>
    <xf numFmtId="0" fontId="43" fillId="0" borderId="0" applyAlignment="1" pivotButton="0" quotePrefix="0" xfId="0">
      <alignment horizontal="center" vertical="center" wrapText="1"/>
    </xf>
    <xf numFmtId="164" fontId="44" fillId="0" borderId="0" applyAlignment="1" pivotButton="0" quotePrefix="0" xfId="0">
      <alignment vertical="center" wrapText="1"/>
    </xf>
    <xf numFmtId="164" fontId="44" fillId="0" borderId="2" applyAlignment="1" pivotButton="0" quotePrefix="0" xfId="0">
      <alignment vertical="center" wrapText="1"/>
    </xf>
    <xf numFmtId="0" fontId="45" fillId="0" borderId="0" pivotButton="0" quotePrefix="0" xfId="0"/>
    <xf numFmtId="0" fontId="46" fillId="0" borderId="0" applyAlignment="1" pivotButton="0" quotePrefix="0" xfId="1">
      <alignment vertical="center" wrapText="1"/>
    </xf>
    <xf numFmtId="0" fontId="44" fillId="0" borderId="0" applyAlignment="1" pivotButton="0" quotePrefix="0" xfId="0">
      <alignment horizontal="right"/>
    </xf>
    <xf numFmtId="0" fontId="43" fillId="0" borderId="0" pivotButton="0" quotePrefix="0" xfId="0"/>
    <xf numFmtId="166" fontId="43" fillId="0" borderId="0" pivotButton="0" quotePrefix="0" xfId="0"/>
    <xf numFmtId="167" fontId="43" fillId="0" borderId="0" pivotButton="0" quotePrefix="0" xfId="0"/>
    <xf numFmtId="164" fontId="43" fillId="0" borderId="0" pivotButton="0" quotePrefix="0" xfId="0"/>
    <xf numFmtId="3" fontId="43" fillId="0" borderId="0" pivotButton="0" quotePrefix="0" xfId="0"/>
    <xf numFmtId="0" fontId="47" fillId="0" borderId="0" pivotButton="0" quotePrefix="0" xfId="0"/>
    <xf numFmtId="164" fontId="12" fillId="0" borderId="0" pivotButton="0" quotePrefix="0" xfId="0"/>
    <xf numFmtId="164" fontId="35" fillId="0" borderId="2" pivotButton="0" quotePrefix="0" xfId="0"/>
    <xf numFmtId="164" fontId="44" fillId="0" borderId="2" pivotButton="0" quotePrefix="0" xfId="0"/>
    <xf numFmtId="3" fontId="35" fillId="0" borderId="2" pivotButton="0" quotePrefix="0" xfId="0"/>
    <xf numFmtId="3" fontId="44" fillId="0" borderId="2" pivotButton="0" quotePrefix="0" xfId="0"/>
    <xf numFmtId="164" fontId="3" fillId="0" borderId="0" pivotButton="0" quotePrefix="0" xfId="0"/>
    <xf numFmtId="49" fontId="43" fillId="0" borderId="0" pivotButton="0" quotePrefix="0" xfId="0"/>
    <xf numFmtId="164" fontId="35" fillId="0" borderId="0" pivotButton="0" quotePrefix="0" xfId="0"/>
    <xf numFmtId="164" fontId="44" fillId="0" borderId="0" pivotButton="0" quotePrefix="0" xfId="0"/>
    <xf numFmtId="3" fontId="35" fillId="0" borderId="0" pivotButton="0" quotePrefix="0" xfId="0"/>
    <xf numFmtId="3" fontId="44" fillId="0" borderId="0" pivotButton="0" quotePrefix="0" xfId="0"/>
    <xf numFmtId="3" fontId="12" fillId="0" borderId="4" applyAlignment="1" pivotButton="0" quotePrefix="0" xfId="2">
      <alignment vertical="center" wrapText="1"/>
    </xf>
    <xf numFmtId="3" fontId="12" fillId="0" borderId="4" pivotButton="0" quotePrefix="0" xfId="0"/>
    <xf numFmtId="0" fontId="6" fillId="0" borderId="0" applyAlignment="1" pivotButton="0" quotePrefix="0" xfId="0">
      <alignment horizontal="right" vertical="center" wrapText="1"/>
    </xf>
    <xf numFmtId="0" fontId="6" fillId="4" borderId="0" applyAlignment="1" pivotButton="0" quotePrefix="0" xfId="0">
      <alignment horizontal="right" vertical="center" wrapText="1"/>
    </xf>
    <xf numFmtId="3" fontId="6" fillId="4" borderId="0" applyAlignment="1" pivotButton="0" quotePrefix="0" xfId="0">
      <alignment vertical="center" wrapText="1"/>
    </xf>
    <xf numFmtId="3" fontId="40" fillId="4" borderId="0" applyAlignment="1" pivotButton="0" quotePrefix="0" xfId="0">
      <alignment vertical="center" wrapText="1"/>
    </xf>
    <xf numFmtId="3" fontId="41" fillId="4" borderId="0" applyAlignment="1" pivotButton="0" quotePrefix="0" xfId="0">
      <alignment vertical="center" wrapText="1"/>
    </xf>
    <xf numFmtId="3" fontId="42" fillId="4" borderId="0" applyAlignment="1" pivotButton="0" quotePrefix="0" xfId="0">
      <alignment vertical="center" wrapText="1"/>
    </xf>
    <xf numFmtId="3" fontId="0" fillId="4" borderId="0" pivotButton="0" quotePrefix="0" xfId="0"/>
    <xf numFmtId="3" fontId="7" fillId="4" borderId="1" pivotButton="0" quotePrefix="0" xfId="0"/>
    <xf numFmtId="164" fontId="12" fillId="7" borderId="10" applyAlignment="1" pivotButton="0" quotePrefix="0" xfId="0">
      <alignment vertical="center" wrapText="1"/>
    </xf>
    <xf numFmtId="164" fontId="12" fillId="7" borderId="7" applyAlignment="1" pivotButton="0" quotePrefix="0" xfId="0">
      <alignment vertical="center" wrapText="1"/>
    </xf>
    <xf numFmtId="3" fontId="12" fillId="7" borderId="10" applyAlignment="1" pivotButton="0" quotePrefix="0" xfId="2">
      <alignment vertical="center" wrapText="1"/>
    </xf>
    <xf numFmtId="171" fontId="12" fillId="7" borderId="8" applyAlignment="1" pivotButton="0" quotePrefix="0" xfId="2">
      <alignment vertical="center" wrapText="1"/>
    </xf>
    <xf numFmtId="3" fontId="12" fillId="7" borderId="4" applyAlignment="1" pivotButton="0" quotePrefix="0" xfId="2">
      <alignment vertical="center" wrapText="1"/>
    </xf>
    <xf numFmtId="0" fontId="48" fillId="0" borderId="0" pivotButton="0" quotePrefix="0" xfId="0"/>
    <xf numFmtId="164" fontId="36" fillId="4" borderId="0" pivotButton="0" quotePrefix="0" xfId="0"/>
    <xf numFmtId="164" fontId="43" fillId="4" borderId="0" pivotButton="0" quotePrefix="0" xfId="0"/>
    <xf numFmtId="3" fontId="6" fillId="4" borderId="0" pivotButton="0" quotePrefix="0" xfId="0"/>
    <xf numFmtId="3" fontId="36" fillId="4" borderId="0" pivotButton="0" quotePrefix="0" xfId="0"/>
    <xf numFmtId="3" fontId="43" fillId="4" borderId="0" pivotButton="0" quotePrefix="0" xfId="0"/>
    <xf numFmtId="171" fontId="6" fillId="0" borderId="0" applyAlignment="1" pivotButton="0" quotePrefix="0" xfId="2">
      <alignment vertical="center" wrapText="1"/>
    </xf>
    <xf numFmtId="171" fontId="40" fillId="0" borderId="0" applyAlignment="1" pivotButton="0" quotePrefix="0" xfId="2">
      <alignment vertical="center" wrapText="1"/>
    </xf>
    <xf numFmtId="171" fontId="41" fillId="0" borderId="0" applyAlignment="1" pivotButton="0" quotePrefix="0" xfId="2">
      <alignment vertical="center" wrapText="1"/>
    </xf>
    <xf numFmtId="171" fontId="42" fillId="0" borderId="0" applyAlignment="1" pivotButton="0" quotePrefix="0" xfId="2">
      <alignment vertical="center" wrapText="1"/>
    </xf>
    <xf numFmtId="171" fontId="7" fillId="0" borderId="1" pivotButton="0" quotePrefix="0" xfId="2"/>
    <xf numFmtId="0" fontId="36" fillId="0" borderId="0" applyAlignment="1" pivotButton="0" quotePrefix="0" xfId="0">
      <alignment vertical="center" wrapText="1"/>
    </xf>
    <xf numFmtId="164" fontId="36" fillId="4" borderId="0" applyAlignment="1" pivotButton="0" quotePrefix="0" xfId="0">
      <alignment vertical="center" wrapText="1"/>
    </xf>
    <xf numFmtId="164" fontId="36" fillId="0" borderId="0" applyAlignment="1" pivotButton="0" quotePrefix="0" xfId="0">
      <alignment vertical="center" wrapText="1"/>
    </xf>
    <xf numFmtId="3" fontId="36" fillId="0" borderId="0" applyAlignment="1" pivotButton="0" quotePrefix="0" xfId="0">
      <alignment vertical="center" wrapText="1"/>
    </xf>
    <xf numFmtId="10" fontId="36" fillId="0" borderId="0" applyAlignment="1" pivotButton="0" quotePrefix="0" xfId="3">
      <alignment vertical="center" wrapText="1"/>
    </xf>
    <xf numFmtId="167" fontId="36" fillId="0" borderId="0" applyAlignment="1" pivotButton="0" quotePrefix="0" xfId="0">
      <alignment vertical="center" wrapText="1"/>
    </xf>
    <xf numFmtId="165" fontId="36" fillId="0" borderId="0" applyAlignment="1" pivotButton="0" quotePrefix="0" xfId="0">
      <alignment vertical="center" wrapText="1"/>
    </xf>
    <xf numFmtId="3" fontId="35" fillId="7" borderId="10" applyAlignment="1" pivotButton="0" quotePrefix="0" xfId="2">
      <alignment vertical="center" wrapText="1"/>
    </xf>
    <xf numFmtId="3" fontId="44" fillId="7" borderId="10" applyAlignment="1" pivotButton="0" quotePrefix="0" xfId="2">
      <alignment vertical="center" wrapText="1"/>
    </xf>
    <xf numFmtId="3" fontId="12" fillId="7" borderId="0" applyAlignment="1" pivotButton="0" quotePrefix="0" xfId="2">
      <alignment vertical="center" wrapText="1"/>
    </xf>
    <xf numFmtId="3" fontId="11" fillId="0" borderId="0" applyAlignment="1" pivotButton="0" quotePrefix="0" xfId="0">
      <alignment horizontal="center"/>
    </xf>
    <xf numFmtId="3" fontId="12" fillId="0" borderId="11" pivotButton="0" quotePrefix="0" xfId="0"/>
    <xf numFmtId="164" fontId="12" fillId="0" borderId="7" pivotButton="0" quotePrefix="0" xfId="0"/>
    <xf numFmtId="0" fontId="33" fillId="0" borderId="0" applyAlignment="1" pivotButton="0" quotePrefix="0" xfId="1">
      <alignment vertical="center" wrapText="1"/>
    </xf>
    <xf numFmtId="169" fontId="14" fillId="0" borderId="0" applyAlignment="1" pivotButton="0" quotePrefix="0" xfId="0">
      <alignment vertical="center" wrapText="1"/>
    </xf>
    <xf numFmtId="0" fontId="49" fillId="0" borderId="0" applyAlignment="1" pivotButton="0" quotePrefix="0" xfId="0">
      <alignment vertical="center" wrapText="1"/>
    </xf>
    <xf numFmtId="170" fontId="13" fillId="4" borderId="3" applyAlignment="1" pivotButton="0" quotePrefix="0" xfId="0">
      <alignment horizontal="right" vertical="center" wrapText="1"/>
    </xf>
    <xf numFmtId="3" fontId="13" fillId="4" borderId="3" applyAlignment="1" pivotButton="0" quotePrefix="0" xfId="0">
      <alignment horizontal="right" vertical="center" wrapText="1"/>
    </xf>
    <xf numFmtId="2" fontId="50" fillId="0" borderId="0" applyAlignment="1" pivotButton="0" quotePrefix="0" xfId="1">
      <alignment vertical="center" wrapText="1"/>
    </xf>
    <xf numFmtId="0" fontId="11" fillId="8" borderId="12" applyAlignment="1" pivotButton="0" quotePrefix="0" xfId="0">
      <alignment horizontal="left" vertical="center" wrapText="1"/>
    </xf>
    <xf numFmtId="167" fontId="11" fillId="8" borderId="12" applyAlignment="1" pivotButton="0" quotePrefix="0" xfId="0">
      <alignment horizontal="right" vertical="center" wrapText="1"/>
    </xf>
    <xf numFmtId="164" fontId="11" fillId="8" borderId="12" applyAlignment="1" pivotButton="0" quotePrefix="0" xfId="0">
      <alignment horizontal="right" vertical="center" wrapText="1"/>
    </xf>
    <xf numFmtId="164" fontId="11" fillId="9" borderId="12" applyAlignment="1" pivotButton="0" quotePrefix="0" xfId="0">
      <alignment horizontal="right" vertical="center" wrapText="1"/>
    </xf>
    <xf numFmtId="3" fontId="11" fillId="8" borderId="12" applyAlignment="1" pivotButton="0" quotePrefix="0" xfId="0">
      <alignment horizontal="right" vertical="center" wrapText="1"/>
    </xf>
    <xf numFmtId="2" fontId="11" fillId="8" borderId="12" applyAlignment="1" pivotButton="0" quotePrefix="0" xfId="0">
      <alignment horizontal="right" vertical="center" wrapText="1"/>
    </xf>
    <xf numFmtId="0" fontId="17" fillId="8" borderId="12" applyAlignment="1" pivotButton="0" quotePrefix="0" xfId="1">
      <alignment horizontal="left" vertical="center" wrapText="1"/>
    </xf>
    <xf numFmtId="0" fontId="11" fillId="0" borderId="12" applyAlignment="1" pivotButton="0" quotePrefix="0" xfId="0">
      <alignment horizontal="left" vertical="center" wrapText="1"/>
    </xf>
    <xf numFmtId="167" fontId="11" fillId="0" borderId="12" applyAlignment="1" pivotButton="0" quotePrefix="0" xfId="0">
      <alignment horizontal="right" vertical="center" wrapText="1"/>
    </xf>
    <xf numFmtId="164" fontId="11" fillId="0" borderId="12" applyAlignment="1" pivotButton="0" quotePrefix="0" xfId="0">
      <alignment horizontal="right" vertical="center" wrapText="1"/>
    </xf>
    <xf numFmtId="3" fontId="11" fillId="0" borderId="12" applyAlignment="1" pivotButton="0" quotePrefix="0" xfId="0">
      <alignment horizontal="right" vertical="center" wrapText="1"/>
    </xf>
    <xf numFmtId="2" fontId="11" fillId="0" borderId="12" applyAlignment="1" pivotButton="0" quotePrefix="0" xfId="0">
      <alignment horizontal="right" vertical="center" wrapText="1"/>
    </xf>
    <xf numFmtId="0" fontId="17" fillId="0" borderId="12" applyAlignment="1" pivotButton="0" quotePrefix="0" xfId="1">
      <alignment horizontal="left" vertical="center" wrapText="1"/>
    </xf>
    <xf numFmtId="164" fontId="12" fillId="7" borderId="0" applyAlignment="1" pivotButton="0" quotePrefix="0" xfId="0">
      <alignment vertical="center" wrapText="1"/>
    </xf>
    <xf numFmtId="3" fontId="35" fillId="0" borderId="0" applyAlignment="1" pivotButton="0" quotePrefix="0" xfId="2">
      <alignment vertical="center" wrapText="1"/>
    </xf>
    <xf numFmtId="3" fontId="44" fillId="0" borderId="0" applyAlignment="1" pivotButton="0" quotePrefix="0" xfId="2">
      <alignment vertical="center" wrapText="1"/>
    </xf>
    <xf numFmtId="3" fontId="10" fillId="0" borderId="0" applyAlignment="1" pivotButton="0" quotePrefix="0" xfId="0">
      <alignment horizontal="center"/>
    </xf>
    <xf numFmtId="0" fontId="1" fillId="0" borderId="0" pivotButton="0" quotePrefix="0" xfId="0"/>
    <xf numFmtId="3" fontId="13" fillId="0" borderId="0" applyAlignment="1" pivotButton="0" quotePrefix="0" xfId="2">
      <alignment vertical="center" wrapText="1"/>
    </xf>
    <xf numFmtId="3" fontId="13" fillId="0" borderId="0" pivotButton="0" quotePrefix="0" xfId="0"/>
    <xf numFmtId="3" fontId="13" fillId="0" borderId="2" pivotButton="0" quotePrefix="0" xfId="0"/>
    <xf numFmtId="3" fontId="13" fillId="7" borderId="10" applyAlignment="1" pivotButton="0" quotePrefix="0" xfId="2">
      <alignment vertical="center" wrapText="1"/>
    </xf>
    <xf numFmtId="164" fontId="13" fillId="0" borderId="0" applyAlignment="1" pivotButton="0" quotePrefix="0" xfId="0">
      <alignment vertical="center" wrapText="1"/>
    </xf>
    <xf numFmtId="164" fontId="13" fillId="0" borderId="2" applyAlignment="1" pivotButton="0" quotePrefix="0" xfId="0">
      <alignment vertical="center" wrapText="1"/>
    </xf>
    <xf numFmtId="164" fontId="13" fillId="0" borderId="2" pivotButton="0" quotePrefix="0" xfId="0"/>
    <xf numFmtId="164" fontId="13" fillId="0" borderId="0" pivotButton="0" quotePrefix="0" xfId="0"/>
    <xf numFmtId="164" fontId="13" fillId="7" borderId="10" applyAlignment="1" pivotButton="0" quotePrefix="0" xfId="0">
      <alignment vertical="center" wrapText="1"/>
    </xf>
    <xf numFmtId="164" fontId="35" fillId="7" borderId="10" applyAlignment="1" pivotButton="0" quotePrefix="0" xfId="0">
      <alignment vertical="center" wrapText="1"/>
    </xf>
    <xf numFmtId="164" fontId="44" fillId="7" borderId="10" applyAlignment="1" pivotButton="0" quotePrefix="0" xfId="0">
      <alignment vertical="center" wrapText="1"/>
    </xf>
    <xf numFmtId="3" fontId="9" fillId="0" borderId="0" applyAlignment="1" pivotButton="0" quotePrefix="0" xfId="0">
      <alignment horizontal="center"/>
    </xf>
    <xf numFmtId="0" fontId="13" fillId="0" borderId="0" pivotButton="0" quotePrefix="0" xfId="0"/>
    <xf numFmtId="171" fontId="12" fillId="7" borderId="6" applyAlignment="1" pivotButton="0" quotePrefix="0" xfId="2">
      <alignment vertical="center" wrapText="1"/>
    </xf>
    <xf numFmtId="170" fontId="0" fillId="0" borderId="0" applyAlignment="1" pivotButton="0" quotePrefix="0" xfId="0">
      <alignment vertical="center" wrapText="1"/>
    </xf>
    <xf numFmtId="164" fontId="0" fillId="0" borderId="0" applyAlignment="1" pivotButton="0" quotePrefix="0" xfId="0">
      <alignment horizontal="right" vertical="center" wrapText="1"/>
    </xf>
    <xf numFmtId="3" fontId="0" fillId="0" borderId="0" applyAlignment="1" pivotButton="0" quotePrefix="0" xfId="0">
      <alignment horizontal="right" vertical="center" wrapText="1"/>
    </xf>
    <xf numFmtId="164" fontId="20" fillId="2" borderId="0" applyAlignment="1" pivotButton="0" quotePrefix="0" xfId="0">
      <alignment horizontal="center" vertical="center" wrapText="1"/>
    </xf>
    <xf numFmtId="164" fontId="14" fillId="2" borderId="0" applyAlignment="1" pivotButton="0" quotePrefix="0" xfId="0">
      <alignment horizontal="center" vertical="center" wrapText="1"/>
    </xf>
    <xf numFmtId="0" fontId="0" fillId="0" borderId="0" applyAlignment="1" pivotButton="0" quotePrefix="0" xfId="0">
      <alignment vertical="center" wrapText="1"/>
    </xf>
    <xf numFmtId="167" fontId="0" fillId="0" borderId="0" applyAlignment="1" pivotButton="0" quotePrefix="0" xfId="0">
      <alignment vertical="center" wrapText="1"/>
    </xf>
    <xf numFmtId="164" fontId="0" fillId="0" borderId="0" applyAlignment="1" pivotButton="0" quotePrefix="0" xfId="0">
      <alignment vertical="center" wrapText="1"/>
    </xf>
    <xf numFmtId="3" fontId="0" fillId="0" borderId="0" applyAlignment="1" pivotButton="0" quotePrefix="0" xfId="0">
      <alignment vertical="center" wrapText="1"/>
    </xf>
    <xf numFmtId="2" fontId="0" fillId="0" borderId="0" applyAlignment="1" pivotButton="0" quotePrefix="0" xfId="0">
      <alignment vertical="center" wrapText="1"/>
    </xf>
    <xf numFmtId="0" fontId="2" fillId="2" borderId="0" applyAlignment="1" pivotButton="0" quotePrefix="0" xfId="0">
      <alignment horizontal="center"/>
    </xf>
    <xf numFmtId="0" fontId="0" fillId="0" borderId="0" pivotButton="0" quotePrefix="0" xfId="0"/>
    <xf numFmtId="3" fontId="0" fillId="0" borderId="0" pivotButton="0" quotePrefix="0" xfId="0"/>
    <xf numFmtId="0" fontId="8" fillId="2" borderId="0" applyAlignment="1" pivotButton="0" quotePrefix="0" xfId="0">
      <alignment horizontal="center"/>
    </xf>
    <xf numFmtId="164"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164" fontId="14" fillId="2" borderId="0" applyAlignment="1" pivotButton="0" quotePrefix="0" xfId="0">
      <alignment horizontal="center" wrapText="1"/>
    </xf>
    <xf numFmtId="0" fontId="15"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30" fillId="2" borderId="0" applyAlignment="1" pivotButton="0" quotePrefix="0" xfId="0">
      <alignment horizontal="center" vertical="center" wrapText="1"/>
    </xf>
    <xf numFmtId="164" fontId="30" fillId="2" borderId="0" applyAlignment="1" pivotButton="0" quotePrefix="0" xfId="0">
      <alignment horizontal="center" vertical="center" wrapText="1"/>
    </xf>
    <xf numFmtId="164" fontId="19" fillId="2" borderId="0" applyAlignment="1" pivotButton="0" quotePrefix="0" xfId="0">
      <alignment horizontal="center" vertical="center" wrapText="1"/>
    </xf>
    <xf numFmtId="167" fontId="6" fillId="0" borderId="0" applyAlignment="1" pivotButton="0" quotePrefix="0" xfId="0">
      <alignment vertical="center" wrapText="1"/>
    </xf>
    <xf numFmtId="167" fontId="36" fillId="0" borderId="0" applyAlignment="1" pivotButton="0" quotePrefix="0" xfId="0">
      <alignment vertical="center" wrapText="1"/>
    </xf>
    <xf numFmtId="167" fontId="41" fillId="0" borderId="0" applyAlignment="1" pivotButton="0" quotePrefix="0" xfId="0">
      <alignment vertical="center" wrapText="1"/>
    </xf>
    <xf numFmtId="167" fontId="42" fillId="0" borderId="0" applyAlignment="1" pivotButton="0" quotePrefix="0" xfId="0">
      <alignment vertical="center" wrapText="1"/>
    </xf>
    <xf numFmtId="167" fontId="7" fillId="0" borderId="1" pivotButton="0" quotePrefix="0" xfId="0"/>
    <xf numFmtId="171" fontId="6" fillId="0" borderId="0" applyAlignment="1" pivotButton="0" quotePrefix="0" xfId="2">
      <alignment vertical="center" wrapText="1"/>
    </xf>
    <xf numFmtId="171" fontId="40" fillId="0" borderId="0" applyAlignment="1" pivotButton="0" quotePrefix="0" xfId="2">
      <alignment vertical="center" wrapText="1"/>
    </xf>
    <xf numFmtId="167" fontId="40" fillId="0" borderId="0" applyAlignment="1" pivotButton="0" quotePrefix="0" xfId="0">
      <alignment vertical="center" wrapText="1"/>
    </xf>
    <xf numFmtId="171" fontId="41" fillId="0" borderId="0" applyAlignment="1" pivotButton="0" quotePrefix="0" xfId="2">
      <alignment vertical="center" wrapText="1"/>
    </xf>
    <xf numFmtId="171" fontId="42" fillId="0" borderId="0" applyAlignment="1" pivotButton="0" quotePrefix="0" xfId="2">
      <alignment vertical="center" wrapText="1"/>
    </xf>
    <xf numFmtId="171" fontId="7" fillId="0" borderId="1" pivotButton="0" quotePrefix="0" xfId="2"/>
    <xf numFmtId="171" fontId="12" fillId="7" borderId="8" applyAlignment="1" pivotButton="0" quotePrefix="0" xfId="2">
      <alignment vertical="center" wrapText="1"/>
    </xf>
    <xf numFmtId="171" fontId="12" fillId="7" borderId="6" applyAlignment="1" pivotButton="0" quotePrefix="0" xfId="2">
      <alignment vertical="center" wrapText="1"/>
    </xf>
    <xf numFmtId="168" fontId="28" fillId="3" borderId="0" applyAlignment="1" pivotButton="0" quotePrefix="0" xfId="0">
      <alignment horizontal="left"/>
    </xf>
    <xf numFmtId="166" fontId="6" fillId="0" borderId="0" pivotButton="0" quotePrefix="0" xfId="0"/>
    <xf numFmtId="167" fontId="6" fillId="0" borderId="0" pivotButton="0" quotePrefix="0" xfId="0"/>
    <xf numFmtId="166" fontId="36" fillId="0" borderId="0" pivotButton="0" quotePrefix="0" xfId="0"/>
    <xf numFmtId="167" fontId="36" fillId="0" borderId="0" pivotButton="0" quotePrefix="0" xfId="0"/>
    <xf numFmtId="166" fontId="43" fillId="0" borderId="0" pivotButton="0" quotePrefix="0" xfId="0"/>
    <xf numFmtId="167" fontId="43" fillId="0" borderId="0" pivotButton="0" quotePrefix="0" xfId="0"/>
    <xf numFmtId="167" fontId="25" fillId="3" borderId="0" applyAlignment="1" pivotButton="0" quotePrefix="0" xfId="0">
      <alignment horizontal="left" vertical="center" wrapText="1"/>
    </xf>
    <xf numFmtId="168" fontId="25" fillId="3" borderId="0" applyAlignment="1" pivotButton="0" quotePrefix="0" xfId="0">
      <alignment horizontal="left" vertical="center" wrapText="1"/>
    </xf>
    <xf numFmtId="169" fontId="21" fillId="0" borderId="0" applyAlignment="1" pivotButton="0" quotePrefix="0" xfId="0">
      <alignment vertical="center" wrapText="1"/>
    </xf>
    <xf numFmtId="170" fontId="21" fillId="0" borderId="0" applyAlignment="1" pivotButton="0" quotePrefix="0" xfId="0">
      <alignment vertical="center" wrapText="1"/>
    </xf>
    <xf numFmtId="170" fontId="21" fillId="4" borderId="0" applyAlignment="1" pivotButton="0" quotePrefix="0" xfId="0">
      <alignment vertical="center" wrapText="1"/>
    </xf>
    <xf numFmtId="169" fontId="14" fillId="0" borderId="0" applyAlignment="1" pivotButton="0" quotePrefix="0" xfId="0">
      <alignment vertical="center" wrapText="1"/>
    </xf>
    <xf numFmtId="170" fontId="0" fillId="0" borderId="0" applyAlignment="1" pivotButton="0" quotePrefix="0" xfId="0">
      <alignment vertical="center" wrapText="1"/>
    </xf>
    <xf numFmtId="169" fontId="24" fillId="0" borderId="0" applyAlignment="1" pivotButton="0" quotePrefix="0" xfId="0">
      <alignment vertical="center" wrapText="1"/>
    </xf>
    <xf numFmtId="167" fontId="0" fillId="0" borderId="0" applyAlignment="1" pivotButton="0" quotePrefix="0" xfId="0">
      <alignment wrapText="1"/>
    </xf>
    <xf numFmtId="167" fontId="15" fillId="0" borderId="0" applyAlignment="1" pivotButton="0" quotePrefix="0" xfId="0">
      <alignment horizontal="left" wrapText="1"/>
    </xf>
    <xf numFmtId="167" fontId="6" fillId="0" borderId="0" applyAlignment="1" pivotButton="0" quotePrefix="0" xfId="0">
      <alignment horizontal="right" wrapText="1"/>
    </xf>
    <xf numFmtId="167" fontId="1" fillId="0" borderId="0" applyAlignment="1" pivotButton="0" quotePrefix="0" xfId="0">
      <alignment horizontal="right" wrapText="1"/>
    </xf>
    <xf numFmtId="167" fontId="0" fillId="0" borderId="0" applyAlignment="1" pivotButton="0" quotePrefix="0" xfId="0">
      <alignment vertical="center" wrapText="1"/>
    </xf>
    <xf numFmtId="167" fontId="15" fillId="0" borderId="0" applyAlignment="1" pivotButton="0" quotePrefix="0" xfId="0">
      <alignment horizontal="left" vertical="center" wrapText="1"/>
    </xf>
    <xf numFmtId="167" fontId="6" fillId="0" borderId="0" applyAlignment="1" pivotButton="0" quotePrefix="0" xfId="0">
      <alignment horizontal="right" vertical="center" wrapText="1"/>
    </xf>
    <xf numFmtId="167" fontId="1" fillId="0" borderId="0" applyAlignment="1" pivotButton="0" quotePrefix="0" xfId="0">
      <alignment vertical="center" wrapText="1"/>
    </xf>
    <xf numFmtId="167" fontId="6" fillId="4" borderId="0" applyAlignment="1" pivotButton="0" quotePrefix="0" xfId="0">
      <alignment horizontal="right" vertical="center" wrapText="1"/>
    </xf>
    <xf numFmtId="169" fontId="13" fillId="0" borderId="3" applyAlignment="1" pivotButton="0" quotePrefix="0" xfId="0">
      <alignment horizontal="right" vertical="center" wrapText="1"/>
    </xf>
    <xf numFmtId="170" fontId="13" fillId="0" borderId="3" applyAlignment="1" pivotButton="0" quotePrefix="0" xfId="0">
      <alignment horizontal="right" vertical="center" wrapText="1"/>
    </xf>
    <xf numFmtId="170" fontId="13" fillId="4" borderId="3" applyAlignment="1" pivotButton="0" quotePrefix="0" xfId="0">
      <alignment horizontal="right" vertical="center" wrapText="1"/>
    </xf>
    <xf numFmtId="167" fontId="1" fillId="0" borderId="0" applyAlignment="1" pivotButton="0" quotePrefix="0" xfId="0">
      <alignment horizontal="right" vertical="center" wrapText="1"/>
    </xf>
    <xf numFmtId="167" fontId="14" fillId="0" borderId="0" applyAlignment="1" pivotButton="0" quotePrefix="0" xfId="0">
      <alignment horizontal="left" vertical="center" wrapText="1"/>
    </xf>
    <xf numFmtId="167" fontId="6" fillId="0" borderId="0" applyAlignment="1" pivotButton="0" quotePrefix="0" xfId="0">
      <alignment horizontal="left" vertical="center" wrapText="1"/>
    </xf>
    <xf numFmtId="167" fontId="11" fillId="8" borderId="12" applyAlignment="1" pivotButton="0" quotePrefix="0" xfId="0">
      <alignment horizontal="right" vertical="center" wrapText="1"/>
    </xf>
    <xf numFmtId="167" fontId="11" fillId="0" borderId="12" applyAlignment="1" pivotButton="0" quotePrefix="0" xfId="0">
      <alignment horizontal="right" vertical="center" wrapText="1"/>
    </xf>
  </cellXfs>
  <cellStyles count="4">
    <cellStyle name="Normal" xfId="0" builtinId="0"/>
    <cellStyle name="Hyperlink" xfId="1" builtinId="8"/>
    <cellStyle name="Comma" xfId="2" builtinId="3"/>
    <cellStyle name="Percent" xfId="3" builtinId="5"/>
  </cellStyles>
  <dxfs count="802">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numFmt numFmtId="3" formatCode="#,##0"/>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center" wrapText="1"/>
    </dxf>
    <dxf>
      <border outline="0">
        <bottom style="medium">
          <color theme="6"/>
        </bottom>
      </border>
    </dxf>
    <dxf>
      <alignment horizontal="left" vertical="center" wrapText="1"/>
    </dxf>
    <dxf>
      <font>
        <name val="Arial"/>
        <family val="2"/>
        <strike val="0"/>
        <outline val="0"/>
        <shadow val="0"/>
        <condense val="0"/>
        <color theme="1"/>
        <extend val="0"/>
        <sz val="10"/>
        <vertAlign val="baseline"/>
      </font>
      <alignment horizontal="right" vertical="center" wrapText="1"/>
    </dxf>
    <dxf>
      <font>
        <name val="Arial"/>
        <family val="2"/>
        <strike val="0"/>
        <outline val="0"/>
        <shadow val="0"/>
        <condense val="0"/>
        <color theme="1"/>
        <extend val="0"/>
        <sz val="10"/>
        <vertAlign val="baseline"/>
      </font>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fill>
        <patternFill patternType="solid">
          <fgColor indexed="64"/>
          <bgColor rgb="FFDAD2E9"/>
        </patternFill>
      </fill>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3" formatCode="#,##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0" formatCode="&quot;$&quot;#,##0_);[Red]\(&quot;$&quot;#,##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numFmt numFmtId="12" formatCode="&quot;$&quot;#,##0.00_);[Red]\(&quot;$&quot;#,##0.00\)"/>
      <alignment horizontal="right"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alignment horizontal="general" vertical="center" wrapText="1"/>
      <border>
        <left style="medium">
          <color rgb="FFCCCCCC"/>
        </left>
        <right style="medium">
          <color rgb="FFCCCCCC"/>
        </right>
        <top style="medium">
          <color rgb="FFCCCCCC"/>
        </top>
        <bottom style="medium">
          <color rgb="FFCCCCCC"/>
        </bottom>
        <vertical/>
        <horizontal/>
      </border>
    </dxf>
    <dxf>
      <font>
        <name val="Arial"/>
        <family val="2"/>
        <strike val="0"/>
        <outline val="0"/>
        <shadow val="0"/>
        <condense val="0"/>
        <color theme="1"/>
        <extend val="0"/>
        <sz val="10"/>
        <vertAlign val="baseline"/>
      </font>
      <alignment horizontal="general" vertical="center" wrapText="1"/>
      <border outline="0">
        <left style="medium">
          <color rgb="FFCCCCCC"/>
        </left>
        <right style="medium">
          <color rgb="FFCCCCCC"/>
        </right>
        <top style="medium">
          <color rgb="FFCCCCCC"/>
        </top>
        <bottom style="medium">
          <color rgb="FFCCCCCC"/>
        </bottom>
      </border>
    </dxf>
    <dxf>
      <font>
        <name val="Arial"/>
        <family val="2"/>
        <strike val="0"/>
        <outline val="0"/>
        <shadow val="0"/>
        <condense val="0"/>
        <color theme="1"/>
        <extend val="0"/>
        <sz val="10"/>
        <vertAlign val="baseline"/>
      </font>
      <alignment horizontal="general" vertical="center" wrapText="1"/>
      <border outline="0">
        <left style="medium">
          <color rgb="FFCCCCCC"/>
        </left>
        <right style="medium">
          <color rgb="FFCCCCCC"/>
        </right>
        <top style="medium">
          <color rgb="FFCCCCCC"/>
        </top>
        <bottom style="medium">
          <color rgb="FFCCCCCC"/>
        </bottom>
      </border>
    </dxf>
    <dxf>
      <border outline="0">
        <top style="thin">
          <color theme="6"/>
        </top>
      </border>
    </dxf>
    <dxf>
      <font>
        <name val="Arial"/>
        <family val="2"/>
        <strike val="0"/>
        <outline val="0"/>
        <shadow val="0"/>
        <condense val="0"/>
        <color theme="1"/>
        <extend val="0"/>
        <sz val="10"/>
        <vertAlign val="baseline"/>
      </font>
      <numFmt numFmtId="3" formatCode="#,##0"/>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8"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8"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alignment horizontal="lef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2" formatCode="0.0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3" formatCode="#,##0"/>
      <alignment horizontal="right" vertical="bottom"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bottom" wrapText="1"/>
    </dxf>
    <dxf>
      <font>
        <name val="Calibri"/>
        <family val="2"/>
        <strike val="0"/>
        <outline val="0"/>
        <shadow val="0"/>
        <condense val="0"/>
        <color theme="1"/>
        <extend val="0"/>
        <sz val="10"/>
        <vertAlign val="baseline"/>
        <scheme val="minor"/>
      </font>
      <numFmt numFmtId="164" formatCode="&quot;$&quot;#,##0"/>
      <alignment horizontal="right" vertical="bottom" wrapText="1"/>
    </dxf>
    <dxf>
      <font>
        <name val="Calibri"/>
        <family val="2"/>
        <strike val="0"/>
        <outline val="0"/>
        <shadow val="0"/>
        <condense val="0"/>
        <color theme="1"/>
        <extend val="0"/>
        <sz val="10"/>
        <vertAlign val="baseline"/>
        <scheme val="minor"/>
      </font>
      <numFmt numFmtId="168" formatCode="&quot;$&quot;#,##0.00"/>
      <alignment horizontal="righ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bottom"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numFmt numFmtId="3" formatCode="#,##0"/>
      <alignment horizontal="right" vertical="bottom" wrapText="1"/>
    </dxf>
    <dxf>
      <border outline="0">
        <bottom style="medium">
          <color theme="6"/>
        </bottom>
      </border>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numFmt numFmtId="0" formatCode="General"/>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sz val="10"/>
        <u val="single"/>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rgb="FF000000"/>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font>
        <name val="Calibri"/>
        <family val="2"/>
        <strike val="0"/>
        <outline val="0"/>
        <shadow val="0"/>
        <color theme="10"/>
        <u val="single"/>
        <vertAlign val="baseline"/>
      </font>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2" formatCode="0.00"/>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numFmt numFmtId="3" formatCode="#,##0"/>
      <alignment horizontal="general" vertical="center" wrapText="1"/>
    </dxf>
    <dxf>
      <font>
        <name val="Calibri"/>
        <family val="2"/>
        <strike val="0"/>
        <outline val="0"/>
        <shadow val="0"/>
        <condense val="0"/>
        <color theme="1"/>
        <extend val="0"/>
        <sz val="10"/>
        <vertAlign val="baseline"/>
      </font>
      <numFmt numFmtId="10" formatCode="&quot;$&quot;#,##0_);[Red]\(&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font>
      <numFmt numFmtId="10" formatCode="&quot;$&quot;#,##0_);[Red]\(&quot;$&quot;#,##0\)"/>
      <alignment horizontal="general" vertical="center" wrapText="1"/>
    </dxf>
    <dxf>
      <font>
        <name val="Calibri"/>
        <family val="2"/>
        <strike val="0"/>
        <outline val="0"/>
        <shadow val="0"/>
        <condense val="0"/>
        <color theme="1"/>
        <extend val="0"/>
        <sz val="10"/>
        <vertAlign val="baseline"/>
      </font>
      <numFmt numFmtId="12" formatCode="&quot;$&quot;#,##0.00_);[Red]\(&quot;$&quot;#,##0.00\)"/>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left"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ndense val="0"/>
        <color theme="1"/>
        <extend val="0"/>
        <sz val="10"/>
        <vertAlign val="baseline"/>
      </font>
      <alignment horizontal="general" vertical="center" wrapText="1"/>
    </dxf>
    <dxf>
      <font>
        <name val="Calibri"/>
        <family val="2"/>
        <strike val="0"/>
        <outline val="0"/>
        <shadow val="0"/>
        <color auto="1"/>
        <sz val="12"/>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8" formatCode="&quot;$&quot;#,##0.00"/>
    </dxf>
    <dxf>
      <font>
        <name val="Calibri"/>
        <family val="2"/>
        <strike val="0"/>
        <outline val="0"/>
        <shadow val="0"/>
        <condense val="0"/>
        <color theme="1"/>
        <extend val="0"/>
        <sz val="10"/>
        <vertAlign val="baseline"/>
        <scheme val="minor"/>
      </font>
      <numFmt numFmtId="168" formatCode="&quot;$&quot;#,##0.00"/>
    </dxf>
    <dxf>
      <font>
        <name val="Calibri"/>
        <family val="2"/>
        <strike val="0"/>
        <outline val="0"/>
        <shadow val="0"/>
        <condense val="0"/>
        <color theme="1"/>
        <extend val="0"/>
        <sz val="10"/>
        <vertAlign val="baseline"/>
        <scheme val="minor"/>
      </font>
      <numFmt numFmtId="167"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font>
        <name val="Arial"/>
        <family val="2"/>
        <strike val="0"/>
        <outline val="0"/>
        <shadow val="0"/>
        <condense val="0"/>
        <color rgb="FF000000"/>
        <extend val="0"/>
        <sz val="10"/>
        <vertAlign val="baseline"/>
      </font>
      <numFmt numFmtId="3" formatCode="#,##0"/>
      <fill>
        <patternFill patternType="solid">
          <fgColor theme="6" tint="0.7999816888943144"/>
          <bgColor rgb="FFDAD2E9"/>
        </patternFill>
      </fill>
      <border outline="0">
        <left/>
        <right/>
        <top/>
        <bottom style="double">
          <color rgb="FF000000"/>
        </bottom>
      </border>
    </dxf>
    <dxf>
      <font>
        <name val="Arial"/>
        <family val="2"/>
        <strike val="0"/>
        <outline val="0"/>
        <shadow val="0"/>
        <condense val="0"/>
        <color rgb="FF000000"/>
        <extend val="0"/>
        <sz val="10"/>
        <vertAlign val="baseline"/>
      </font>
      <numFmt numFmtId="3" formatCode="#,##0"/>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Arial"/>
        <family val="2"/>
        <strike val="0"/>
        <outline val="0"/>
        <shadow val="0"/>
        <condense val="0"/>
        <color rgb="FF000000"/>
        <extend val="0"/>
        <sz val="10"/>
        <vertAlign val="baseline"/>
      </font>
      <numFmt numFmtId="3" formatCode="#,##0"/>
      <alignment horizontal="general" vertical="center" wrapText="1"/>
    </dxf>
    <dxf>
      <font>
        <name val="Calibri"/>
        <family val="2"/>
        <strike val="0"/>
        <outline val="0"/>
        <shadow val="0"/>
        <condense val="0"/>
        <color rgb="FF000000"/>
        <extend val="0"/>
        <sz val="10"/>
        <vertAlign val="baseline"/>
        <scheme val="minor"/>
      </font>
      <numFmt numFmtId="3" formatCode="#,##0"/>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Arial"/>
        <family val="2"/>
        <strike val="0"/>
        <outline val="0"/>
        <shadow val="0"/>
        <condense val="0"/>
        <color rgb="FF000000"/>
        <extend val="0"/>
        <sz val="10"/>
        <vertAlign val="baseline"/>
      </font>
      <numFmt numFmtId="164" formatCode="&quot;$&quot;#,##0"/>
      <border>
        <left/>
        <right/>
        <top/>
        <bottom style="double">
          <color rgb="FF000000"/>
        </bottom>
        <vertical/>
        <horizontal/>
      </border>
    </dxf>
    <dxf>
      <font>
        <name val="Arial"/>
        <family val="2"/>
        <strike val="0"/>
        <outline val="0"/>
        <shadow val="0"/>
        <condense val="0"/>
        <color rgb="FF000000"/>
        <extend val="0"/>
        <sz val="10"/>
        <vertAlign val="baseline"/>
      </font>
      <numFmt numFmtId="164" formatCode="&quot;$&quot;#,##0"/>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center"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left style="thin">
          <color indexed="64"/>
        </left>
        <right/>
        <top/>
        <bottom/>
        <vertical/>
        <horizontal/>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Arial"/>
        <family val="2"/>
        <strike val="0"/>
        <outline val="0"/>
        <shadow val="0"/>
        <condense val="0"/>
        <color rgb="FF000000"/>
        <extend val="0"/>
        <sz val="10"/>
        <vertAlign val="baseline"/>
      </font>
      <numFmt numFmtId="164" formatCode="&quot;$&quot;#,##0"/>
      <alignment horizontal="general" vertical="center" wrapText="1"/>
      <border outline="0">
        <left/>
        <right/>
        <top/>
        <bottom style="double">
          <color rgb="FF000000"/>
        </bottom>
      </border>
    </dxf>
    <dxf>
      <font>
        <name val="Calibri"/>
        <family val="2"/>
        <strike val="0"/>
        <outline val="0"/>
        <shadow val="0"/>
        <condense val="0"/>
        <color rgb="FF000000"/>
        <extend val="0"/>
        <sz val="10"/>
        <vertAlign val="baseline"/>
        <scheme val="minor"/>
      </font>
      <alignment horizontal="center" vertical="bottom"/>
      <border>
        <left/>
        <right/>
        <top/>
        <bottom style="double">
          <color rgb="FF000000"/>
        </bottom>
        <vertical/>
        <horizontal/>
      </border>
    </dxf>
    <dxf>
      <font>
        <name val="Arial"/>
        <family val="2"/>
        <strike val="0"/>
        <outline val="0"/>
        <shadow val="0"/>
        <condense val="0"/>
        <color rgb="FF000000"/>
        <extend val="0"/>
        <sz val="10"/>
        <vertAlign val="baseline"/>
      </font>
    </dxf>
    <dxf>
      <font>
        <name val="Calibri"/>
        <family val="2"/>
        <b val="1"/>
        <strike val="0"/>
        <outline val="0"/>
        <shadow val="0"/>
        <condense val="0"/>
        <color theme="1"/>
        <extend val="0"/>
        <sz val="10"/>
        <vertAlign val="baseline"/>
      </font>
      <fill>
        <patternFill patternType="solid">
          <fgColor indexed="64"/>
          <bgColor rgb="FFD9D2E9"/>
        </patternFill>
      </fill>
      <alignment horizontal="center" vertical="center" wrapText="1"/>
      <border outline="0">
        <left style="medium">
          <color rgb="FFCCCCCC"/>
        </left>
        <right style="medium">
          <color rgb="FFCCCCCC"/>
        </right>
        <top/>
        <bottom/>
      </border>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8"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numFmt numFmtId="169" formatCode="_(* #,##0_);_(* \(#,##0\);_(* &quot;-&quot;??_);_(@_)"/>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8" formatCode="&quot;$&quot;#,##0.00"/>
      <alignment horizontal="general" vertical="center" wrapText="1"/>
    </dxf>
    <dxf>
      <font>
        <name val="Calibri"/>
        <family val="2"/>
        <strike val="0"/>
        <outline val="0"/>
        <shadow val="0"/>
        <condense val="0"/>
        <color theme="1"/>
        <extend val="0"/>
        <sz val="10"/>
        <vertAlign val="baseline"/>
        <scheme val="minor"/>
      </font>
      <numFmt numFmtId="14" formatCode="0.00%"/>
      <alignment horizontal="general" vertical="center" wrapText="1"/>
    </dxf>
    <dxf>
      <font>
        <name val="Calibri"/>
        <family val="2"/>
        <strike val="0"/>
        <outline val="0"/>
        <shadow val="0"/>
        <condense val="0"/>
        <color theme="1"/>
        <extend val="0"/>
        <sz val="10"/>
        <vertAlign val="baseline"/>
        <scheme val="minor"/>
      </font>
      <numFmt numFmtId="3" formatCode="#,##0"/>
      <alignment horizontal="general" vertical="center" wrapText="1"/>
    </dxf>
    <dxf>
      <font>
        <name val="Calibri"/>
        <family val="2"/>
        <strike val="0"/>
        <outline val="0"/>
        <shadow val="0"/>
        <condense val="0"/>
        <color theme="1"/>
        <extend val="0"/>
        <sz val="10"/>
        <vertAlign val="baseline"/>
        <scheme val="minor"/>
      </font>
      <numFmt numFmtId="164" formatCode="&quot;$&quot;#,##0"/>
      <fill>
        <patternFill>
          <fgColor indexed="64"/>
          <bgColor auto="1"/>
        </patternFill>
      </fill>
      <alignment horizontal="general"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general"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strike val="0"/>
        <outline val="0"/>
        <shadow val="0"/>
        <condense val="0"/>
        <color rgb="FF000000"/>
        <extend val="0"/>
        <sz val="10"/>
        <vertAlign val="baseline"/>
      </font>
      <alignment horizontal="center" vertical="center" wrapText="1"/>
    </dxf>
    <dxf>
      <font>
        <name val="Calibri"/>
        <family val="2"/>
        <strike val="0"/>
        <outline val="0"/>
        <shadow val="0"/>
        <condense val="0"/>
        <color theme="1"/>
        <extend val="0"/>
        <sz val="10"/>
        <vertAlign val="baseline"/>
        <scheme val="minor"/>
      </font>
      <alignment horizontal="general" vertical="center" wrapText="1"/>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8"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rgb="FFA5A5A5"/>
        </top>
      </border>
    </dxf>
    <dxf>
      <font>
        <name val="Calibri"/>
        <family val="2"/>
        <strike val="0"/>
        <outline val="0"/>
        <shadow val="0"/>
        <condense val="0"/>
        <color rgb="FF000000"/>
        <extend val="0"/>
        <sz val="10"/>
        <vertAlign val="baseline"/>
      </font>
      <alignment horizontal="right" vertical="center" wrapText="1"/>
    </dxf>
    <dxf>
      <border outline="0">
        <bottom style="medium">
          <color rgb="FFA5A5A5"/>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1729362</colOff>
      <row>0</row>
      <rowOff>1</rowOff>
    </from>
    <to>
      <col>7</col>
      <colOff>94575</colOff>
      <row>5</row>
      <rowOff>12860</rowOff>
    </to>
    <pic>
      <nvPicPr>
        <cNvPr id="2" name="Picture 1"/>
        <cNvPicPr>
          <a:picLocks noChangeAspect="1"/>
        </cNvPicPr>
      </nvPicPr>
      <blipFill>
        <a:blip r:embed="rId1"/>
        <a:stretch>
          <a:fillRect/>
        </a:stretch>
      </blipFill>
      <spPr>
        <a:xfrm>
          <a:off x="8336064" y="1"/>
          <a:ext cx="3256064" cy="958604"/>
        </a:xfrm>
        <a:prstGeom prst="rect">
          <avLst/>
        </a:prstGeom>
        <a:ln>
          <a:prstDash val="solid"/>
        </a:ln>
      </spPr>
    </pic>
    <clientData/>
  </twoCellAnchor>
</wsDr>
</file>

<file path=xl/tables/table1.xml><?xml version="1.0" encoding="utf-8"?>
<table xmlns="http://schemas.openxmlformats.org/spreadsheetml/2006/main" id="1" name="Table98" displayName="Table98" ref="A2:I27" headerRowCount="1" totalsRowShown="0" headerRowDxfId="771" dataDxfId="770">
  <autoFilter ref="A2:I27"/>
  <sortState ref="A3:I27">
    <sortCondition descending="1" ref="C2:C27"/>
  </sortState>
  <tableColumns count="9">
    <tableColumn id="1" name="Brand" dataDxfId="769"/>
    <tableColumn id="2" name="# of Listings" dataDxfId="768"/>
    <tableColumn id="3" name="Monthly Rev" dataDxfId="767"/>
    <tableColumn id="4" name="Estimated 12mo Revenue" dataDxfId="766"/>
    <tableColumn id="5" name="Monthly Units" dataDxfId="765"/>
    <tableColumn id="6" name="Monthly Rev Market Share %" dataDxfId="764" dataCellStyle="Percent"/>
    <tableColumn id="7" name="Price Per Unit" dataDxfId="763"/>
    <tableColumn id="8" name="Total Reviews" dataDxfId="762"/>
    <tableColumn id="9" name="Avg Rating" dataDxfId="761"/>
  </tableColumns>
  <tableStyleInfo name="TableStyleLight18" showFirstColumn="0" showLastColumn="0" showRowStripes="1" showColumnStripes="0"/>
</table>
</file>

<file path=xl/tables/table2.xml><?xml version="1.0" encoding="utf-8"?>
<table xmlns="http://schemas.openxmlformats.org/spreadsheetml/2006/main" id="2" name="Table109" displayName="Table109" ref="A33:I58" headerRowCount="1" totalsRowShown="0" headerRowDxfId="760" dataDxfId="759">
  <autoFilter ref="A33:I58"/>
  <sortState ref="A34:I58">
    <sortCondition descending="1" ref="E33:E58"/>
  </sortState>
  <tableColumns count="9">
    <tableColumn id="1" name="Brand" dataDxfId="758"/>
    <tableColumn id="2" name="# of Listings" dataDxfId="757"/>
    <tableColumn id="3" name="Monthly Rev" dataDxfId="756"/>
    <tableColumn id="4" name="Estimated 12mo Units" dataDxfId="755" dataCellStyle="Comma"/>
    <tableColumn id="5" name="Monthly Units" dataDxfId="754"/>
    <tableColumn id="6" name="Monthly Unit Market Share %" dataDxfId="753" dataCellStyle="Percent"/>
    <tableColumn id="7" name="Price Per Unit" dataDxfId="752"/>
    <tableColumn id="8" name="Reviews" dataDxfId="751"/>
    <tableColumn id="9" name="Avg Rating" dataDxfId="750"/>
  </tableColumns>
  <tableStyleInfo name="TableStyleLight18" showFirstColumn="0" showLastColumn="0" showRowStripes="1" showColumnStripes="0"/>
</table>
</file>

<file path=xl/tables/table3.xml><?xml version="1.0" encoding="utf-8"?>
<table xmlns="http://schemas.openxmlformats.org/spreadsheetml/2006/main" id="3" name="Table11" displayName="Table11" ref="A2:N27" headerRowCount="1" totalsRowShown="0" headerRowDxfId="749" dataDxfId="748">
  <autoFilter ref="A2:N27"/>
  <sortState ref="A3:N27">
    <sortCondition descending="1" ref="N2:N27"/>
  </sortState>
  <tableColumns count="14">
    <tableColumn id="1" name="Brand" dataDxfId="747"/>
    <tableColumn id="6" name="April '25" dataDxfId="746"/>
    <tableColumn id="7" name="May '25" dataDxfId="745"/>
    <tableColumn id="8" name="June '25" dataDxfId="744"/>
    <tableColumn id="9" name="July '25" dataDxfId="743"/>
    <tableColumn id="10" name="August '25" dataDxfId="742"/>
    <tableColumn id="11" name="September '25" dataDxfId="741"/>
    <tableColumn id="12" name="October '25" dataDxfId="740"/>
    <tableColumn id="13" name="November '25" dataDxfId="739"/>
    <tableColumn id="14" name="December '25" dataDxfId="738"/>
    <tableColumn id="15" name="January '26" dataDxfId="737"/>
    <tableColumn id="16" name="February '26" dataDxfId="736"/>
    <tableColumn id="4" name="March '26" dataDxfId="735"/>
    <tableColumn id="2" name="Grand Total" dataDxfId="734">
      <calculatedColumnFormula>SUM(Table11[[#This Row],[April ''25]:[March ''26]])</calculatedColumnFormula>
    </tableColumn>
  </tableColumns>
  <tableStyleInfo name="TableStyleLight18" showFirstColumn="0" showLastColumn="0" showRowStripes="1" showColumnStripes="0"/>
</table>
</file>

<file path=xl/tables/table4.xml><?xml version="1.0" encoding="utf-8"?>
<table xmlns="http://schemas.openxmlformats.org/spreadsheetml/2006/main" id="4" name="Table12" displayName="Table12" ref="A32:N57" headerRowCount="1" totalsRowShown="0" headerRowDxfId="733" dataDxfId="732">
  <autoFilter ref="A32:N57"/>
  <sortState ref="A33:N57">
    <sortCondition descending="1" ref="N32:N57"/>
  </sortState>
  <tableColumns count="14">
    <tableColumn id="1" name="Brand" dataDxfId="731"/>
    <tableColumn id="6" name="April '25" dataDxfId="730" dataCellStyle="Comma"/>
    <tableColumn id="7" name="May '25" dataDxfId="729" dataCellStyle="Comma"/>
    <tableColumn id="8" name="June '25" dataDxfId="728" dataCellStyle="Comma"/>
    <tableColumn id="9" name="July '25" dataDxfId="727" dataCellStyle="Comma"/>
    <tableColumn id="10" name="August '25" dataDxfId="726"/>
    <tableColumn id="11" name="September '25" dataDxfId="725" dataCellStyle="Comma"/>
    <tableColumn id="12" name="October '25" dataDxfId="724" dataCellStyle="Comma"/>
    <tableColumn id="13" name="November '25" dataDxfId="723"/>
    <tableColumn id="14" name="December '25" dataDxfId="722"/>
    <tableColumn id="2" name="January '26" dataDxfId="721"/>
    <tableColumn id="3" name="February '26" dataDxfId="720"/>
    <tableColumn id="5" name="March '26" dataDxfId="719"/>
    <tableColumn id="4" name="Grand Total" dataDxfId="718">
      <calculatedColumnFormula>SUM(B33:M33)</calculatedColumnFormula>
    </tableColumn>
  </tableColumns>
  <tableStyleInfo name="TableStyleLight18" showFirstColumn="0" showLastColumn="0" showRowStripes="1" showColumnStripes="0"/>
</table>
</file>

<file path=xl/tables/table5.xml><?xml version="1.0" encoding="utf-8"?>
<table xmlns="http://schemas.openxmlformats.org/spreadsheetml/2006/main" id="5" name="Table712" displayName="Table712" ref="A2:L52" headerRowCount="1" totalsRowShown="0" headerRowDxfId="717">
  <autoFilter ref="A2:L52"/>
  <sortState ref="A3:L52">
    <sortCondition descending="1" ref="G2:G52"/>
  </sortState>
  <tableColumns count="12">
    <tableColumn id="1" name="Ranking" dataDxfId="716"/>
    <tableColumn id="2" name="ASIN" dataDxfId="715"/>
    <tableColumn id="3" name="Product Name" dataDxfId="714"/>
    <tableColumn id="4" name="Brand" dataDxfId="713"/>
    <tableColumn id="12" name="Type" dataDxfId="712"/>
    <tableColumn id="5" name="Price" dataDxfId="711"/>
    <tableColumn id="6" name="Est. Monthly Retail Rev" dataDxfId="710"/>
    <tableColumn id="7" name="Est. Monthly Units Sold" dataDxfId="709"/>
    <tableColumn id="8" name="# of Reviews" dataDxfId="708"/>
    <tableColumn id="9" name="Avg. Rating" dataDxfId="707"/>
    <tableColumn id="11" name="Column2" dataDxfId="706"/>
    <tableColumn id="10" name="Link" dataDxfId="705"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6" name="Table813" displayName="Table813" ref="A56:L106" headerRowCount="1" totalsRowShown="0" headerRowDxfId="704">
  <autoFilter ref="A56:L106"/>
  <sortState ref="A57:L106">
    <sortCondition descending="1" ref="H56:H106"/>
  </sortState>
  <tableColumns count="12">
    <tableColumn id="1" name="Ranking" dataDxfId="703"/>
    <tableColumn id="2" name="ASIN" dataDxfId="702"/>
    <tableColumn id="3" name="Product Name" dataDxfId="701"/>
    <tableColumn id="4" name="Brand" dataDxfId="700"/>
    <tableColumn id="12" name="Type" dataDxfId="699"/>
    <tableColumn id="5" name="Price" dataDxfId="698"/>
    <tableColumn id="6" name="Est. Monthly Retail Rev" dataDxfId="697"/>
    <tableColumn id="7" name="Est. Monthly Units Sold" dataDxfId="696"/>
    <tableColumn id="8" name="# of Reviews" dataDxfId="695"/>
    <tableColumn id="9" name="Avg. Rating" dataDxfId="694"/>
    <tableColumn id="11" name="Column2" dataDxfId="693"/>
    <tableColumn id="10" name="Link" dataDxfId="692"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id="7" name="Table1" displayName="Table1" ref="A8:N51" headerRowCount="1" totalsRowShown="0" headerRowDxfId="691" dataDxfId="690">
  <autoFilter ref="A8:N51"/>
  <tableColumns count="14">
    <tableColumn id="1" name="Product Name" dataDxfId="689"/>
    <tableColumn id="2" name="ASIN" dataDxfId="688"/>
    <tableColumn id="3" name="Item #" dataDxfId="687"/>
    <tableColumn id="4" name="1P/3P" dataDxfId="686"/>
    <tableColumn id="14" name="Type" dataDxfId="685"/>
    <tableColumn id="5" name="Avg Price" dataDxfId="684"/>
    <tableColumn id="6" name="Estimated 12mo Revenue" dataDxfId="683"/>
    <tableColumn id="7" name="Monthly Rev" dataDxfId="682"/>
    <tableColumn id="8" name="Estimated 12mo Units" dataDxfId="681"/>
    <tableColumn id="9" name="Monthly Unit Sales" dataDxfId="680"/>
    <tableColumn id="10" name="# of Reviews" dataDxfId="679"/>
    <tableColumn id="11" name="Tool Rating" dataDxfId="678"/>
    <tableColumn id="13" name="Column1" dataDxfId="677"/>
    <tableColumn id="12" name="Link" dataDxfId="676" dataCellStyle="Hyperlink"/>
  </tableColumns>
  <tableStyleInfo name="TableStyleLight18" showFirstColumn="0" showLastColumn="0" showRowStripes="1" showColumnStripes="0"/>
</table>
</file>

<file path=xl/tables/table8.xml><?xml version="1.0" encoding="utf-8"?>
<table xmlns="http://schemas.openxmlformats.org/spreadsheetml/2006/main" id="8" name="Table2" displayName="Table2" ref="A56:N99" headerRowCount="1" totalsRowShown="0" headerRowDxfId="675" dataDxfId="674">
  <autoFilter ref="A56:N99"/>
  <tableColumns count="14">
    <tableColumn id="1" name="Product Name" dataDxfId="673"/>
    <tableColumn id="2" name="ASIN" dataDxfId="672"/>
    <tableColumn id="3" name="Item #" dataDxfId="671"/>
    <tableColumn id="4" name="1P/3P" dataDxfId="670"/>
    <tableColumn id="14" name="Type" dataDxfId="669"/>
    <tableColumn id="5" name="Avg Price" dataDxfId="668"/>
    <tableColumn id="6" name="Estimated 12mo Revenue" dataDxfId="667"/>
    <tableColumn id="7" name="Monthly Rev" dataDxfId="666"/>
    <tableColumn id="8" name="Estimated 12mo Units" dataDxfId="665"/>
    <tableColumn id="9" name="Monthly Unit Sales" dataDxfId="664"/>
    <tableColumn id="10" name="# of Reviews" dataDxfId="663"/>
    <tableColumn id="11" name="Tool Rating" dataDxfId="662"/>
    <tableColumn id="13" name="Column1" dataDxfId="661"/>
    <tableColumn id="12" name="Link" dataDxfId="660" dataCellStyle="Hyperlink">
      <calculatedColumnFormula>HYPERLINK(Table2[[#This Row],[Column1]])</calculatedColumnFormula>
    </tableColumn>
  </tableColumns>
  <tableStyleInfo name="TableStyleLight18" showFirstColumn="0" showLastColumn="0" showRowStripes="1" showColumnStripes="0"/>
</table>
</file>

<file path=xl/tables/table9.xml><?xml version="1.0" encoding="utf-8"?>
<table xmlns="http://schemas.openxmlformats.org/spreadsheetml/2006/main" id="9" name="Table163" displayName="Table163" ref="A8:N33" headerRowCount="1" totalsRowShown="0" headerRowDxfId="659" dataDxfId="658">
  <autoFilter ref="A8:N33"/>
  <tableColumns count="14">
    <tableColumn id="1" name="Product Name" dataDxfId="657"/>
    <tableColumn id="2" name="ASIN" dataDxfId="656"/>
    <tableColumn id="3" name="Item #" dataDxfId="655"/>
    <tableColumn id="4" name="1P/3P" dataDxfId="654"/>
    <tableColumn id="14" name="Type" dataDxfId="653"/>
    <tableColumn id="5" name="Avg Price" dataDxfId="652"/>
    <tableColumn id="6" name="Estimated 12mo Revenue" dataDxfId="651"/>
    <tableColumn id="7" name="Monthly Rev" dataDxfId="650"/>
    <tableColumn id="8" name="Estimated 12mo Units" dataDxfId="649"/>
    <tableColumn id="9" name="Monthly Unit Sales" dataDxfId="648"/>
    <tableColumn id="10" name="# of Reviews" dataDxfId="647"/>
    <tableColumn id="11" name="Tool Rating" dataDxfId="646"/>
    <tableColumn id="13" name="Column1" dataDxfId="645"/>
    <tableColumn id="12" name="Link" dataDxfId="644"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id="10" name="Table264" displayName="Table264" ref="A38:N63" headerRowCount="1" totalsRowShown="0" headerRowDxfId="643" dataDxfId="642">
  <autoFilter ref="A38:N63"/>
  <tableColumns count="14">
    <tableColumn id="1" name="Product Name" dataDxfId="641"/>
    <tableColumn id="2" name="ASIN" dataDxfId="640"/>
    <tableColumn id="3" name="Item #" dataDxfId="639"/>
    <tableColumn id="4" name="1P/3P" dataDxfId="638"/>
    <tableColumn id="14" name="Type" dataDxfId="637"/>
    <tableColumn id="5" name="Avg Price" dataDxfId="636"/>
    <tableColumn id="6" name="Estimated 12mo Revenue" dataDxfId="635"/>
    <tableColumn id="7" name="Monthly Rev" dataDxfId="634"/>
    <tableColumn id="8" name="Estimated 12mo Units" dataDxfId="633"/>
    <tableColumn id="9" name="Monthly Unit Sales" dataDxfId="632"/>
    <tableColumn id="10" name="# of Reviews" dataDxfId="631"/>
    <tableColumn id="11" name="Tool Rating" dataDxfId="630"/>
    <tableColumn id="13" name="Column1" dataDxfId="629"/>
    <tableColumn id="12" name="Link" dataDxfId="628" dataCellStyle="Hyperlink">
      <calculatedColumnFormula>HYPERLINK(M39)</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id="11" name="Table165" displayName="Table165" ref="A8:N29" headerRowCount="1" totalsRowShown="0" headerRowDxfId="627" dataDxfId="626">
  <autoFilter ref="A8:N29"/>
  <tableColumns count="14">
    <tableColumn id="1" name="Product Name" dataDxfId="625"/>
    <tableColumn id="2" name="ASIN" dataDxfId="624"/>
    <tableColumn id="3" name="Item #" dataDxfId="623"/>
    <tableColumn id="4" name="1P/3P" dataDxfId="622"/>
    <tableColumn id="14" name="Type" dataDxfId="621"/>
    <tableColumn id="5" name="Avg Price" dataDxfId="620"/>
    <tableColumn id="6" name="Estimated 12mo Revenue" dataDxfId="619"/>
    <tableColumn id="7" name="Monthly Rev" dataDxfId="618"/>
    <tableColumn id="8" name="Estimated 12mo Units" dataDxfId="617"/>
    <tableColumn id="9" name="Monthly Unit Sales" dataDxfId="616"/>
    <tableColumn id="10" name="# of Reviews" dataDxfId="615"/>
    <tableColumn id="11" name="Tool Rating" dataDxfId="614"/>
    <tableColumn id="13" name="Column1" dataDxfId="613"/>
    <tableColumn id="12" name="Link" dataDxfId="612" dataCellStyle="Hyperlink">
      <calculatedColumnFormula>HYPERLINK(Table165[[#This Row],[Column1]])</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id="12" name="Table266" displayName="Table266" ref="A34:N55" headerRowCount="1" totalsRowShown="0" headerRowDxfId="611" dataDxfId="610">
  <autoFilter ref="A34:N55"/>
  <tableColumns count="14">
    <tableColumn id="1" name="Product Name" dataDxfId="609"/>
    <tableColumn id="2" name="ASIN" dataDxfId="608"/>
    <tableColumn id="3" name="Item #" dataDxfId="607"/>
    <tableColumn id="4" name="1P/3P" dataDxfId="606"/>
    <tableColumn id="14" name="Type" dataDxfId="605"/>
    <tableColumn id="5" name="Avg Price" dataDxfId="604"/>
    <tableColumn id="6" name="Estimated 12mo Revenue" dataDxfId="603"/>
    <tableColumn id="7" name="Monthly Rev" dataDxfId="602"/>
    <tableColumn id="8" name="Estimated 12mo Units" dataDxfId="601"/>
    <tableColumn id="9" name="Monthly Unit Sales" dataDxfId="600"/>
    <tableColumn id="10" name="# of Reviews" dataDxfId="599"/>
    <tableColumn id="11" name="Tool Rating" dataDxfId="598"/>
    <tableColumn id="13" name="Column1" dataDxfId="597"/>
    <tableColumn id="12" name="Link" dataDxfId="596" dataCellStyle="Hyperlink">
      <calculatedColumnFormula>HYPERLINK(Table266[[#This Row],[Column1]])</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id="13" name="Table21" displayName="Table21" ref="A8:L15" headerRowCount="1" totalsRowShown="0" dataDxfId="594" headerRowBorderDxfId="595" tableBorderDxfId="593">
  <autoFilter ref="A8:L15"/>
  <tableColumns count="12">
    <tableColumn id="1" name="Product Name" dataDxfId="592"/>
    <tableColumn id="2" name="ASIN" dataDxfId="591"/>
    <tableColumn id="12" name="Type" dataDxfId="590"/>
    <tableColumn id="3" name="Avg Price" dataDxfId="589"/>
    <tableColumn id="4" name="Estimated 12mo Revenue" dataDxfId="588"/>
    <tableColumn id="5" name="Monthly Rev" dataDxfId="587"/>
    <tableColumn id="6" name="Estimated 12mo Units" dataDxfId="586"/>
    <tableColumn id="7" name="Monthly Units" dataDxfId="585"/>
    <tableColumn id="8" name="# of Reviews" dataDxfId="584"/>
    <tableColumn id="9" name="Tool Rating " dataDxfId="583"/>
    <tableColumn id="11" name="Column1" dataDxfId="582"/>
    <tableColumn id="10" name="Link" dataDxfId="581" dataCellStyle="Hyperlink">
      <calculatedColumnFormula>HYPERLINK(Table21[[#This Row],[Column1]])</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id="14" name="Table22" displayName="Table22" ref="A20:L27" headerRowCount="1" totalsRowShown="0" dataDxfId="579" headerRowBorderDxfId="580" tableBorderDxfId="578">
  <autoFilter ref="A20:L27"/>
  <tableColumns count="12">
    <tableColumn id="1" name="Product Name" dataDxfId="577"/>
    <tableColumn id="2" name="ASIN" dataDxfId="576"/>
    <tableColumn id="12" name="Type" dataDxfId="575"/>
    <tableColumn id="3" name="Avg Price" dataDxfId="574"/>
    <tableColumn id="4" name="Estimated 12mo Revenue" dataDxfId="573"/>
    <tableColumn id="5" name="Monthly Rev" dataDxfId="572"/>
    <tableColumn id="6" name="Estimated 12mo Units" dataDxfId="571"/>
    <tableColumn id="7" name="Monthly Units" dataDxfId="570"/>
    <tableColumn id="8" name="# of Reviews" dataDxfId="569"/>
    <tableColumn id="9" name="Tool Rating " dataDxfId="568"/>
    <tableColumn id="11" name="Column1" dataDxfId="567"/>
    <tableColumn id="10" name="Link" dataDxfId="566" dataCellStyle="Hyperlink">
      <calculatedColumnFormula>HYPERLINK(Table22[[#This Row],[Column1]])</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id="15" name="Table54" displayName="Table54" ref="A8:L83" headerRowCount="1" totalsRowShown="0" dataDxfId="552">
  <autoFilter ref="A8:L83"/>
  <tableColumns count="12">
    <tableColumn id="1" name="Product Name" dataDxfId="551"/>
    <tableColumn id="2" name="ASIN" dataDxfId="550"/>
    <tableColumn id="12" name="Type" dataDxfId="549"/>
    <tableColumn id="3" name="Avg Price" dataDxfId="548"/>
    <tableColumn id="4" name="Estimated 12mo Revenue" dataDxfId="547"/>
    <tableColumn id="5" name="Monthly Rev" dataDxfId="546"/>
    <tableColumn id="6" name="Estimated 12mo Units" dataDxfId="545"/>
    <tableColumn id="7" name="Monthly Units" dataDxfId="544"/>
    <tableColumn id="8" name="# of Reviews" dataDxfId="543"/>
    <tableColumn id="9" name="Tool Rating " dataDxfId="542"/>
    <tableColumn id="11" name="Column1" dataDxfId="541"/>
    <tableColumn id="10" name="Link" dataDxfId="540" dataCellStyle="Hyperlink"/>
  </tableColumns>
  <tableStyleInfo name="TableStyleLight18" showFirstColumn="0" showLastColumn="0" showRowStripes="1" showColumnStripes="0"/>
</table>
</file>

<file path=xl/tables/table16.xml><?xml version="1.0" encoding="utf-8"?>
<table xmlns="http://schemas.openxmlformats.org/spreadsheetml/2006/main" id="16" name="Table1410" displayName="Table1410" ref="A580:L1147" headerRowCount="1" totalsRowShown="0" dataDxfId="539">
  <autoFilter ref="A580:L1147"/>
  <tableColumns count="12">
    <tableColumn id="1" name="Product Name" dataDxfId="538"/>
    <tableColumn id="2" name="ASIN" dataDxfId="537"/>
    <tableColumn id="12" name="Type" dataDxfId="536"/>
    <tableColumn id="3" name="Avg Price" dataDxfId="535"/>
    <tableColumn id="4" name="Estimated 12mo Revenue" dataDxfId="534"/>
    <tableColumn id="5" name="Monthly Rev" dataDxfId="533"/>
    <tableColumn id="6" name="Estimated 12mo Units" dataDxfId="532"/>
    <tableColumn id="7" name="Monthly Units" dataDxfId="531"/>
    <tableColumn id="8" name="# of Reviews" dataDxfId="530"/>
    <tableColumn id="9" name="Tool Rating " dataDxfId="529"/>
    <tableColumn id="11" name="Column1" dataDxfId="528"/>
    <tableColumn id="10" name="Link" dataDxfId="527" dataCellStyle="Hyperlink">
      <calculatedColumnFormula>HYPERLINK(Table1410[[#This Row],[Column1]])</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id="17" name="Table1311" displayName="Table1311" ref="A8:L575" headerRowCount="1" totalsRowShown="0" dataDxfId="526">
  <autoFilter ref="A8:L575"/>
  <tableColumns count="12">
    <tableColumn id="1" name="Product Name" dataDxfId="525"/>
    <tableColumn id="2" name="ASIN" dataDxfId="524"/>
    <tableColumn id="12" name="Type" dataDxfId="523"/>
    <tableColumn id="3" name="Avg Price" dataDxfId="522"/>
    <tableColumn id="4" name="Estimated 12mo Revenue" dataDxfId="521"/>
    <tableColumn id="5" name="Monthly Rev" dataDxfId="520"/>
    <tableColumn id="6" name="Estimated 12mo Units" dataDxfId="519"/>
    <tableColumn id="7" name="Monthly Units" dataDxfId="518"/>
    <tableColumn id="8" name="# of Reviews" dataDxfId="517"/>
    <tableColumn id="9" name="Tool Rating " dataDxfId="516"/>
    <tableColumn id="11" name="Column1" dataDxfId="515"/>
    <tableColumn id="10" name="Link" dataDxfId="514" dataCellStyle="Hyperlink">
      <calculatedColumnFormula>HYPERLINK(Table1311[[#This Row],[Column1]])</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id="18" name="Table23" displayName="Table23" ref="A8:L10" headerRowCount="1" totalsRowShown="0" dataDxfId="512" headerRowBorderDxfId="513" tableBorderDxfId="511">
  <autoFilter ref="A8:L10"/>
  <tableColumns count="12">
    <tableColumn id="1" name="Product Name" dataDxfId="510"/>
    <tableColumn id="2" name="ASIN" dataDxfId="509"/>
    <tableColumn id="12" name="Type" dataDxfId="508"/>
    <tableColumn id="3" name="Avg Price" dataDxfId="507"/>
    <tableColumn id="4" name="Estimated 12mo Revenue" dataDxfId="506"/>
    <tableColumn id="5" name="Monthly Rev" dataDxfId="505"/>
    <tableColumn id="6" name="Estimated 12mo Units" dataDxfId="504"/>
    <tableColumn id="7" name="Monthly Units" dataDxfId="503"/>
    <tableColumn id="8" name="# of Reviews" dataDxfId="502"/>
    <tableColumn id="9" name="Tool Rating " dataDxfId="501"/>
    <tableColumn id="11" name="Column1" dataDxfId="500"/>
    <tableColumn id="10" name="Link" dataDxfId="499" dataCellStyle="Hyperlink">
      <calculatedColumnFormula>HYPERLINK(Table23[[#This Row],[Column1]])</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id="19" name="Table1950" displayName="Table1950" ref="A8:L27" headerRowCount="1" totalsRowShown="0" dataDxfId="497" headerRowBorderDxfId="498" tableBorderDxfId="496">
  <autoFilter ref="A8:L27"/>
  <tableColumns count="12">
    <tableColumn id="1" name="Product Name" dataDxfId="495"/>
    <tableColumn id="2" name="ASIN" dataDxfId="494"/>
    <tableColumn id="12" name="Type" dataDxfId="493"/>
    <tableColumn id="3" name="Avg Price" dataDxfId="492"/>
    <tableColumn id="4" name="Estimated 12mo Revenue" dataDxfId="491"/>
    <tableColumn id="5" name="Monthly Rev" dataDxfId="490"/>
    <tableColumn id="6" name="Estimated 12mo Units" dataDxfId="489"/>
    <tableColumn id="7" name="Monthly Units" dataDxfId="488"/>
    <tableColumn id="8" name="# of Reviews" dataDxfId="487"/>
    <tableColumn id="9" name="Tool Rating " dataDxfId="486"/>
    <tableColumn id="11" name="Column1" dataDxfId="485"/>
    <tableColumn id="10" name="Link" dataDxfId="484" dataCellStyle="Hyperlink">
      <calculatedColumnFormula>HYPERLINK(Table1950[[#This Row],[Column1]])</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id="20" name="Table267" displayName="Table267" ref="A8:L11" headerRowCount="1" totalsRowShown="0" dataDxfId="467" headerRowBorderDxfId="468" tableBorderDxfId="466">
  <autoFilter ref="A8:L11"/>
  <tableColumns count="12">
    <tableColumn id="1" name="Product Name" dataDxfId="465"/>
    <tableColumn id="2" name="ASIN" dataDxfId="464"/>
    <tableColumn id="12" name="Type" dataDxfId="463"/>
    <tableColumn id="3" name="Avg Price" dataDxfId="462"/>
    <tableColumn id="4" name="Estimated 12mo Revenue" dataDxfId="461"/>
    <tableColumn id="5" name="Monthly Rev" dataDxfId="460"/>
    <tableColumn id="6" name="Estimated 12mo Units" dataDxfId="459"/>
    <tableColumn id="7" name="Monthly Units" dataDxfId="458"/>
    <tableColumn id="8" name="# of Reviews" dataDxfId="457"/>
    <tableColumn id="9" name="Tool Rating " dataDxfId="456"/>
    <tableColumn id="11" name="Column1" dataDxfId="455"/>
    <tableColumn id="10" name="Link" dataDxfId="454" dataCellStyle="Hyperlink">
      <calculatedColumnFormula>HYPERLINK(K9)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id="21" name="Table38587" displayName="Table38587" ref="A16:L19" headerRowCount="1" totalsRowShown="0" dataDxfId="452" headerRowBorderDxfId="453" tableBorderDxfId="451">
  <autoFilter ref="A16:L19"/>
  <tableColumns count="12">
    <tableColumn id="1" name="Product Name" dataDxfId="450"/>
    <tableColumn id="2" name="ASIN" dataDxfId="449"/>
    <tableColumn id="12" name="Type" dataDxfId="448"/>
    <tableColumn id="3" name="Avg Price" dataDxfId="447"/>
    <tableColumn id="4" name="Estimated 12mo Revenue" dataDxfId="446"/>
    <tableColumn id="5" name="Monthly Rev" dataDxfId="445"/>
    <tableColumn id="6" name="Estimated 12mo Units" dataDxfId="444"/>
    <tableColumn id="7" name="Monthly Units" dataDxfId="443"/>
    <tableColumn id="8" name="# of Reviews" dataDxfId="442"/>
    <tableColumn id="9" name="Tool Rating " dataDxfId="441"/>
    <tableColumn id="11" name="Column1" dataDxfId="440"/>
    <tableColumn id="10" name="Link" dataDxfId="439" dataCellStyle="Hyperlink">
      <calculatedColumnFormula>HYPERLINK(K17)</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id="22" name="Table2720" displayName="Table2720" ref="A8:L54" headerRowCount="1" totalsRowShown="0" dataDxfId="437" headerRowBorderDxfId="438" tableBorderDxfId="436">
  <autoFilter ref="A8:L54"/>
  <tableColumns count="12">
    <tableColumn id="1" name="Product Name" dataDxfId="435"/>
    <tableColumn id="2" name="ASIN" dataDxfId="434"/>
    <tableColumn id="12" name="Type" dataDxfId="433"/>
    <tableColumn id="3" name="Avg Price" dataDxfId="432"/>
    <tableColumn id="4" name="Estimated 12mo Revenue" dataDxfId="431"/>
    <tableColumn id="5" name="Monthly Rev" dataDxfId="430"/>
    <tableColumn id="6" name="Estimated 12mo Units" dataDxfId="429"/>
    <tableColumn id="7" name="Monthly Units" dataDxfId="428"/>
    <tableColumn id="8" name="# of Reviews" dataDxfId="427"/>
    <tableColumn id="9" name="Tool Rating " dataDxfId="426"/>
    <tableColumn id="11" name="Column1" dataDxfId="425"/>
    <tableColumn id="10" name="Link" dataDxfId="424" dataCellStyle="Hyperlink">
      <calculatedColumnFormula>HYPERLINK(Table2720[[#This Row],[Column1]])</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id="23" name="Table2927" displayName="Table2927" ref="A8:L213" headerRowCount="1" totalsRowShown="0" dataDxfId="407" headerRowBorderDxfId="408" tableBorderDxfId="406">
  <autoFilter ref="A8:L213"/>
  <tableColumns count="12">
    <tableColumn id="1" name="Product Name" dataDxfId="405"/>
    <tableColumn id="2" name="ASIN" dataDxfId="404"/>
    <tableColumn id="12" name="Type" dataDxfId="403"/>
    <tableColumn id="3" name="Avg Price" dataDxfId="402"/>
    <tableColumn id="4" name="Estimated 12mo Revenue" dataDxfId="401"/>
    <tableColumn id="5" name="Monthly Rev" dataDxfId="400"/>
    <tableColumn id="6" name="Estimated 12mo Units" dataDxfId="399"/>
    <tableColumn id="7" name="Monthly Units" dataDxfId="398"/>
    <tableColumn id="8" name="# of Reviews" dataDxfId="397"/>
    <tableColumn id="9" name="Tool Rating " dataDxfId="396"/>
    <tableColumn id="11" name="Column1" dataDxfId="395"/>
    <tableColumn id="10" name="Link" dataDxfId="394" dataCellStyle="Hyperlink">
      <calculatedColumnFormula>HYPERLINK(Table2927[[#This Row],[Column1]])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id="24" name="Table3054" displayName="Table3054" ref="A218:L423" headerRowCount="1" totalsRowShown="0" dataDxfId="392" headerRowBorderDxfId="393" tableBorderDxfId="391">
  <autoFilter ref="A218:L423"/>
  <tableColumns count="12">
    <tableColumn id="1" name="Product Name" dataDxfId="390"/>
    <tableColumn id="2" name="ASIN" dataDxfId="389"/>
    <tableColumn id="12" name="Type" dataDxfId="388"/>
    <tableColumn id="3" name="Avg Price" dataDxfId="387"/>
    <tableColumn id="4" name="Estimated 12mo Revenue" dataDxfId="386"/>
    <tableColumn id="5" name="Monthly Rev" dataDxfId="385"/>
    <tableColumn id="6" name="Estimated 12mo Units" dataDxfId="384"/>
    <tableColumn id="7" name="Monthly Units" dataDxfId="383"/>
    <tableColumn id="8" name="# of Reviews" dataDxfId="382"/>
    <tableColumn id="9" name="Tool Rating " dataDxfId="381"/>
    <tableColumn id="11" name="Column1" dataDxfId="380"/>
    <tableColumn id="10" name="Link" dataDxfId="379" dataCellStyle="Hyperlink">
      <calculatedColumnFormula>HYPERLINK(Table3054[[#This Row],[Column1]])</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id="25" name="Table3155" displayName="Table3155" ref="A8:L174" headerRowCount="1" totalsRowShown="0" dataDxfId="377" headerRowBorderDxfId="378" tableBorderDxfId="376">
  <autoFilter ref="A8:L174"/>
  <tableColumns count="12">
    <tableColumn id="1" name="Product Name" dataDxfId="375"/>
    <tableColumn id="2" name="ASIN" dataDxfId="374"/>
    <tableColumn id="12" name="Type" dataDxfId="373"/>
    <tableColumn id="3" name="Avg Price" dataDxfId="372"/>
    <tableColumn id="4" name="Estimated 12mo Revenue" dataDxfId="371"/>
    <tableColumn id="5" name="Monthly Rev" dataDxfId="370"/>
    <tableColumn id="6" name="Estimated 12mo Units" dataDxfId="369"/>
    <tableColumn id="7" name="Monthly Units" dataDxfId="368"/>
    <tableColumn id="8" name="# of Reviews" dataDxfId="367"/>
    <tableColumn id="9" name="Tool Rating " dataDxfId="366"/>
    <tableColumn id="11" name="Column1" dataDxfId="365"/>
    <tableColumn id="10" name="Link" dataDxfId="364" dataCellStyle="Hyperlink">
      <calculatedColumnFormula>HYPERLINK(Table3155[[#This Row],[Column1]])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id="26" name="Table37" displayName="Table37" ref="A8:L30" headerRowCount="1" totalsRowShown="0" dataDxfId="347" headerRowBorderDxfId="348" tableBorderDxfId="346">
  <autoFilter ref="A8:L30"/>
  <tableColumns count="12">
    <tableColumn id="1" name="Product Name" dataDxfId="345"/>
    <tableColumn id="2" name="ASIN" dataDxfId="344"/>
    <tableColumn id="12" name="Type" dataDxfId="343"/>
    <tableColumn id="3" name="Avg Price" dataDxfId="342"/>
    <tableColumn id="4" name="Estimated 12mo Revenue" dataDxfId="341"/>
    <tableColumn id="5" name="Monthly Rev" dataDxfId="340"/>
    <tableColumn id="6" name="Estimated 12mo Units" dataDxfId="339"/>
    <tableColumn id="7" name="Monthly Units" dataDxfId="338"/>
    <tableColumn id="8" name="# of Reviews" dataDxfId="337"/>
    <tableColumn id="9" name="Tool Rating " dataDxfId="336"/>
    <tableColumn id="11" name="Column1" dataDxfId="335"/>
    <tableColumn id="10" name="Link" dataDxfId="334" dataCellStyle="Hyperlink"/>
  </tableColumns>
  <tableStyleInfo name="TableStyleLight18" showFirstColumn="0" showLastColumn="0" showRowStripes="1" showColumnStripes="0"/>
</table>
</file>

<file path=xl/tables/table27.xml><?xml version="1.0" encoding="utf-8"?>
<table xmlns="http://schemas.openxmlformats.org/spreadsheetml/2006/main" id="27" name="Table3660" displayName="Table3660" ref="A8:L290" headerRowCount="1" totalsRowShown="0" dataDxfId="302" headerRowBorderDxfId="303" tableBorderDxfId="301">
  <autoFilter ref="A8:L290"/>
  <tableColumns count="12">
    <tableColumn id="1" name="Product Name" dataDxfId="300"/>
    <tableColumn id="2" name="ASIN" dataDxfId="299"/>
    <tableColumn id="12" name="Type" dataDxfId="298"/>
    <tableColumn id="3" name="Avg Price" dataDxfId="297"/>
    <tableColumn id="4" name="Estimated 12mo Revenue" dataDxfId="296"/>
    <tableColumn id="5" name="Monthly Rev" dataDxfId="295"/>
    <tableColumn id="6" name="Estimated 12mo Units" dataDxfId="294"/>
    <tableColumn id="7" name="Monthly Units" dataDxfId="293"/>
    <tableColumn id="8" name="# of Reviews" dataDxfId="292"/>
    <tableColumn id="9" name="Tool Rating " dataDxfId="291"/>
    <tableColumn id="11" name="Column1" dataDxfId="290"/>
    <tableColumn id="10" name="Link" dataDxfId="289" dataCellStyle="Hyperlink">
      <calculatedColumnFormula>HYPERLINK(Table3660[[#This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id="28" name="Table244761" displayName="Table244761" ref="A8:L24" headerRowCount="1" totalsRowShown="0" dataDxfId="287" headerRowBorderDxfId="288" tableBorderDxfId="286">
  <autoFilter ref="A8:L24"/>
  <tableColumns count="12">
    <tableColumn id="1" name="Product Name"/>
    <tableColumn id="2" name="ASIN"/>
    <tableColumn id="12" name="Type"/>
    <tableColumn id="3" name="Avg Price"/>
    <tableColumn id="4" name="Estimated 12mo Revenue"/>
    <tableColumn id="5" name="Monthly Rev"/>
    <tableColumn id="6" name="Estimated 12mo Units"/>
    <tableColumn id="7" name="Monthly Units"/>
    <tableColumn id="8" name="# of Reviews"/>
    <tableColumn id="9" name="Tool Rating "/>
    <tableColumn id="11" name="Column1"/>
    <tableColumn id="10" name="Link" dataDxfId="285" dataCellStyle="Hyperlink">
      <calculatedColumnFormula>HYPERLINK(Table244761[[#This Row],[Column1]])</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id="29" name="Table254862" displayName="Table254862" ref="A29:L45" headerRowCount="1" totalsRowShown="0" dataDxfId="283" headerRowBorderDxfId="284" tableBorderDxfId="282">
  <autoFilter ref="A29:L45"/>
  <tableColumns count="12">
    <tableColumn id="1" name="Product Name" dataDxfId="281"/>
    <tableColumn id="2" name="ASIN" dataDxfId="280"/>
    <tableColumn id="12" name="Type" dataDxfId="279"/>
    <tableColumn id="3" name="Avg Price" dataDxfId="278"/>
    <tableColumn id="4" name="Estimated 12mo Revenue" dataDxfId="277"/>
    <tableColumn id="5" name="Monthly Rev" dataDxfId="276"/>
    <tableColumn id="6" name="Estimated 12mo Units" dataDxfId="275"/>
    <tableColumn id="7" name="Monthly Units" dataDxfId="274"/>
    <tableColumn id="8" name="# of Reviews" dataDxfId="273"/>
    <tableColumn id="9" name="Tool Rating " dataDxfId="272"/>
    <tableColumn id="11" name="Column1" dataDxfId="271"/>
    <tableColumn id="10" name="Link" dataDxfId="270" dataCellStyle="Hyperlink">
      <calculatedColumnFormula>HYPERLINK(Table254862[[#This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id="30" name="Table393767" displayName="Table393767" ref="A8:L14" headerRowCount="1" totalsRowShown="0" dataDxfId="268" headerRowBorderDxfId="269" tableBorderDxfId="267">
  <autoFilter ref="A8:L14"/>
  <tableColumns count="12">
    <tableColumn id="1" name="Product Name" dataDxfId="266"/>
    <tableColumn id="2" name="ASIN" dataDxfId="265"/>
    <tableColumn id="12" name="Type" dataDxfId="264"/>
    <tableColumn id="3" name="Avg Price" dataDxfId="263"/>
    <tableColumn id="4" name="Estimated 12mo Revenue" dataDxfId="262"/>
    <tableColumn id="5" name="Monthly Rev" dataDxfId="261"/>
    <tableColumn id="6" name="Estimated 12mo Units" dataDxfId="260"/>
    <tableColumn id="7" name="Monthly Units" dataDxfId="259"/>
    <tableColumn id="8" name="# of Reviews" dataDxfId="258"/>
    <tableColumn id="9" name="Tool Rating " dataDxfId="257"/>
    <tableColumn id="11" name="Column1" dataDxfId="256"/>
    <tableColumn id="10" name="Link" dataDxfId="255" dataCellStyle="Hyperlink">
      <calculatedColumnFormula>HYPERLINK(Table393767[[#This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id="31" name="Table404668" displayName="Table404668" ref="A19:L25" headerRowCount="1" totalsRowShown="0" dataDxfId="253" headerRowBorderDxfId="254" tableBorderDxfId="252">
  <autoFilter ref="A19:L25"/>
  <tableColumns count="12">
    <tableColumn id="1" name="Product Name" dataDxfId="251"/>
    <tableColumn id="2" name="ASIN" dataDxfId="250"/>
    <tableColumn id="12" name="Type" dataDxfId="249"/>
    <tableColumn id="3" name="Avg Price" dataDxfId="248"/>
    <tableColumn id="4" name="Estimated 12mo Revenue" dataDxfId="247"/>
    <tableColumn id="5" name="Monthly Rev" dataDxfId="246"/>
    <tableColumn id="6" name="Estimated 12mo Units" dataDxfId="245"/>
    <tableColumn id="7" name="Monthly Units" dataDxfId="244"/>
    <tableColumn id="8" name="# of Reviews" dataDxfId="243"/>
    <tableColumn id="9" name="Tool Rating " dataDxfId="242"/>
    <tableColumn id="11" name="Column1" dataDxfId="241"/>
    <tableColumn id="10" name="Link" dataDxfId="240" dataCellStyle="Hyperlink">
      <calculatedColumnFormula>HYPERLINK(Table404668[[#This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id="32" name="Table3969" displayName="Table3969" ref="A8:L12" headerRowCount="1" totalsRowShown="0" dataDxfId="238" headerRowBorderDxfId="239" tableBorderDxfId="237">
  <autoFilter ref="A8:L12"/>
  <tableColumns count="12">
    <tableColumn id="1" name="Product Name" dataDxfId="236"/>
    <tableColumn id="2" name="ASIN" dataDxfId="235"/>
    <tableColumn id="12" name="Type" dataDxfId="234"/>
    <tableColumn id="3" name="Avg Price" dataDxfId="233"/>
    <tableColumn id="4" name="Estimated 12mo Revenue" dataDxfId="232"/>
    <tableColumn id="5" name="Monthly Rev" dataDxfId="231"/>
    <tableColumn id="6" name="Estimated 12mo Units" dataDxfId="230"/>
    <tableColumn id="7" name="Monthly Units" dataDxfId="229"/>
    <tableColumn id="8" name="# of Reviews" dataDxfId="228"/>
    <tableColumn id="9" name="Tool Rating " dataDxfId="227"/>
    <tableColumn id="11" name="Column1" dataDxfId="226"/>
    <tableColumn id="10" name="Link" dataDxfId="225" dataCellStyle="Hyperlink">
      <calculatedColumnFormula>HYPERLINK(Table3969[[#This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id="33" name="Table4070" displayName="Table4070" ref="A17:L21" headerRowCount="1" totalsRowShown="0" dataDxfId="223" headerRowBorderDxfId="224" tableBorderDxfId="222">
  <autoFilter ref="A17:L21"/>
  <tableColumns count="12">
    <tableColumn id="1" name="Product Name" dataDxfId="221"/>
    <tableColumn id="2" name="ASIN" dataDxfId="220"/>
    <tableColumn id="12" name="Type" dataDxfId="219"/>
    <tableColumn id="3" name="Avg Price" dataDxfId="218"/>
    <tableColumn id="4" name="Estimated 12mo Revenue" dataDxfId="217"/>
    <tableColumn id="5" name="Monthly Rev" dataDxfId="216"/>
    <tableColumn id="6" name="Estimated 12mo Units" dataDxfId="215"/>
    <tableColumn id="7" name="Monthly Units" dataDxfId="214"/>
    <tableColumn id="8" name="# of Reviews" dataDxfId="213"/>
    <tableColumn id="9" name="Tool Rating " dataDxfId="212"/>
    <tableColumn id="11" name="Column1" dataDxfId="211"/>
    <tableColumn id="10" name="Link" dataDxfId="210" dataCellStyle="Hyperlink">
      <calculatedColumnFormula>HYPERLINK(Table4070[[#This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id="34" name="Table4171" displayName="Table4171" ref="A8:L34" headerRowCount="1" totalsRowShown="0" dataDxfId="208" headerRowBorderDxfId="209" tableBorderDxfId="207">
  <autoFilter ref="A8:L34"/>
  <tableColumns count="12">
    <tableColumn id="1" name="Product Name" dataDxfId="206"/>
    <tableColumn id="12" name="ASIN" dataDxfId="205"/>
    <tableColumn id="2" name="Type" dataDxfId="204"/>
    <tableColumn id="3" name="Avg Price" dataDxfId="203"/>
    <tableColumn id="4" name="Estimated 12mo Revenue" dataDxfId="202"/>
    <tableColumn id="5" name="Monthly Rev" dataDxfId="201"/>
    <tableColumn id="6" name="Estimated 12mo Units" dataDxfId="200"/>
    <tableColumn id="7" name="Monthly Units" dataDxfId="199"/>
    <tableColumn id="8" name="# of Reviews" dataDxfId="198"/>
    <tableColumn id="9" name="Tool Rating " dataDxfId="197"/>
    <tableColumn id="11" name="Column1" dataDxfId="196"/>
    <tableColumn id="10" name="Link" dataDxfId="195" dataCellStyle="Hyperlink">
      <calculatedColumnFormula>HYPERLINK(Table4171[[#This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id="35" name="Table4272" displayName="Table4272" ref="A39:L65" headerRowCount="1" totalsRowShown="0" dataDxfId="193" headerRowBorderDxfId="194" tableBorderDxfId="192">
  <autoFilter ref="A39:L65"/>
  <tableColumns count="12">
    <tableColumn id="1" name="Product Name" dataDxfId="191"/>
    <tableColumn id="2" name="ASIN" dataDxfId="190"/>
    <tableColumn id="12" name="Type" dataDxfId="189"/>
    <tableColumn id="3" name="Avg Price" dataDxfId="188"/>
    <tableColumn id="4" name="Estimated 12mo Revenue" dataDxfId="187"/>
    <tableColumn id="5" name="Monthly Rev" dataDxfId="186"/>
    <tableColumn id="6" name="Estimated 12mo Units" dataDxfId="185"/>
    <tableColumn id="7" name="Monthly Units" dataDxfId="184"/>
    <tableColumn id="8" name="# of Reviews" dataDxfId="183"/>
    <tableColumn id="9" name="Tool Rating " dataDxfId="182"/>
    <tableColumn id="11" name="Column1" dataDxfId="181"/>
    <tableColumn id="10" name="Link" dataDxfId="180" dataCellStyle="Hyperlink">
      <calculatedColumnFormula>HYPERLINK(Table4272[[#This Row],[Column1]])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id="36" name="Table4375" displayName="Table4375" ref="A8:L18" headerRowCount="1" totalsRowShown="0" dataDxfId="178" headerRowBorderDxfId="179" tableBorderDxfId="177">
  <autoFilter ref="A8:L18"/>
  <tableColumns count="12">
    <tableColumn id="1" name="Product Name" dataDxfId="176"/>
    <tableColumn id="2" name="ASIN" dataDxfId="175"/>
    <tableColumn id="12" name="Type" dataDxfId="174"/>
    <tableColumn id="3" name="Avg Price" dataDxfId="173"/>
    <tableColumn id="4" name="Estimated 12mo Revenue" dataDxfId="172"/>
    <tableColumn id="5" name="Monthly Rev" dataDxfId="171"/>
    <tableColumn id="6" name="Estimated 12mo Units" dataDxfId="170"/>
    <tableColumn id="7" name="Monthly Units" dataDxfId="169"/>
    <tableColumn id="8" name="# of Reviews" dataDxfId="168"/>
    <tableColumn id="9" name="Tool Rating " dataDxfId="167"/>
    <tableColumn id="11" name="Column1" dataDxfId="166"/>
    <tableColumn id="10" name="Link" dataDxfId="165" dataCellStyle="Hyperlink">
      <calculatedColumnFormula>HYPERLINK(Table4375[[#This Row],[Column1]])</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id="37" name="Table4476" displayName="Table4476" ref="A23:L33" headerRowCount="1" totalsRowShown="0" dataDxfId="163" headerRowBorderDxfId="164" tableBorderDxfId="162">
  <autoFilter ref="A23:L33"/>
  <tableColumns count="12">
    <tableColumn id="1" name="Product Name" dataDxfId="161"/>
    <tableColumn id="2" name="ASIN" dataDxfId="160"/>
    <tableColumn id="12" name="Type" dataDxfId="159"/>
    <tableColumn id="3" name="Avg Price" dataDxfId="158"/>
    <tableColumn id="4" name="Estimated 12mo Revenue" dataDxfId="157"/>
    <tableColumn id="5" name="Monthly Rev" dataDxfId="156"/>
    <tableColumn id="6" name="Estimated 12mo Units" dataDxfId="155"/>
    <tableColumn id="7" name="Monthly Units" dataDxfId="154"/>
    <tableColumn id="8" name="# of Reviews" dataDxfId="153"/>
    <tableColumn id="9" name="Tool Rating " dataDxfId="152"/>
    <tableColumn id="11" name="Column1" dataDxfId="151"/>
    <tableColumn id="10" name="Link" dataDxfId="150" dataCellStyle="Hyperlink">
      <calculatedColumnFormula>HYPERLINK(Table4476[[#This Row],[Column1]])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id="38" name="Table467478" displayName="Table467478" ref="A8:L27" headerRowCount="1" totalsRowShown="0" dataDxfId="133" headerRowBorderDxfId="134" tableBorderDxfId="132">
  <autoFilter ref="A8:L27"/>
  <tableColumns count="12">
    <tableColumn id="1" name="Product Name" dataDxfId="131"/>
    <tableColumn id="2" name="ASIN" dataDxfId="130"/>
    <tableColumn id="12" name="Type" dataDxfId="129"/>
    <tableColumn id="3" name="Avg Price" dataDxfId="128"/>
    <tableColumn id="4" name="Estimated 12mo Revenue" dataDxfId="127"/>
    <tableColumn id="5" name="Monthly Rev" dataDxfId="126"/>
    <tableColumn id="6" name="Estimated 12mo Units" dataDxfId="125"/>
    <tableColumn id="7" name="Monthly Units" dataDxfId="124"/>
    <tableColumn id="8" name="# of Reviews" dataDxfId="123"/>
    <tableColumn id="9" name="Tool Rating " dataDxfId="122"/>
    <tableColumn id="11" name="Column1" dataDxfId="121"/>
    <tableColumn id="10" name="Link" dataDxfId="120" dataCellStyle="Hyperlink">
      <calculatedColumnFormula>HYPERLINK(Table467478[[#This Row],[Column1]])</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id="39" name="Table4779" displayName="Table4779" ref="A8:L65" headerRowCount="1" totalsRowShown="0" dataDxfId="118" headerRowBorderDxfId="119" tableBorderDxfId="117">
  <autoFilter ref="A8:L65"/>
  <tableColumns count="12">
    <tableColumn id="1" name="Product Name" dataDxfId="116"/>
    <tableColumn id="2" name="ASIN" dataDxfId="115"/>
    <tableColumn id="12" name="Type" dataDxfId="114"/>
    <tableColumn id="3" name="Avg Price" dataDxfId="113"/>
    <tableColumn id="4" name="Estimated 12mo Revenue" dataDxfId="112"/>
    <tableColumn id="5" name="Monthly Rev" dataDxfId="111"/>
    <tableColumn id="6" name="Estimated 12mo Units" dataDxfId="110"/>
    <tableColumn id="7" name="Monthly Units" dataDxfId="109"/>
    <tableColumn id="8" name="# of Reviews" dataDxfId="108"/>
    <tableColumn id="9" name="Tool Rating " dataDxfId="107"/>
    <tableColumn id="11" name="Column1" dataDxfId="106"/>
    <tableColumn id="10" name="Link" dataDxfId="105" dataCellStyle="Hyperlink">
      <calculatedColumnFormula>HYPERLINK(Table4779[[#This Row],[Column1]])</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id="40" name="Table4880" displayName="Table4880" ref="A70:L127" headerRowCount="1" totalsRowShown="0" dataDxfId="103" headerRowBorderDxfId="104" tableBorderDxfId="102">
  <autoFilter ref="A70:L127"/>
  <tableColumns count="12">
    <tableColumn id="1" name="Product Name" dataDxfId="101"/>
    <tableColumn id="2" name="ASIN" dataDxfId="100"/>
    <tableColumn id="12" name="Type" dataDxfId="99"/>
    <tableColumn id="3" name="Avg Price" dataDxfId="98"/>
    <tableColumn id="4" name="Estimated 12mo Revenue" dataDxfId="97"/>
    <tableColumn id="5" name="Monthly Rev" dataDxfId="96"/>
    <tableColumn id="6" name="Estimated 12mo Units" dataDxfId="95"/>
    <tableColumn id="7" name="Monthly Units" dataDxfId="94"/>
    <tableColumn id="8" name="# of Reviews" dataDxfId="93"/>
    <tableColumn id="9" name="Tool Rating " dataDxfId="92"/>
    <tableColumn id="11" name="Column1" dataDxfId="91"/>
    <tableColumn id="10" name="Link" dataDxfId="90" dataCellStyle="Hyperlink">
      <calculatedColumnFormula>HYPERLINK(Table4880[[#This Row],[Column1]])</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id="41" name="Table55" displayName="Table55" ref="A8:L12" headerRowCount="1" totalsRowShown="0" dataDxfId="88" headerRowBorderDxfId="89" tableBorderDxfId="87">
  <autoFilter ref="A8:L12"/>
  <tableColumns count="12">
    <tableColumn id="1" name="Product Name" dataDxfId="86"/>
    <tableColumn id="2" name="ASIN" dataDxfId="85"/>
    <tableColumn id="12" name="Type" dataDxfId="84"/>
    <tableColumn id="3" name="Avg Price" dataDxfId="83"/>
    <tableColumn id="4" name="Estimated 12mo Revenue" dataDxfId="82"/>
    <tableColumn id="5" name="Monthly Rev" dataDxfId="81"/>
    <tableColumn id="6" name="Estimated 12mo Units" dataDxfId="80"/>
    <tableColumn id="7" name="Monthly Units" dataDxfId="79"/>
    <tableColumn id="8" name="# of Reviews" dataDxfId="78"/>
    <tableColumn id="9" name="Tool Rating " dataDxfId="77"/>
    <tableColumn id="11" name="Column1" dataDxfId="76"/>
    <tableColumn id="10" name="Link" dataDxfId="75" dataCellStyle="Hyperlink">
      <calculatedColumnFormula>HYPERLINK(Table55[[#This Row],[Column1]])</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id="42" name="Table56" displayName="Table56" ref="A17:L21" headerRowCount="1" totalsRowShown="0" dataDxfId="73" headerRowBorderDxfId="74" tableBorderDxfId="72">
  <autoFilter ref="A17:L21"/>
  <tableColumns count="12">
    <tableColumn id="1" name="Product Name" dataDxfId="71"/>
    <tableColumn id="2" name="ASIN" dataDxfId="70"/>
    <tableColumn id="12" name="Type" dataDxfId="69"/>
    <tableColumn id="3" name="Avg Price" dataDxfId="68"/>
    <tableColumn id="4" name="Estimated 12mo Revenue" dataDxfId="67"/>
    <tableColumn id="5" name="Monthly Rev" dataDxfId="66"/>
    <tableColumn id="6" name="Estimated 12mo Units" dataDxfId="65"/>
    <tableColumn id="7" name="Monthly Units" dataDxfId="64"/>
    <tableColumn id="8" name="# of Reviews" dataDxfId="63"/>
    <tableColumn id="9" name="Tool Rating " dataDxfId="62"/>
    <tableColumn id="11" name="Column1" dataDxfId="61"/>
    <tableColumn id="10" name="Link" dataDxfId="60" dataCellStyle="Hyperlink">
      <calculatedColumnFormula>HYPERLINK(Table56[[#This Row],[Column1]])</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id="43" name="Table5282" displayName="Table5282" ref="A8:L40" headerRowCount="1" totalsRowShown="0" dataDxfId="43" headerRowBorderDxfId="44" tableBorderDxfId="42">
  <autoFilter ref="A8:L40"/>
  <tableColumns count="12">
    <tableColumn id="1" name="Product Name" dataDxfId="41"/>
    <tableColumn id="2" name="ASIN" dataDxfId="40"/>
    <tableColumn id="12" name="Type" dataDxfId="39"/>
    <tableColumn id="3" name="Avg Price" dataDxfId="38"/>
    <tableColumn id="4" name="Estimated 12mo Revenue" dataDxfId="37"/>
    <tableColumn id="5" name="Monthly Rev" dataDxfId="36"/>
    <tableColumn id="6" name="Estimated 12mo Units" dataDxfId="35"/>
    <tableColumn id="7" name="Monthly Units" dataDxfId="34"/>
    <tableColumn id="8" name="# of Reviews" dataDxfId="33"/>
    <tableColumn id="9" name="Tool Rating " dataDxfId="32"/>
    <tableColumn id="11" name="Column1" dataDxfId="31"/>
    <tableColumn id="10" name="Link" dataDxfId="30" dataCellStyle="Hyperlink">
      <calculatedColumnFormula>HYPERLINK(Table5282[[#This Row],[Column1]])</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id="44" name="Table5383" displayName="Table5383" ref="A83:L153" headerRowCount="1" totalsRowShown="0" dataDxfId="28" headerRowBorderDxfId="29" tableBorderDxfId="27">
  <autoFilter ref="A83:L153"/>
  <tableColumns count="12">
    <tableColumn id="1" name="Product Name" dataDxfId="26"/>
    <tableColumn id="2" name="ASIN" dataDxfId="25"/>
    <tableColumn id="12" name="Type" dataDxfId="24"/>
    <tableColumn id="3" name="Avg Price" dataDxfId="23"/>
    <tableColumn id="4" name="Estimated 12mo Revenue" dataDxfId="22"/>
    <tableColumn id="5" name="Monthly Rev" dataDxfId="21"/>
    <tableColumn id="6" name="Estimated 12mo Units" dataDxfId="20"/>
    <tableColumn id="7" name="Monthly Units" dataDxfId="19"/>
    <tableColumn id="8" name="# of Reviews" dataDxfId="18"/>
    <tableColumn id="9" name="Tool Rating " dataDxfId="17"/>
    <tableColumn id="11" name="Column1" dataDxfId="16"/>
    <tableColumn id="10" name="Link" dataDxfId="15" dataCellStyle="Hyperlink">
      <calculatedColumnFormula>HYPERLINK(Table5383[[#This Row],[Column1]])</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id="45" name="Table543384" displayName="Table543384" ref="A8:L78" headerRowCount="1" totalsRowShown="0" dataDxfId="13" headerRowBorderDxfId="14" tableBorderDxfId="12">
  <autoFilter ref="A8:L78"/>
  <tableColumns count="12">
    <tableColumn id="1" name="Product Name" dataDxfId="11"/>
    <tableColumn id="2" name="ASIN" dataDxfId="10"/>
    <tableColumn id="12" name="Type" dataDxfId="9"/>
    <tableColumn id="3" name="Avg Price" dataDxfId="8"/>
    <tableColumn id="4" name="Estimated 12mo Revenue" dataDxfId="7"/>
    <tableColumn id="5" name="Monthly Rev" dataDxfId="6"/>
    <tableColumn id="6" name="Estimated 12mo Units" dataDxfId="5"/>
    <tableColumn id="7" name="Monthly Units" dataDxfId="4"/>
    <tableColumn id="8" name="# of Reviews" dataDxfId="3"/>
    <tableColumn id="9" name="Tool Rating " dataDxfId="2"/>
    <tableColumn id="11" name="Column1" dataDxfId="1"/>
    <tableColumn id="10" name="Link" dataDxfId="0" dataCellStyle="Hyperlink">
      <calculatedColumnFormula>HYPERLINK(Table543384[[#This Row],[Column1]])</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id="46" name="Table54333586" displayName="Table54333586" ref="A8:L22" headerRowCount="1" totalsRowShown="0" dataDxfId="785" headerRowBorderDxfId="786" tableBorderDxfId="784">
  <autoFilter ref="A8:L22"/>
  <tableColumns count="12">
    <tableColumn id="1" name="Product Name" dataDxfId="783"/>
    <tableColumn id="2" name="ASIN" dataDxfId="782"/>
    <tableColumn id="12" name="Type" dataDxfId="781"/>
    <tableColumn id="3" name="Avg Price" dataDxfId="780"/>
    <tableColumn id="4" name="Estimated 12mo Revenue" dataDxfId="779"/>
    <tableColumn id="5" name="Monthly Rev" dataDxfId="778"/>
    <tableColumn id="6" name="Estimated 12mo Units" dataDxfId="777"/>
    <tableColumn id="7" name="Monthly Units" dataDxfId="776"/>
    <tableColumn id="8" name="# of Reviews" dataDxfId="775"/>
    <tableColumn id="9" name="Tool Rating " dataDxfId="774"/>
    <tableColumn id="11" name="Column1" dataDxfId="773"/>
    <tableColumn id="10" name="Link" dataDxfId="772" dataCellStyle="Hyperlink">
      <calculatedColumnFormula>HYPERLINK(Table54333586[[#This Row],[Column1]])</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3.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s>
</file>

<file path=xl/worksheets/_rels/sheet4.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5.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6.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s>
</file>

<file path=xl/worksheets/_rels/sheet7.xml.rels><Relationships xmlns="http://schemas.openxmlformats.org/package/2006/relationships"><Relationship Type="http://schemas.openxmlformats.org/officeDocument/2006/relationships/table" Target="/xl/tables/table13.xml" Id="rId1" /><Relationship Type="http://schemas.openxmlformats.org/officeDocument/2006/relationships/table" Target="/xl/tables/table14.xml" Id="rId2" /></Relationships>
</file>

<file path=xl/worksheets/_rels/sheet8.xml.rels><Relationships xmlns="http://schemas.openxmlformats.org/package/2006/relationships"><Relationship Type="http://schemas.openxmlformats.org/officeDocument/2006/relationships/table" Target="/xl/tables/table15.xml" Id="rId1" /></Relationships>
</file>

<file path=xl/worksheets/_rels/sheet9.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s>
</file>

<file path=xl/worksheets/_rels/sheet10.xml.rels><Relationships xmlns="http://schemas.openxmlformats.org/package/2006/relationships"><Relationship Type="http://schemas.openxmlformats.org/officeDocument/2006/relationships/table" Target="/xl/tables/table18.xml" Id="rId1" /></Relationships>
</file>

<file path=xl/worksheets/_rels/sheet11.xml.rels><Relationships xmlns="http://schemas.openxmlformats.org/package/2006/relationships"><Relationship Type="http://schemas.openxmlformats.org/officeDocument/2006/relationships/table" Target="/xl/tables/table19.xml" Id="rId1" /></Relationships>
</file>

<file path=xl/worksheets/_rels/sheet12.xml.rels><Relationships xmlns="http://schemas.openxmlformats.org/package/2006/relationships"><Relationship Type="http://schemas.openxmlformats.org/officeDocument/2006/relationships/table" Target="/xl/tables/table20.xml" Id="rId1" /><Relationship Type="http://schemas.openxmlformats.org/officeDocument/2006/relationships/table" Target="/xl/tables/table21.xml" Id="rId2" /></Relationships>
</file>

<file path=xl/worksheets/_rels/sheet13.xml.rels><Relationships xmlns="http://schemas.openxmlformats.org/package/2006/relationships"><Relationship Type="http://schemas.openxmlformats.org/officeDocument/2006/relationships/table" Target="/xl/tables/table22.xml" Id="rId1" /></Relationships>
</file>

<file path=xl/worksheets/_rels/sheet14.xml.rels><Relationships xmlns="http://schemas.openxmlformats.org/package/2006/relationships"><Relationship Type="http://schemas.openxmlformats.org/officeDocument/2006/relationships/table" Target="/xl/tables/table23.xml" Id="rId1" /><Relationship Type="http://schemas.openxmlformats.org/officeDocument/2006/relationships/table" Target="/xl/tables/table24.xml" Id="rId2" /></Relationships>
</file>

<file path=xl/worksheets/_rels/sheet15.xml.rels><Relationships xmlns="http://schemas.openxmlformats.org/package/2006/relationships"><Relationship Type="http://schemas.openxmlformats.org/officeDocument/2006/relationships/table" Target="/xl/tables/table25.xml" Id="rId1" /></Relationships>
</file>

<file path=xl/worksheets/_rels/sheet16.xml.rels><Relationships xmlns="http://schemas.openxmlformats.org/package/2006/relationships"><Relationship Type="http://schemas.openxmlformats.org/officeDocument/2006/relationships/table" Target="/xl/tables/table26.xml" Id="rId1" /></Relationships>
</file>

<file path=xl/worksheets/_rels/sheet17.xml.rels><Relationships xmlns="http://schemas.openxmlformats.org/package/2006/relationships"><Relationship Type="http://schemas.openxmlformats.org/officeDocument/2006/relationships/table" Target="/xl/tables/table27.xml" Id="rId1" /></Relationships>
</file>

<file path=xl/worksheets/_rels/sheet18.xml.rels><Relationships xmlns="http://schemas.openxmlformats.org/package/2006/relationships"><Relationship Type="http://schemas.openxmlformats.org/officeDocument/2006/relationships/hyperlink" Target="https://amazon.com/dp/B0DTK24XKB" TargetMode="External" Id="rId1" /><Relationship Type="http://schemas.openxmlformats.org/officeDocument/2006/relationships/hyperlink" Target="https://amazon.com/dp/B0FGC7K873" TargetMode="External" Id="rId2" /><Relationship Type="http://schemas.openxmlformats.org/officeDocument/2006/relationships/hyperlink" Target="https://amazon.com/dp/B0G1T4F8Y2" TargetMode="External" Id="rId3" /><Relationship Type="http://schemas.openxmlformats.org/officeDocument/2006/relationships/hyperlink" Target="https://amazon.com/dp/B0FGC4D4X2" TargetMode="External" Id="rId4" /><Relationship Type="http://schemas.openxmlformats.org/officeDocument/2006/relationships/hyperlink" Target="https://amazon.com/dp/B0FB9B6KW5" TargetMode="External" Id="rId5" /><Relationship Type="http://schemas.openxmlformats.org/officeDocument/2006/relationships/hyperlink" Target="https://amazon.com/dp/B0CJ33NYSL" TargetMode="External" Id="rId6" /><Relationship Type="http://schemas.openxmlformats.org/officeDocument/2006/relationships/hyperlink" Target="https://amazon.com/dp/B0CQVL7MMW" TargetMode="External" Id="rId7" /><Relationship Type="http://schemas.openxmlformats.org/officeDocument/2006/relationships/hyperlink" Target="https://amazon.com/dp/B0G2949TGX" TargetMode="External" Id="rId8" /><Relationship Type="http://schemas.openxmlformats.org/officeDocument/2006/relationships/hyperlink" Target="https://amazon.com/dp/B0FHGWXN2B" TargetMode="External" Id="rId9" /><Relationship Type="http://schemas.openxmlformats.org/officeDocument/2006/relationships/hyperlink" Target="https://amazon.com/dp/B0C8HZKD98" TargetMode="External" Id="rId10" /><Relationship Type="http://schemas.openxmlformats.org/officeDocument/2006/relationships/hyperlink" Target="https://amazon.com/dp/B0CB3TQNGJ" TargetMode="External" Id="rId11" /><Relationship Type="http://schemas.openxmlformats.org/officeDocument/2006/relationships/hyperlink" Target="https://amazon.com/dp/B0BZ4L25CZ" TargetMode="External" Id="rId12" /><Relationship Type="http://schemas.openxmlformats.org/officeDocument/2006/relationships/hyperlink" Target="https://amazon.com/dp/B0B2NZTC2S" TargetMode="External" Id="rId13" /><Relationship Type="http://schemas.openxmlformats.org/officeDocument/2006/relationships/hyperlink" Target="https://amazon.com/dp/B0D5Y5677K" TargetMode="External" Id="rId14" /><Relationship Type="http://schemas.openxmlformats.org/officeDocument/2006/relationships/hyperlink" Target="https://amazon.com/dp/B0DM88GPYD" TargetMode="External" Id="rId15" /><Relationship Type="http://schemas.openxmlformats.org/officeDocument/2006/relationships/hyperlink" Target="https://amazon.com/dp/B09GJL2G8W" TargetMode="External" Id="rId16" /><Relationship Type="http://schemas.openxmlformats.org/officeDocument/2006/relationships/table" Target="/xl/tables/table28.xml" Id="rId17" /><Relationship Type="http://schemas.openxmlformats.org/officeDocument/2006/relationships/table" Target="/xl/tables/table29.xml" Id="rId18" /></Relationships>
</file>

<file path=xl/worksheets/_rels/sheet19.xml.rels><Relationships xmlns="http://schemas.openxmlformats.org/package/2006/relationships"><Relationship Type="http://schemas.openxmlformats.org/officeDocument/2006/relationships/table" Target="/xl/tables/table30.xml" Id="rId1" /><Relationship Type="http://schemas.openxmlformats.org/officeDocument/2006/relationships/table" Target="/xl/tables/table31.xml" Id="rId2" /></Relationships>
</file>

<file path=xl/worksheets/_rels/sheet20.xml.rels><Relationships xmlns="http://schemas.openxmlformats.org/package/2006/relationships"><Relationship Type="http://schemas.openxmlformats.org/officeDocument/2006/relationships/table" Target="/xl/tables/table32.xml" Id="rId1" /><Relationship Type="http://schemas.openxmlformats.org/officeDocument/2006/relationships/table" Target="/xl/tables/table33.xml" Id="rId2" /></Relationships>
</file>

<file path=xl/worksheets/_rels/sheet21.xml.rels><Relationships xmlns="http://schemas.openxmlformats.org/package/2006/relationships"><Relationship Type="http://schemas.openxmlformats.org/officeDocument/2006/relationships/table" Target="/xl/tables/table34.xml" Id="rId1" /><Relationship Type="http://schemas.openxmlformats.org/officeDocument/2006/relationships/table" Target="/xl/tables/table35.xml" Id="rId2" /></Relationships>
</file>

<file path=xl/worksheets/_rels/sheet22.xml.rels><Relationships xmlns="http://schemas.openxmlformats.org/package/2006/relationships"><Relationship Type="http://schemas.openxmlformats.org/officeDocument/2006/relationships/table" Target="/xl/tables/table36.xml" Id="rId1" /><Relationship Type="http://schemas.openxmlformats.org/officeDocument/2006/relationships/table" Target="/xl/tables/table37.xml" Id="rId2" /></Relationships>
</file>

<file path=xl/worksheets/_rels/sheet23.xml.rels><Relationships xmlns="http://schemas.openxmlformats.org/package/2006/relationships"><Relationship Type="http://schemas.openxmlformats.org/officeDocument/2006/relationships/table" Target="/xl/tables/table38.xml" Id="rId1" /></Relationships>
</file>

<file path=xl/worksheets/_rels/sheet24.xml.rels><Relationships xmlns="http://schemas.openxmlformats.org/package/2006/relationships"><Relationship Type="http://schemas.openxmlformats.org/officeDocument/2006/relationships/table" Target="/xl/tables/table39.xml" Id="rId1" /><Relationship Type="http://schemas.openxmlformats.org/officeDocument/2006/relationships/table" Target="/xl/tables/table40.xml" Id="rId2" /></Relationships>
</file>

<file path=xl/worksheets/_rels/sheet25.xml.rels><Relationships xmlns="http://schemas.openxmlformats.org/package/2006/relationships"><Relationship Type="http://schemas.openxmlformats.org/officeDocument/2006/relationships/table" Target="/xl/tables/table41.xml" Id="rId1" /><Relationship Type="http://schemas.openxmlformats.org/officeDocument/2006/relationships/table" Target="/xl/tables/table42.xml" Id="rId2" /></Relationships>
</file>

<file path=xl/worksheets/_rels/sheet26.xml.rels><Relationships xmlns="http://schemas.openxmlformats.org/package/2006/relationships"><Relationship Type="http://schemas.openxmlformats.org/officeDocument/2006/relationships/table" Target="/xl/tables/table43.xml" Id="rId1" /></Relationships>
</file>

<file path=xl/worksheets/_rels/sheet27.xml.rels><Relationships xmlns="http://schemas.openxmlformats.org/package/2006/relationships"><Relationship Type="http://schemas.openxmlformats.org/officeDocument/2006/relationships/table" Target="/xl/tables/table44.xml" Id="rId1" /><Relationship Type="http://schemas.openxmlformats.org/officeDocument/2006/relationships/table" Target="/xl/tables/table45.xml" Id="rId2" /></Relationships>
</file>

<file path=xl/worksheets/_rels/sheet28.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46.xml" Id="rId2" /></Relationships>
</file>

<file path=xl/worksheets/sheet1.xml><?xml version="1.0" encoding="utf-8"?>
<worksheet xmlns="http://schemas.openxmlformats.org/spreadsheetml/2006/main">
  <sheetPr codeName="Sheet1">
    <outlinePr summaryBelow="1" summaryRight="1"/>
    <pageSetUpPr/>
  </sheetPr>
  <dimension ref="A1:I60"/>
  <sheetViews>
    <sheetView topLeftCell="A35" zoomScale="114" zoomScaleNormal="100" workbookViewId="0">
      <selection activeCell="I47" sqref="I47"/>
    </sheetView>
  </sheetViews>
  <sheetFormatPr baseColWidth="10" defaultColWidth="11.1640625" defaultRowHeight="16"/>
  <cols>
    <col width="15.33203125" customWidth="1" style="314" min="1" max="2"/>
    <col width="17.6640625" customWidth="1" style="314" min="3" max="3"/>
    <col width="23.6640625" customWidth="1" style="314" min="4" max="4"/>
    <col width="20.83203125" customWidth="1" style="315" min="5" max="5"/>
    <col width="25.33203125" bestFit="1" customWidth="1" style="314" min="6" max="6"/>
    <col width="19.83203125" customWidth="1" style="314" min="7" max="7"/>
    <col width="15.33203125" customWidth="1" style="314" min="8" max="9"/>
  </cols>
  <sheetData>
    <row r="1" ht="26" customHeight="1" s="314">
      <c r="A1" s="313" t="inlineStr">
        <is>
          <t xml:space="preserve">April '26 Monthly Summary - Revenue </t>
        </is>
      </c>
    </row>
    <row r="2">
      <c r="A2" s="1" t="inlineStr">
        <is>
          <t>Brand</t>
        </is>
      </c>
      <c r="B2" s="2" t="inlineStr">
        <is>
          <t># of Listings</t>
        </is>
      </c>
      <c r="C2" s="26" t="inlineStr">
        <is>
          <t>Monthly Rev</t>
        </is>
      </c>
      <c r="D2" s="22" t="inlineStr">
        <is>
          <t>Estimated 12mo Revenue</t>
        </is>
      </c>
      <c r="E2" s="27" t="inlineStr">
        <is>
          <t>Monthly Units</t>
        </is>
      </c>
      <c r="F2" s="2" t="inlineStr">
        <is>
          <t>Monthly Rev Market Share %</t>
        </is>
      </c>
      <c r="G2" s="2" t="inlineStr">
        <is>
          <t>Price Per Unit</t>
        </is>
      </c>
      <c r="H2" s="2" t="inlineStr">
        <is>
          <t>Total Reviews</t>
        </is>
      </c>
      <c r="I2" s="4" t="inlineStr">
        <is>
          <t>Avg Rating</t>
        </is>
      </c>
    </row>
    <row r="3">
      <c r="A3" s="138" t="inlineStr">
        <is>
          <t>autel</t>
        </is>
      </c>
      <c r="B3" s="139" t="n">
        <v>558</v>
      </c>
      <c r="C3" s="141" t="n">
        <v>5675693.04</v>
      </c>
      <c r="D3" s="140" t="n">
        <v>63992398.17373007</v>
      </c>
      <c r="E3" s="142" t="n">
        <v>20351</v>
      </c>
      <c r="F3" s="143" t="n">
        <v>0.1749</v>
      </c>
      <c r="G3" s="325" t="n">
        <v>278.89</v>
      </c>
      <c r="H3" s="142" t="n">
        <v>133657</v>
      </c>
      <c r="I3" s="145" t="n">
        <v>4.6</v>
      </c>
    </row>
    <row r="4">
      <c r="A4" s="146" t="inlineStr">
        <is>
          <t>topdon</t>
        </is>
      </c>
      <c r="B4" s="139" t="n">
        <v>53</v>
      </c>
      <c r="C4" s="141" t="n">
        <v>3250373.1</v>
      </c>
      <c r="D4" s="140" t="n">
        <v>34995854.15076923</v>
      </c>
      <c r="E4" s="142" t="n">
        <v>12898</v>
      </c>
      <c r="F4" s="143" t="n">
        <v>0.1002</v>
      </c>
      <c r="G4" s="325" t="n">
        <v>252.01</v>
      </c>
      <c r="H4" s="142" t="n">
        <v>26884</v>
      </c>
      <c r="I4" s="145" t="n">
        <v>4.3</v>
      </c>
    </row>
    <row r="5">
      <c r="A5" s="138" t="inlineStr">
        <is>
          <t>ancel</t>
        </is>
      </c>
      <c r="B5" s="139" t="n">
        <v>76</v>
      </c>
      <c r="C5" s="141" t="n">
        <v>2653788.21</v>
      </c>
      <c r="D5" s="140" t="n">
        <v>32554319.30538461</v>
      </c>
      <c r="E5" s="142" t="n">
        <v>42431</v>
      </c>
      <c r="F5" s="143" t="n">
        <v>0.0818</v>
      </c>
      <c r="G5" s="325" t="n">
        <v>62.54</v>
      </c>
      <c r="H5" s="142" t="n">
        <v>131060</v>
      </c>
      <c r="I5" s="145" t="n">
        <v>4.1</v>
      </c>
    </row>
    <row r="6">
      <c r="A6" s="138" t="inlineStr">
        <is>
          <t>launch</t>
        </is>
      </c>
      <c r="B6" s="139" t="n">
        <v>287</v>
      </c>
      <c r="C6" s="141" t="n">
        <v>2642413.14</v>
      </c>
      <c r="D6" s="140" t="n">
        <v>32145579.16953868</v>
      </c>
      <c r="E6" s="142" t="n">
        <v>8505</v>
      </c>
      <c r="F6" s="143" t="n">
        <v>0.0814</v>
      </c>
      <c r="G6" s="325" t="n">
        <v>310.69</v>
      </c>
      <c r="H6" s="142" t="n">
        <v>75422</v>
      </c>
      <c r="I6" s="145" t="n">
        <v>4.2</v>
      </c>
    </row>
    <row r="7">
      <c r="A7" s="185" t="inlineStr">
        <is>
          <t>foxwell</t>
        </is>
      </c>
      <c r="B7" s="139" t="n">
        <v>47</v>
      </c>
      <c r="C7" s="141" t="n">
        <v>1938069.76</v>
      </c>
      <c r="D7" s="140" t="n">
        <v>21474903.98861539</v>
      </c>
      <c r="E7" s="142" t="n">
        <v>14404</v>
      </c>
      <c r="F7" s="143" t="n">
        <v>0.0597</v>
      </c>
      <c r="G7" s="325" t="n">
        <v>134.55</v>
      </c>
      <c r="H7" s="142" t="n">
        <v>71565</v>
      </c>
      <c r="I7" s="145" t="n">
        <v>4.3</v>
      </c>
    </row>
    <row r="8" customFormat="1" s="29">
      <c r="A8" s="160" t="inlineStr">
        <is>
          <t>innova</t>
        </is>
      </c>
      <c r="B8" s="252" t="n">
        <v>42</v>
      </c>
      <c r="C8" s="253" t="n">
        <v>1902016.68</v>
      </c>
      <c r="D8" s="254" t="n">
        <v>16832909.64307754</v>
      </c>
      <c r="E8" s="255" t="n">
        <v>12781</v>
      </c>
      <c r="F8" s="256" t="n">
        <v>0.0586</v>
      </c>
      <c r="G8" s="326" t="n">
        <v>148.82</v>
      </c>
      <c r="H8" s="255" t="n">
        <v>32185</v>
      </c>
      <c r="I8" s="258" t="n">
        <v>2.5</v>
      </c>
    </row>
    <row r="9">
      <c r="A9" s="171" t="inlineStr">
        <is>
          <t>xtool</t>
        </is>
      </c>
      <c r="B9" s="172" t="n">
        <v>69</v>
      </c>
      <c r="C9" s="174" t="n">
        <v>1544861.27</v>
      </c>
      <c r="D9" s="173" t="n">
        <v>16636284.03692308</v>
      </c>
      <c r="E9" s="175" t="n">
        <v>6209</v>
      </c>
      <c r="F9" s="176" t="n">
        <v>0.0476</v>
      </c>
      <c r="G9" s="327" t="n">
        <v>248.81</v>
      </c>
      <c r="H9" s="175" t="n">
        <v>11932</v>
      </c>
      <c r="I9" s="178" t="n">
        <v>4.4</v>
      </c>
    </row>
    <row r="10">
      <c r="A10" s="138" t="inlineStr">
        <is>
          <t>obdlink</t>
        </is>
      </c>
      <c r="B10" s="139" t="n">
        <v>4</v>
      </c>
      <c r="C10" s="141" t="n">
        <v>1496129.26</v>
      </c>
      <c r="D10" s="140" t="n">
        <v>14641206.07384615</v>
      </c>
      <c r="E10" s="142" t="n">
        <v>15245</v>
      </c>
      <c r="F10" s="143" t="n">
        <v>0.0461</v>
      </c>
      <c r="G10" s="325" t="n">
        <v>98.14</v>
      </c>
      <c r="H10" s="142" t="n">
        <v>36986</v>
      </c>
      <c r="I10" s="145" t="n">
        <v>4.6</v>
      </c>
    </row>
    <row r="11" customFormat="1" s="29">
      <c r="A11" s="171" t="inlineStr">
        <is>
          <t>thinkcar</t>
        </is>
      </c>
      <c r="B11" s="172" t="n">
        <v>22</v>
      </c>
      <c r="C11" s="174" t="n">
        <v>843205.54</v>
      </c>
      <c r="D11" s="173" t="n">
        <v>9319292.621538462</v>
      </c>
      <c r="E11" s="175" t="n">
        <v>3049</v>
      </c>
      <c r="F11" s="176" t="n">
        <v>0.026</v>
      </c>
      <c r="G11" s="327" t="n">
        <v>276.55</v>
      </c>
      <c r="H11" s="175" t="n">
        <v>13351</v>
      </c>
      <c r="I11" s="178" t="n">
        <v>4.4</v>
      </c>
    </row>
    <row r="12">
      <c r="A12" s="138" t="inlineStr">
        <is>
          <t>diesel laptops</t>
        </is>
      </c>
      <c r="B12" s="139" t="n">
        <v>21</v>
      </c>
      <c r="C12" s="141" t="n">
        <v>794209.2000000001</v>
      </c>
      <c r="D12" s="140" t="n">
        <v>7420561.564615383</v>
      </c>
      <c r="E12" s="142" t="n">
        <v>1194</v>
      </c>
      <c r="F12" s="143" t="n">
        <v>0.0245</v>
      </c>
      <c r="G12" s="325" t="n">
        <v>665.17</v>
      </c>
      <c r="H12" s="142" t="n">
        <v>683</v>
      </c>
      <c r="I12" s="145" t="n">
        <v>4.1</v>
      </c>
    </row>
    <row r="13">
      <c r="A13" s="138" t="inlineStr">
        <is>
          <t>generic</t>
        </is>
      </c>
      <c r="B13" s="139" t="n">
        <v>201</v>
      </c>
      <c r="C13" s="141" t="n">
        <v>685242.95</v>
      </c>
      <c r="D13" s="140" t="n">
        <v>4308446.335384616</v>
      </c>
      <c r="E13" s="142" t="n">
        <v>3301</v>
      </c>
      <c r="F13" s="143" t="n">
        <v>0.0211</v>
      </c>
      <c r="G13" s="325" t="n">
        <v>207.59</v>
      </c>
      <c r="H13" s="142" t="n">
        <v>1343</v>
      </c>
      <c r="I13" s="145" t="n">
        <v>4</v>
      </c>
    </row>
    <row r="14">
      <c r="A14" s="171" t="inlineStr">
        <is>
          <t>mucar</t>
        </is>
      </c>
      <c r="B14" s="172" t="n">
        <v>15</v>
      </c>
      <c r="C14" s="174" t="n">
        <v>595805.5600000001</v>
      </c>
      <c r="D14" s="173" t="n">
        <v>4397777.399999999</v>
      </c>
      <c r="E14" s="175" t="n">
        <v>1692</v>
      </c>
      <c r="F14" s="176" t="n">
        <v>0.0184</v>
      </c>
      <c r="G14" s="327" t="n">
        <v>352.13</v>
      </c>
      <c r="H14" s="175" t="n">
        <v>2265</v>
      </c>
      <c r="I14" s="178" t="n">
        <v>4.3</v>
      </c>
    </row>
    <row r="15">
      <c r="A15" s="185" t="inlineStr">
        <is>
          <t>fixd</t>
        </is>
      </c>
      <c r="B15" s="139" t="n">
        <v>3</v>
      </c>
      <c r="C15" s="141" t="n">
        <v>504400.77</v>
      </c>
      <c r="D15" s="140" t="n">
        <v>5488427.427692308</v>
      </c>
      <c r="E15" s="142" t="n">
        <v>6873</v>
      </c>
      <c r="F15" s="143" t="n">
        <v>0.0155</v>
      </c>
      <c r="G15" s="325" t="n">
        <v>73.39</v>
      </c>
      <c r="H15" s="142" t="n">
        <v>37525</v>
      </c>
      <c r="I15" s="145" t="n">
        <v>4.1</v>
      </c>
    </row>
    <row r="16" customFormat="1" s="241">
      <c r="A16" s="193" t="inlineStr">
        <is>
          <t>blcktec</t>
        </is>
      </c>
      <c r="B16" s="194" t="n">
        <v>7</v>
      </c>
      <c r="C16" s="196" t="n">
        <v>440783.7</v>
      </c>
      <c r="D16" s="195" t="n">
        <v>4869092.815384615</v>
      </c>
      <c r="E16" s="197" t="n">
        <v>3717</v>
      </c>
      <c r="F16" s="198" t="n">
        <v>0.0136</v>
      </c>
      <c r="G16" s="328" t="n">
        <v>118.59</v>
      </c>
      <c r="H16" s="197" t="n">
        <v>7978</v>
      </c>
      <c r="I16" s="200" t="n">
        <v>4.4</v>
      </c>
    </row>
    <row r="17">
      <c r="A17" s="185" t="inlineStr">
        <is>
          <t>opus | ivs</t>
        </is>
      </c>
      <c r="B17" s="139" t="n">
        <v>26</v>
      </c>
      <c r="C17" s="141" t="n">
        <v>439857.36</v>
      </c>
      <c r="D17" s="140" t="n">
        <v>3871402.513846153</v>
      </c>
      <c r="E17" s="142" t="n">
        <v>608</v>
      </c>
      <c r="F17" s="143" t="n">
        <v>0.0136</v>
      </c>
      <c r="G17" s="325" t="n">
        <v>723.45</v>
      </c>
      <c r="H17" s="142" t="n">
        <v>5644</v>
      </c>
      <c r="I17" s="145" t="n">
        <v>4.4</v>
      </c>
    </row>
    <row r="18" customFormat="1" s="162">
      <c r="A18" s="138" t="inlineStr">
        <is>
          <t>icarsoft</t>
        </is>
      </c>
      <c r="B18" s="139" t="n">
        <v>173</v>
      </c>
      <c r="C18" s="141" t="n">
        <v>434833.8</v>
      </c>
      <c r="D18" s="140" t="n">
        <v>4706418.36923077</v>
      </c>
      <c r="E18" s="142" t="n">
        <v>2225</v>
      </c>
      <c r="F18" s="143" t="n">
        <v>0.0134</v>
      </c>
      <c r="G18" s="325" t="n">
        <v>195.43</v>
      </c>
      <c r="H18" s="142" t="n">
        <v>17140</v>
      </c>
      <c r="I18" s="145" t="n">
        <v>3.9</v>
      </c>
    </row>
    <row r="19">
      <c r="A19" s="138" t="inlineStr">
        <is>
          <t>kingbolen</t>
        </is>
      </c>
      <c r="B19" s="139" t="n">
        <v>25</v>
      </c>
      <c r="C19" s="141" t="n">
        <v>325903.98</v>
      </c>
      <c r="D19" s="140" t="n">
        <v>3426052.855384615</v>
      </c>
      <c r="E19" s="142" t="n">
        <v>2081</v>
      </c>
      <c r="F19" s="143" t="n">
        <v>0.01</v>
      </c>
      <c r="G19" s="325" t="n">
        <v>156.61</v>
      </c>
      <c r="H19" s="142" t="n">
        <v>5087</v>
      </c>
      <c r="I19" s="145" t="n">
        <v>4.3</v>
      </c>
    </row>
    <row r="20">
      <c r="A20" s="171" t="inlineStr">
        <is>
          <t>motopower</t>
        </is>
      </c>
      <c r="B20" s="172" t="n">
        <v>7</v>
      </c>
      <c r="C20" s="174" t="n">
        <v>305178.69</v>
      </c>
      <c r="D20" s="173" t="n">
        <v>3021363.473852308</v>
      </c>
      <c r="E20" s="175" t="n">
        <v>13739</v>
      </c>
      <c r="F20" s="176" t="n">
        <v>0.0094</v>
      </c>
      <c r="G20" s="327" t="n">
        <v>22.21</v>
      </c>
      <c r="H20" s="175" t="n">
        <v>59021</v>
      </c>
      <c r="I20" s="178" t="n">
        <v>4.5</v>
      </c>
    </row>
    <row r="21">
      <c r="A21" s="138" t="inlineStr">
        <is>
          <t>vgate</t>
        </is>
      </c>
      <c r="B21" s="139" t="n">
        <v>34</v>
      </c>
      <c r="C21" s="141" t="n">
        <v>287201.08</v>
      </c>
      <c r="D21" s="140" t="n">
        <v>2718998.834436923</v>
      </c>
      <c r="E21" s="142" t="n">
        <v>7189</v>
      </c>
      <c r="F21" s="143" t="n">
        <v>0.0089</v>
      </c>
      <c r="G21" s="325" t="n">
        <v>39.95</v>
      </c>
      <c r="H21" s="142" t="n">
        <v>22582</v>
      </c>
      <c r="I21" s="145" t="n">
        <v>4.4</v>
      </c>
    </row>
    <row r="22">
      <c r="A22" s="138" t="inlineStr">
        <is>
          <t>veepeak</t>
        </is>
      </c>
      <c r="B22" s="139" t="n">
        <v>4</v>
      </c>
      <c r="C22" s="141" t="n">
        <v>285079.53</v>
      </c>
      <c r="D22" s="140" t="n">
        <v>2610410.972307692</v>
      </c>
      <c r="E22" s="142" t="n">
        <v>8873</v>
      </c>
      <c r="F22" s="143" t="n">
        <v>0.008800000000000001</v>
      </c>
      <c r="G22" s="325" t="n">
        <v>32.13</v>
      </c>
      <c r="H22" s="142" t="n">
        <v>53073</v>
      </c>
      <c r="I22" s="145" t="n">
        <v>4.5</v>
      </c>
    </row>
    <row r="23">
      <c r="A23" s="138" t="inlineStr">
        <is>
          <t>z automotive</t>
        </is>
      </c>
      <c r="B23" s="139" t="n">
        <v>15</v>
      </c>
      <c r="C23" s="141" t="n">
        <v>246557</v>
      </c>
      <c r="D23" s="140" t="n">
        <v>2936554.467692308</v>
      </c>
      <c r="E23" s="142" t="n">
        <v>937</v>
      </c>
      <c r="F23" s="143" t="n">
        <v>0.0076</v>
      </c>
      <c r="G23" s="325" t="n">
        <v>263.13</v>
      </c>
      <c r="H23" s="142" t="n">
        <v>1903</v>
      </c>
      <c r="I23" s="145" t="n">
        <v>4.4</v>
      </c>
    </row>
    <row r="24">
      <c r="A24" s="138" t="inlineStr">
        <is>
          <t>obdeleven</t>
        </is>
      </c>
      <c r="B24" s="139" t="n">
        <v>5</v>
      </c>
      <c r="C24" s="141" t="n">
        <v>215102.39</v>
      </c>
      <c r="D24" s="140" t="n">
        <v>2564607.332307693</v>
      </c>
      <c r="E24" s="142" t="n">
        <v>1352</v>
      </c>
      <c r="F24" s="143" t="n">
        <v>0.0066</v>
      </c>
      <c r="G24" s="325" t="n">
        <v>159.1</v>
      </c>
      <c r="H24" s="142" t="n">
        <v>17396</v>
      </c>
      <c r="I24" s="145" t="n">
        <v>3.8</v>
      </c>
    </row>
    <row r="25">
      <c r="A25" s="138" t="inlineStr">
        <is>
          <t>innovative products of america</t>
        </is>
      </c>
      <c r="B25" s="139" t="n">
        <v>19</v>
      </c>
      <c r="C25" s="141" t="n">
        <v>210303.84</v>
      </c>
      <c r="D25" s="140" t="n">
        <v>1688080.56</v>
      </c>
      <c r="E25" s="142" t="n">
        <v>804</v>
      </c>
      <c r="F25" s="143" t="n">
        <v>0.0065</v>
      </c>
      <c r="G25" s="325" t="n">
        <v>261.57</v>
      </c>
      <c r="H25" s="142" t="n">
        <v>813</v>
      </c>
      <c r="I25" s="145" t="n">
        <v>4.6</v>
      </c>
    </row>
    <row r="26" ht="30" customFormat="1" customHeight="1" s="308">
      <c r="A26" s="138" t="inlineStr">
        <is>
          <t>bluedriver</t>
        </is>
      </c>
      <c r="B26" s="139" t="n">
        <v>3</v>
      </c>
      <c r="C26" s="141" t="n">
        <v>207440.21</v>
      </c>
      <c r="D26" s="140" t="n">
        <v>12301181.19692308</v>
      </c>
      <c r="E26" s="142" t="n">
        <v>2238</v>
      </c>
      <c r="F26" s="143" t="n">
        <v>0.0064</v>
      </c>
      <c r="G26" s="325" t="n">
        <v>92.69</v>
      </c>
      <c r="H26" s="142" t="n">
        <v>124425</v>
      </c>
      <c r="I26" s="145" t="n">
        <v>4.5</v>
      </c>
    </row>
    <row r="27">
      <c r="A27" s="138" t="inlineStr">
        <is>
          <t>edge</t>
        </is>
      </c>
      <c r="B27" s="139" t="n">
        <v>1</v>
      </c>
      <c r="C27" s="141" t="n">
        <v>194779.05</v>
      </c>
      <c r="D27" s="140" t="n">
        <v>665569.4492307692</v>
      </c>
      <c r="E27" s="142" t="n">
        <v>436</v>
      </c>
      <c r="F27" s="143" t="n">
        <v>0.006</v>
      </c>
      <c r="G27" s="325" t="n">
        <v>446.74</v>
      </c>
      <c r="H27" s="142" t="n">
        <v>1055</v>
      </c>
      <c r="I27" s="145" t="n">
        <v>4.3</v>
      </c>
    </row>
    <row r="28" ht="17" customHeight="1" s="314" thickBot="1">
      <c r="C28" s="23" t="n"/>
      <c r="D28" s="6" t="n"/>
      <c r="F28" s="7" t="n"/>
      <c r="G28" s="7" t="n"/>
      <c r="I28" s="8" t="n"/>
    </row>
    <row r="29" ht="17" customHeight="1" s="314" thickTop="1">
      <c r="A29" s="9" t="inlineStr">
        <is>
          <t>Total</t>
        </is>
      </c>
      <c r="B29" s="10">
        <f>SUM(B2:B27)</f>
        <v/>
      </c>
      <c r="C29" s="24">
        <f>SUM(C3:C27)</f>
        <v/>
      </c>
      <c r="D29" s="11">
        <f>SUM(D3:D27)</f>
        <v/>
      </c>
      <c r="E29" s="13">
        <f>SUM(E3:E27)</f>
        <v/>
      </c>
      <c r="F29" s="12">
        <f>SUM(F3:F27)</f>
        <v/>
      </c>
      <c r="G29" s="329">
        <f>AVERAGE(G3:G27)</f>
        <v/>
      </c>
      <c r="H29" s="13">
        <f>SUM(H3:H27)</f>
        <v/>
      </c>
      <c r="I29" s="14">
        <f>AVERAGE(I3:I27)</f>
        <v/>
      </c>
    </row>
    <row r="32" ht="26" customHeight="1" s="314">
      <c r="A32" s="313" t="inlineStr">
        <is>
          <t>April '26 Summary - Units</t>
        </is>
      </c>
    </row>
    <row r="33">
      <c r="A33" s="1" t="inlineStr">
        <is>
          <t>Brand</t>
        </is>
      </c>
      <c r="B33" s="2" t="inlineStr">
        <is>
          <t># of Listings</t>
        </is>
      </c>
      <c r="C33" s="3" t="inlineStr">
        <is>
          <t>Monthly Rev</t>
        </is>
      </c>
      <c r="D33" s="26" t="inlineStr">
        <is>
          <t>Estimated 12mo Units</t>
        </is>
      </c>
      <c r="E33" s="27" t="inlineStr">
        <is>
          <t>Monthly Units</t>
        </is>
      </c>
      <c r="F33" s="2" t="inlineStr">
        <is>
          <t>Monthly Unit Market Share %</t>
        </is>
      </c>
      <c r="G33" s="2" t="inlineStr">
        <is>
          <t>Price Per Unit</t>
        </is>
      </c>
      <c r="H33" s="2" t="inlineStr">
        <is>
          <t>Reviews</t>
        </is>
      </c>
      <c r="I33" s="4" t="inlineStr">
        <is>
          <t>Avg Rating</t>
        </is>
      </c>
    </row>
    <row r="34">
      <c r="A34" s="138" t="inlineStr">
        <is>
          <t>ancel</t>
        </is>
      </c>
      <c r="B34" s="139" t="n">
        <v>76</v>
      </c>
      <c r="C34" s="140" t="n">
        <v>2653788.21</v>
      </c>
      <c r="D34" s="330" t="n">
        <v>583710.4615384615</v>
      </c>
      <c r="E34" s="230" t="n">
        <v>42431</v>
      </c>
      <c r="F34" s="143" t="n">
        <v>0.1458</v>
      </c>
      <c r="G34" s="325" t="n">
        <v>62.54</v>
      </c>
      <c r="H34" s="142" t="n">
        <v>131060</v>
      </c>
      <c r="I34" s="145" t="n">
        <v>4.1</v>
      </c>
    </row>
    <row r="35">
      <c r="A35" s="146" t="inlineStr">
        <is>
          <t>autel</t>
        </is>
      </c>
      <c r="B35" s="139" t="n">
        <v>558</v>
      </c>
      <c r="C35" s="140" t="n">
        <v>5675693.04</v>
      </c>
      <c r="D35" s="330" t="n">
        <v>222962.7692307692</v>
      </c>
      <c r="E35" s="230" t="n">
        <v>20351</v>
      </c>
      <c r="F35" s="143" t="n">
        <v>0.0699</v>
      </c>
      <c r="G35" s="325" t="n">
        <v>278.89</v>
      </c>
      <c r="H35" s="142" t="n">
        <v>133657</v>
      </c>
      <c r="I35" s="145" t="n">
        <v>4.6</v>
      </c>
    </row>
    <row r="36">
      <c r="A36" s="138" t="inlineStr">
        <is>
          <t>obdlink</t>
        </is>
      </c>
      <c r="B36" s="139" t="n">
        <v>4</v>
      </c>
      <c r="C36" s="140" t="n">
        <v>1496129.26</v>
      </c>
      <c r="D36" s="330" t="n">
        <v>151934.7692307692</v>
      </c>
      <c r="E36" s="230" t="n">
        <v>15245</v>
      </c>
      <c r="F36" s="143" t="n">
        <v>0.0524</v>
      </c>
      <c r="G36" s="325" t="n">
        <v>98.14</v>
      </c>
      <c r="H36" s="142" t="n">
        <v>36986</v>
      </c>
      <c r="I36" s="145" t="n">
        <v>4.6</v>
      </c>
    </row>
    <row r="37">
      <c r="A37" s="138" t="inlineStr">
        <is>
          <t>foxwell</t>
        </is>
      </c>
      <c r="B37" s="139" t="n">
        <v>47</v>
      </c>
      <c r="C37" s="140" t="n">
        <v>1938069.76</v>
      </c>
      <c r="D37" s="330" t="n">
        <v>171217.8461538462</v>
      </c>
      <c r="E37" s="230" t="n">
        <v>14404</v>
      </c>
      <c r="F37" s="143" t="n">
        <v>0.0495</v>
      </c>
      <c r="G37" s="325" t="n">
        <v>134.55</v>
      </c>
      <c r="H37" s="142" t="n">
        <v>71565</v>
      </c>
      <c r="I37" s="145" t="n">
        <v>4.3</v>
      </c>
    </row>
    <row r="38" customFormat="1" s="214">
      <c r="A38" s="164" t="inlineStr">
        <is>
          <t>motopower</t>
        </is>
      </c>
      <c r="B38" s="165" t="n">
        <v>7</v>
      </c>
      <c r="C38" s="166" t="n">
        <v>305178.69</v>
      </c>
      <c r="D38" s="331" t="n">
        <v>126432.9230769231</v>
      </c>
      <c r="E38" s="231" t="n">
        <v>13739</v>
      </c>
      <c r="F38" s="168" t="n">
        <v>0.0472</v>
      </c>
      <c r="G38" s="332" t="n">
        <v>22.21</v>
      </c>
      <c r="H38" s="167" t="n">
        <v>59021</v>
      </c>
      <c r="I38" s="170" t="n">
        <v>4.5</v>
      </c>
    </row>
    <row r="39">
      <c r="A39" s="138" t="inlineStr">
        <is>
          <t>topdon</t>
        </is>
      </c>
      <c r="B39" s="139" t="n">
        <v>53</v>
      </c>
      <c r="C39" s="140" t="n">
        <v>3250373.1</v>
      </c>
      <c r="D39" s="330" t="n">
        <v>149243.0769230769</v>
      </c>
      <c r="E39" s="230" t="n">
        <v>12898</v>
      </c>
      <c r="F39" s="143" t="n">
        <v>0.0443</v>
      </c>
      <c r="G39" s="325" t="n">
        <v>252.01</v>
      </c>
      <c r="H39" s="142" t="n">
        <v>26884</v>
      </c>
      <c r="I39" s="145" t="n">
        <v>4.3</v>
      </c>
    </row>
    <row r="40">
      <c r="A40" s="185" t="inlineStr">
        <is>
          <t>innova</t>
        </is>
      </c>
      <c r="B40" s="139" t="n">
        <v>42</v>
      </c>
      <c r="C40" s="140" t="n">
        <v>1902016.68</v>
      </c>
      <c r="D40" s="330" t="n">
        <v>92570.76923076923</v>
      </c>
      <c r="E40" s="230" t="n">
        <v>12781</v>
      </c>
      <c r="F40" s="143" t="n">
        <v>0.0439</v>
      </c>
      <c r="G40" s="325" t="n">
        <v>148.82</v>
      </c>
      <c r="H40" s="142" t="n">
        <v>32185</v>
      </c>
      <c r="I40" s="145" t="n">
        <v>2.5</v>
      </c>
    </row>
    <row r="41">
      <c r="A41" s="185" t="inlineStr">
        <is>
          <t>veepeak</t>
        </is>
      </c>
      <c r="B41" s="139" t="n">
        <v>4</v>
      </c>
      <c r="C41" s="140" t="n">
        <v>285079.53</v>
      </c>
      <c r="D41" s="330" t="n">
        <v>85440</v>
      </c>
      <c r="E41" s="230" t="n">
        <v>8873</v>
      </c>
      <c r="F41" s="143" t="n">
        <v>0.0305</v>
      </c>
      <c r="G41" s="325" t="n">
        <v>32.13</v>
      </c>
      <c r="H41" s="142" t="n">
        <v>53073</v>
      </c>
      <c r="I41" s="145" t="n">
        <v>4.5</v>
      </c>
    </row>
    <row r="42">
      <c r="A42" s="138" t="inlineStr">
        <is>
          <t>launch</t>
        </is>
      </c>
      <c r="B42" s="139" t="n">
        <v>287</v>
      </c>
      <c r="C42" s="140" t="n">
        <v>2642413.14</v>
      </c>
      <c r="D42" s="330" t="n">
        <v>105671.0769230769</v>
      </c>
      <c r="E42" s="230" t="n">
        <v>8505</v>
      </c>
      <c r="F42" s="143" t="n">
        <v>0.0292</v>
      </c>
      <c r="G42" s="325" t="n">
        <v>310.69</v>
      </c>
      <c r="H42" s="142" t="n">
        <v>75422</v>
      </c>
      <c r="I42" s="145" t="n">
        <v>4.2</v>
      </c>
    </row>
    <row r="43" customFormat="1" s="29">
      <c r="A43" s="185" t="inlineStr">
        <is>
          <t>vgate</t>
        </is>
      </c>
      <c r="B43" s="139" t="n">
        <v>34</v>
      </c>
      <c r="C43" s="140" t="n">
        <v>287201.08</v>
      </c>
      <c r="D43" s="330" t="n">
        <v>69779.07692307692</v>
      </c>
      <c r="E43" s="230" t="n">
        <v>7189</v>
      </c>
      <c r="F43" s="143" t="n">
        <v>0.0247</v>
      </c>
      <c r="G43" s="325" t="n">
        <v>39.95</v>
      </c>
      <c r="H43" s="142" t="n">
        <v>22582</v>
      </c>
      <c r="I43" s="145" t="n">
        <v>4.4</v>
      </c>
    </row>
    <row r="44">
      <c r="A44" s="171" t="inlineStr">
        <is>
          <t>vdiagtool</t>
        </is>
      </c>
      <c r="B44" s="172" t="n">
        <v>10</v>
      </c>
      <c r="C44" s="173" t="n">
        <v>188103.62</v>
      </c>
      <c r="D44" s="333" t="n">
        <v>54706.15384615384</v>
      </c>
      <c r="E44" s="232" t="n">
        <v>7004</v>
      </c>
      <c r="F44" s="176" t="n">
        <v>0.0241</v>
      </c>
      <c r="G44" s="327" t="n">
        <v>26.86</v>
      </c>
      <c r="H44" s="175" t="n">
        <v>4162</v>
      </c>
      <c r="I44" s="178" t="n">
        <v>4.5</v>
      </c>
    </row>
    <row r="45">
      <c r="A45" s="138" t="inlineStr">
        <is>
          <t>fixd</t>
        </is>
      </c>
      <c r="B45" s="139" t="n">
        <v>3</v>
      </c>
      <c r="C45" s="140" t="n">
        <v>504400.77</v>
      </c>
      <c r="D45" s="330" t="n">
        <v>109849.8461538462</v>
      </c>
      <c r="E45" s="230" t="n">
        <v>6873</v>
      </c>
      <c r="F45" s="143" t="n">
        <v>0.0236</v>
      </c>
      <c r="G45" s="325" t="n">
        <v>73.39</v>
      </c>
      <c r="H45" s="142" t="n">
        <v>37525</v>
      </c>
      <c r="I45" s="145" t="n">
        <v>4.1</v>
      </c>
    </row>
    <row r="46" customFormat="1" s="29">
      <c r="A46" s="138" t="inlineStr">
        <is>
          <t>xtool</t>
        </is>
      </c>
      <c r="B46" s="139" t="n">
        <v>69</v>
      </c>
      <c r="C46" s="140" t="n">
        <v>1544861.27</v>
      </c>
      <c r="D46" s="330" t="n">
        <v>63385.84615384616</v>
      </c>
      <c r="E46" s="230" t="n">
        <v>6209</v>
      </c>
      <c r="F46" s="143" t="n">
        <v>0.0213</v>
      </c>
      <c r="G46" s="325" t="n">
        <v>248.81</v>
      </c>
      <c r="H46" s="142" t="n">
        <v>11932</v>
      </c>
      <c r="I46" s="145" t="n">
        <v>4.4</v>
      </c>
    </row>
    <row r="47">
      <c r="A47" s="185" t="inlineStr">
        <is>
          <t>bbfly</t>
        </is>
      </c>
      <c r="B47" s="139" t="n">
        <v>28</v>
      </c>
      <c r="C47" s="140" t="n">
        <v>78945.86</v>
      </c>
      <c r="D47" s="330" t="n">
        <v>41416.61538461538</v>
      </c>
      <c r="E47" s="230" t="n">
        <v>3807</v>
      </c>
      <c r="F47" s="143" t="n">
        <v>0.0131</v>
      </c>
      <c r="G47" s="325" t="n">
        <v>20.74</v>
      </c>
      <c r="H47" s="142" t="n">
        <v>15699</v>
      </c>
      <c r="I47" s="145" t="n">
        <v>4.4</v>
      </c>
    </row>
    <row r="48" customFormat="1" s="206">
      <c r="A48" s="193" t="inlineStr">
        <is>
          <t>blcktec</t>
        </is>
      </c>
      <c r="B48" s="194" t="n">
        <v>7</v>
      </c>
      <c r="C48" s="195" t="n">
        <v>440783.7</v>
      </c>
      <c r="D48" s="334" t="n">
        <v>48503.07692307692</v>
      </c>
      <c r="E48" s="233" t="n">
        <v>3717</v>
      </c>
      <c r="F48" s="198" t="n">
        <v>0.0128</v>
      </c>
      <c r="G48" s="328" t="n">
        <v>118.59</v>
      </c>
      <c r="H48" s="197" t="n">
        <v>7978</v>
      </c>
      <c r="I48" s="200" t="n">
        <v>4.4</v>
      </c>
    </row>
    <row r="49">
      <c r="A49" s="171" t="inlineStr">
        <is>
          <t>ohp</t>
        </is>
      </c>
      <c r="B49" s="172" t="n">
        <v>6</v>
      </c>
      <c r="C49" s="173" t="n">
        <v>114243.77</v>
      </c>
      <c r="D49" s="333" t="n">
        <v>24694.15384615385</v>
      </c>
      <c r="E49" s="232" t="n">
        <v>3364</v>
      </c>
      <c r="F49" s="176" t="n">
        <v>0.0116</v>
      </c>
      <c r="G49" s="327" t="n">
        <v>33.96</v>
      </c>
      <c r="H49" s="175" t="n">
        <v>6954</v>
      </c>
      <c r="I49" s="178" t="n">
        <v>4.3</v>
      </c>
    </row>
    <row r="50">
      <c r="A50" s="171" t="inlineStr">
        <is>
          <t>generic</t>
        </is>
      </c>
      <c r="B50" s="172" t="n">
        <v>201</v>
      </c>
      <c r="C50" s="173" t="n">
        <v>685242.95</v>
      </c>
      <c r="D50" s="333" t="n">
        <v>20998.15384615385</v>
      </c>
      <c r="E50" s="232" t="n">
        <v>3301</v>
      </c>
      <c r="F50" s="176" t="n">
        <v>0.0113</v>
      </c>
      <c r="G50" s="327" t="n">
        <v>207.59</v>
      </c>
      <c r="H50" s="175" t="n">
        <v>1343</v>
      </c>
      <c r="I50" s="178" t="n">
        <v>4</v>
      </c>
    </row>
    <row r="51">
      <c r="A51" s="138" t="inlineStr">
        <is>
          <t>thinkcar</t>
        </is>
      </c>
      <c r="B51" s="139" t="n">
        <v>22</v>
      </c>
      <c r="C51" s="140" t="n">
        <v>843205.54</v>
      </c>
      <c r="D51" s="330" t="n">
        <v>32651.07692307692</v>
      </c>
      <c r="E51" s="230" t="n">
        <v>3049</v>
      </c>
      <c r="F51" s="143" t="n">
        <v>0.0105</v>
      </c>
      <c r="G51" s="325" t="n">
        <v>276.55</v>
      </c>
      <c r="H51" s="142" t="n">
        <v>13351</v>
      </c>
      <c r="I51" s="145" t="n">
        <v>4.4</v>
      </c>
    </row>
    <row r="52">
      <c r="A52" s="138" t="inlineStr">
        <is>
          <t>ikkegol</t>
        </is>
      </c>
      <c r="B52" s="139" t="n">
        <v>55</v>
      </c>
      <c r="C52" s="140" t="n">
        <v>32834.43</v>
      </c>
      <c r="D52" s="330" t="n">
        <v>22034.76923076923</v>
      </c>
      <c r="E52" s="230" t="n">
        <v>2573</v>
      </c>
      <c r="F52" s="143" t="n">
        <v>0.008800000000000001</v>
      </c>
      <c r="G52" s="325" t="n">
        <v>12.76</v>
      </c>
      <c r="H52" s="142" t="n">
        <v>9869</v>
      </c>
      <c r="I52" s="145" t="n">
        <v>4.3</v>
      </c>
    </row>
    <row r="53">
      <c r="A53" s="138" t="inlineStr">
        <is>
          <t>umeija</t>
        </is>
      </c>
      <c r="B53" s="139" t="n">
        <v>7</v>
      </c>
      <c r="C53" s="140" t="n">
        <v>50730.68</v>
      </c>
      <c r="D53" s="330" t="n">
        <v>44890.15384615384</v>
      </c>
      <c r="E53" s="230" t="n">
        <v>2324</v>
      </c>
      <c r="F53" s="143" t="n">
        <v>0.008</v>
      </c>
      <c r="G53" s="325" t="n">
        <v>21.83</v>
      </c>
      <c r="H53" s="142" t="n">
        <v>10335</v>
      </c>
      <c r="I53" s="145" t="n">
        <v>4.5</v>
      </c>
    </row>
    <row r="54">
      <c r="A54" s="138" t="inlineStr">
        <is>
          <t>bluedriver</t>
        </is>
      </c>
      <c r="B54" s="139" t="n">
        <v>3</v>
      </c>
      <c r="C54" s="140" t="n">
        <v>207440.21</v>
      </c>
      <c r="D54" s="330" t="n">
        <v>145627.3846153846</v>
      </c>
      <c r="E54" s="230" t="n">
        <v>2238</v>
      </c>
      <c r="F54" s="143" t="n">
        <v>0.0077</v>
      </c>
      <c r="G54" s="325" t="n">
        <v>92.69</v>
      </c>
      <c r="H54" s="142" t="n">
        <v>124425</v>
      </c>
      <c r="I54" s="145" t="n">
        <v>4.5</v>
      </c>
    </row>
    <row r="55">
      <c r="A55" s="138" t="inlineStr">
        <is>
          <t>icarsoft</t>
        </is>
      </c>
      <c r="B55" s="139" t="n">
        <v>173</v>
      </c>
      <c r="C55" s="140" t="n">
        <v>434833.8</v>
      </c>
      <c r="D55" s="330" t="n">
        <v>23493.23076923077</v>
      </c>
      <c r="E55" s="230" t="n">
        <v>2225</v>
      </c>
      <c r="F55" s="143" t="n">
        <v>0.0076</v>
      </c>
      <c r="G55" s="325" t="n">
        <v>195.43</v>
      </c>
      <c r="H55" s="142" t="n">
        <v>17140</v>
      </c>
      <c r="I55" s="145" t="n">
        <v>3.9</v>
      </c>
    </row>
    <row r="56">
      <c r="A56" s="138" t="inlineStr">
        <is>
          <t>kingbolen</t>
        </is>
      </c>
      <c r="B56" s="139" t="n">
        <v>25</v>
      </c>
      <c r="C56" s="140" t="n">
        <v>325903.98</v>
      </c>
      <c r="D56" s="330" t="n">
        <v>23099.07692307692</v>
      </c>
      <c r="E56" s="230" t="n">
        <v>2081</v>
      </c>
      <c r="F56" s="143" t="n">
        <v>0.0071</v>
      </c>
      <c r="G56" s="325" t="n">
        <v>156.61</v>
      </c>
      <c r="H56" s="142" t="n">
        <v>5087</v>
      </c>
      <c r="I56" s="145" t="n">
        <v>4.3</v>
      </c>
    </row>
    <row r="57">
      <c r="A57" s="138" t="inlineStr">
        <is>
          <t>parannic</t>
        </is>
      </c>
      <c r="B57" s="139" t="n">
        <v>79</v>
      </c>
      <c r="C57" s="140" t="n">
        <v>61244.15</v>
      </c>
      <c r="D57" s="330" t="n">
        <v>17922.46153846154</v>
      </c>
      <c r="E57" s="230" t="n">
        <v>2039</v>
      </c>
      <c r="F57" s="143" t="n">
        <v>0.007</v>
      </c>
      <c r="G57" s="325" t="n">
        <v>30.04</v>
      </c>
      <c r="H57" s="142" t="n">
        <v>1890</v>
      </c>
      <c r="I57" s="145" t="n">
        <v>4.1</v>
      </c>
    </row>
    <row r="58">
      <c r="A58" s="138" t="inlineStr">
        <is>
          <t>cgsulit</t>
        </is>
      </c>
      <c r="B58" s="139" t="n">
        <v>13</v>
      </c>
      <c r="C58" s="140" t="n">
        <v>78799.55</v>
      </c>
      <c r="D58" s="330" t="n">
        <v>22501.84615384615</v>
      </c>
      <c r="E58" s="230" t="n">
        <v>1876</v>
      </c>
      <c r="F58" s="143" t="n">
        <v>0.0064</v>
      </c>
      <c r="G58" s="325" t="n">
        <v>42</v>
      </c>
      <c r="H58" s="142" t="n">
        <v>6045</v>
      </c>
      <c r="I58" s="145" t="n">
        <v>4.2</v>
      </c>
    </row>
    <row r="59" ht="17" customHeight="1" s="314" thickBot="1">
      <c r="C59" s="6" t="n"/>
      <c r="D59" s="6" t="n"/>
      <c r="E59" s="234" t="n"/>
      <c r="F59" s="7" t="n"/>
      <c r="G59" s="7" t="n"/>
      <c r="I59" s="8" t="n"/>
    </row>
    <row r="60" ht="17" customHeight="1" s="314" thickTop="1">
      <c r="A60" s="9" t="inlineStr">
        <is>
          <t>Total</t>
        </is>
      </c>
      <c r="B60" s="10">
        <f>SUM(B33:B58)</f>
        <v/>
      </c>
      <c r="C60" s="11">
        <f>SUM(C34:C58)</f>
        <v/>
      </c>
      <c r="D60" s="335">
        <f>SUM(D34:D58)</f>
        <v/>
      </c>
      <c r="E60" s="235">
        <f>SUM(E34:E58)</f>
        <v/>
      </c>
      <c r="F60" s="12">
        <f>SUM(F34:F58)</f>
        <v/>
      </c>
      <c r="G60" s="329">
        <f>AVERAGE(G34:G58)</f>
        <v/>
      </c>
      <c r="H60" s="13">
        <f>SUM(H34:H58)</f>
        <v/>
      </c>
      <c r="I60" s="14">
        <f>AVERAGE(I34:I58)</f>
        <v/>
      </c>
    </row>
  </sheetData>
  <mergeCells count="2">
    <mergeCell ref="A1:I1"/>
    <mergeCell ref="A32:I32"/>
  </mergeCells>
  <pageMargins left="0.7" right="0.7" top="0.75" bottom="0.75" header="0.3" footer="0.3"/>
  <pageSetup orientation="portrait" horizontalDpi="1200" verticalDpi="1200"/>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N59"/>
  <sheetViews>
    <sheetView tabSelected="1" topLeftCell="A2" zoomScale="106" workbookViewId="0">
      <selection activeCell="A8" sqref="A8"/>
    </sheetView>
  </sheetViews>
  <sheetFormatPr baseColWidth="10" defaultColWidth="11.1640625" defaultRowHeight="16"/>
  <cols>
    <col width="14.33203125" customWidth="1" style="314" min="2" max="12"/>
    <col width="16" customWidth="1" style="314" min="13" max="13"/>
    <col width="14.33203125" customWidth="1" style="314" min="14" max="14"/>
  </cols>
  <sheetData>
    <row r="1" ht="26" customHeight="1" s="314">
      <c r="A1" s="316" t="inlineStr">
        <is>
          <t xml:space="preserve">Monthly Revenue </t>
        </is>
      </c>
    </row>
    <row r="2" customFormat="1" s="308">
      <c r="A2" s="136" t="inlineStr">
        <is>
          <t>Brand</t>
        </is>
      </c>
      <c r="B2" s="149" t="inlineStr">
        <is>
          <t>May '25</t>
        </is>
      </c>
      <c r="C2" s="149" t="inlineStr">
        <is>
          <t>June '25</t>
        </is>
      </c>
      <c r="D2" s="149" t="inlineStr">
        <is>
          <t>July '25</t>
        </is>
      </c>
      <c r="E2" s="149" t="inlineStr">
        <is>
          <t>August '25</t>
        </is>
      </c>
      <c r="F2" s="149" t="inlineStr">
        <is>
          <t>September '25</t>
        </is>
      </c>
      <c r="G2" s="149" t="inlineStr">
        <is>
          <t>October '25</t>
        </is>
      </c>
      <c r="H2" s="149" t="inlineStr">
        <is>
          <t>November '25</t>
        </is>
      </c>
      <c r="I2" s="149" t="inlineStr">
        <is>
          <t>December '25</t>
        </is>
      </c>
      <c r="J2" s="149" t="inlineStr">
        <is>
          <t>January '26</t>
        </is>
      </c>
      <c r="K2" s="149" t="inlineStr">
        <is>
          <t>February '26</t>
        </is>
      </c>
      <c r="L2" s="149" t="inlineStr">
        <is>
          <t>March '26</t>
        </is>
      </c>
      <c r="M2" s="149" t="inlineStr">
        <is>
          <t>April '26</t>
        </is>
      </c>
      <c r="N2" s="149" t="inlineStr">
        <is>
          <t>Grand Total</t>
        </is>
      </c>
    </row>
    <row r="3">
      <c r="A3" s="137" t="inlineStr">
        <is>
          <t>autel</t>
        </is>
      </c>
      <c r="B3" s="148" t="n">
        <v>4967470.8442537</v>
      </c>
      <c r="C3" s="148" t="n">
        <v>4917498.7442537</v>
      </c>
      <c r="D3" s="148" t="n">
        <v>5647145.5566067</v>
      </c>
      <c r="E3" s="148" t="n">
        <v>5393123.3066067</v>
      </c>
      <c r="F3" s="148" t="n">
        <v>5360421.0566067</v>
      </c>
      <c r="G3" s="148" t="n">
        <v>6033873.4666067</v>
      </c>
      <c r="H3" s="148" t="n">
        <v>5474504.89</v>
      </c>
      <c r="I3" s="186" t="n">
        <v>6049335.9766067</v>
      </c>
      <c r="J3" s="179" t="n">
        <v>4998435.49</v>
      </c>
      <c r="K3" s="215" t="n">
        <v>5053849.76</v>
      </c>
      <c r="L3" s="215" t="n">
        <v>5282864.82</v>
      </c>
      <c r="M3" s="215" t="n">
        <v>5675693.04</v>
      </c>
      <c r="N3" s="236">
        <f>SUM(B3:M3)</f>
        <v/>
      </c>
    </row>
    <row r="4">
      <c r="A4" s="137" t="inlineStr">
        <is>
          <t>topdon</t>
        </is>
      </c>
      <c r="B4" s="148" t="n">
        <v>2403520.47</v>
      </c>
      <c r="C4" s="148" t="n">
        <v>2061170.03</v>
      </c>
      <c r="D4" s="148" t="n">
        <v>2628872.12</v>
      </c>
      <c r="E4" s="148" t="n">
        <v>2671242.42</v>
      </c>
      <c r="F4" s="148" t="n">
        <v>2722229.18</v>
      </c>
      <c r="G4" s="148" t="n">
        <v>3120945.56</v>
      </c>
      <c r="H4" s="148" t="n">
        <v>3543160.97</v>
      </c>
      <c r="I4" s="186" t="n">
        <v>4168424</v>
      </c>
      <c r="J4" s="179" t="n">
        <v>2715665.63</v>
      </c>
      <c r="K4" s="215" t="n">
        <v>2832598.49</v>
      </c>
      <c r="L4" s="215" t="n">
        <v>3284176.8</v>
      </c>
      <c r="M4" s="215" t="n">
        <v>3250373.1</v>
      </c>
      <c r="N4" s="236">
        <f>SUM(B4:M4)</f>
        <v/>
      </c>
    </row>
    <row r="5">
      <c r="A5" s="137" t="inlineStr">
        <is>
          <t>ancel</t>
        </is>
      </c>
      <c r="B5" s="148" t="n">
        <v>2192347.5875</v>
      </c>
      <c r="C5" s="148" t="n">
        <v>2084176.54</v>
      </c>
      <c r="D5" s="148" t="n">
        <v>2566169.87</v>
      </c>
      <c r="E5" s="148" t="n">
        <v>2609541.64</v>
      </c>
      <c r="F5" s="148" t="n">
        <v>2682109.5</v>
      </c>
      <c r="G5" s="148" t="n">
        <v>2705420.25</v>
      </c>
      <c r="H5" s="148" t="n">
        <v>3020274.32</v>
      </c>
      <c r="I5" s="186" t="n">
        <v>3569863.8</v>
      </c>
      <c r="J5" s="179" t="n">
        <v>3083017.54</v>
      </c>
      <c r="K5" s="215" t="n">
        <v>3102899.52</v>
      </c>
      <c r="L5" s="215" t="n">
        <v>3042924.37</v>
      </c>
      <c r="M5" s="215" t="n">
        <v>2653788.21</v>
      </c>
      <c r="N5" s="236">
        <f>SUM(B5:M5)</f>
        <v/>
      </c>
    </row>
    <row r="6">
      <c r="A6" s="137" t="inlineStr">
        <is>
          <t>launch</t>
        </is>
      </c>
      <c r="B6" s="148" t="n">
        <v>2807366.0951667</v>
      </c>
      <c r="C6" s="148" t="n">
        <v>2548602.6151667</v>
      </c>
      <c r="D6" s="148" t="n">
        <v>2919403.3966667</v>
      </c>
      <c r="E6" s="148" t="n">
        <v>2675221.8166667</v>
      </c>
      <c r="F6" s="148" t="n">
        <v>2569499.0766667</v>
      </c>
      <c r="G6" s="148" t="n">
        <v>2884915.1766667</v>
      </c>
      <c r="H6" s="148" t="n">
        <v>2827315.92</v>
      </c>
      <c r="I6" s="186" t="n">
        <v>2847139.1166667</v>
      </c>
      <c r="J6" s="179" t="n">
        <v>2399124.72</v>
      </c>
      <c r="K6" s="215" t="n">
        <v>2477461.14</v>
      </c>
      <c r="L6" s="215" t="n">
        <v>2622909.32</v>
      </c>
      <c r="M6" s="215" t="n">
        <v>2642413.14</v>
      </c>
      <c r="N6" s="236">
        <f>SUM(B6:M6)</f>
        <v/>
      </c>
    </row>
    <row r="7">
      <c r="A7" s="137" t="inlineStr">
        <is>
          <t>foxwell</t>
        </is>
      </c>
      <c r="B7" s="148" t="n">
        <v>1528963.511</v>
      </c>
      <c r="C7" s="148" t="n">
        <v>1413082.895</v>
      </c>
      <c r="D7" s="148" t="n">
        <v>1755239.275</v>
      </c>
      <c r="E7" s="148" t="n">
        <v>1871202.925</v>
      </c>
      <c r="F7" s="148" t="n">
        <v>1765685.435</v>
      </c>
      <c r="G7" s="148" t="n">
        <v>1659111.795</v>
      </c>
      <c r="H7" s="148" t="n">
        <v>1771619.64</v>
      </c>
      <c r="I7" s="186" t="n">
        <v>2116041.565</v>
      </c>
      <c r="J7" s="179" t="n">
        <v>1837111.65</v>
      </c>
      <c r="K7" s="215" t="n">
        <v>1856372.74</v>
      </c>
      <c r="L7" s="215" t="n">
        <v>2152154.92</v>
      </c>
      <c r="M7" s="215" t="n">
        <v>1938069.76</v>
      </c>
      <c r="N7" s="236">
        <f>SUM(B7:M7)</f>
        <v/>
      </c>
    </row>
    <row r="8" customFormat="1" s="29">
      <c r="A8" s="137" t="inlineStr">
        <is>
          <t>xtool</t>
        </is>
      </c>
      <c r="B8" s="148" t="n">
        <v>999108.9399999999</v>
      </c>
      <c r="C8" s="148" t="n">
        <v>839643.92</v>
      </c>
      <c r="D8" s="148" t="n">
        <v>1559756.97</v>
      </c>
      <c r="E8" s="148" t="n">
        <v>1467930.26</v>
      </c>
      <c r="F8" s="148" t="n">
        <v>1480027.68</v>
      </c>
      <c r="G8" s="148" t="n">
        <v>1603556.89</v>
      </c>
      <c r="H8" s="148" t="n">
        <v>1671808.43</v>
      </c>
      <c r="I8" s="186" t="n">
        <v>1720310.21</v>
      </c>
      <c r="J8" s="179" t="n">
        <v>1339543.35</v>
      </c>
      <c r="K8" s="215" t="n">
        <v>1424594.28</v>
      </c>
      <c r="L8" s="215" t="n">
        <v>1489394.33</v>
      </c>
      <c r="M8" s="215" t="n">
        <v>1544861.27</v>
      </c>
      <c r="N8" s="236">
        <f>SUM(B8:M8)</f>
        <v/>
      </c>
    </row>
    <row r="9">
      <c r="A9" s="160" t="inlineStr">
        <is>
          <t>innova</t>
        </is>
      </c>
      <c r="B9" s="161" t="n">
        <v>763512.3899999999</v>
      </c>
      <c r="C9" s="161" t="n">
        <v>893028.5600000001</v>
      </c>
      <c r="D9" s="161" t="n">
        <v>1215740.51</v>
      </c>
      <c r="E9" s="161" t="n">
        <v>1205677.84</v>
      </c>
      <c r="F9" s="161" t="n">
        <v>1167836.1</v>
      </c>
      <c r="G9" s="161" t="n">
        <v>1193223.54</v>
      </c>
      <c r="H9" s="161" t="n">
        <v>1628811.73</v>
      </c>
      <c r="I9" s="192" t="n">
        <v>1640716.58</v>
      </c>
      <c r="J9" s="216" t="n">
        <v>1647664.62</v>
      </c>
      <c r="K9" s="222" t="n">
        <v>1756871.31</v>
      </c>
      <c r="L9" s="222" t="n">
        <v>1986064.78</v>
      </c>
      <c r="M9" s="222" t="n">
        <v>1902016.68</v>
      </c>
      <c r="N9" s="298">
        <f>SUM(B9:M9)</f>
        <v/>
      </c>
    </row>
    <row r="10">
      <c r="A10" s="185" t="inlineStr">
        <is>
          <t>obdlink</t>
        </is>
      </c>
      <c r="B10" s="293" t="n">
        <v>1113372.52</v>
      </c>
      <c r="C10" s="293" t="n">
        <v>1097690.13</v>
      </c>
      <c r="D10" s="293" t="n">
        <v>1388459.86</v>
      </c>
      <c r="E10" s="293" t="n">
        <v>1230139.66</v>
      </c>
      <c r="F10" s="293" t="n">
        <v>1115885.22</v>
      </c>
      <c r="G10" s="293" t="n">
        <v>1051236.21</v>
      </c>
      <c r="H10" s="293" t="n">
        <v>1186053.55</v>
      </c>
      <c r="I10" s="294" t="n">
        <v>1375094.93</v>
      </c>
      <c r="J10" s="295" t="n">
        <v>1151667.73</v>
      </c>
      <c r="K10" s="296" t="n">
        <v>1215630.63</v>
      </c>
      <c r="L10" s="296" t="n">
        <v>1305329.6</v>
      </c>
      <c r="M10" s="296" t="n">
        <v>1496129.26</v>
      </c>
      <c r="N10" s="297">
        <f>SUM(B10:M10)</f>
        <v/>
      </c>
    </row>
    <row r="11">
      <c r="A11" s="137" t="inlineStr">
        <is>
          <t>bluedriver</t>
        </is>
      </c>
      <c r="B11" s="148" t="n">
        <v>1050971.65</v>
      </c>
      <c r="C11" s="148" t="n">
        <v>1088257.19</v>
      </c>
      <c r="D11" s="148" t="n">
        <v>1123333.33</v>
      </c>
      <c r="E11" s="148" t="n">
        <v>1011814.23</v>
      </c>
      <c r="F11" s="148" t="n">
        <v>987421.46</v>
      </c>
      <c r="G11" s="148" t="n">
        <v>1054539</v>
      </c>
      <c r="H11" s="148" t="n">
        <v>1319399.79</v>
      </c>
      <c r="I11" s="186" t="n">
        <v>1187059.27</v>
      </c>
      <c r="J11" s="179" t="n">
        <v>1007102.69</v>
      </c>
      <c r="K11" s="215" t="n">
        <v>1103419.31</v>
      </c>
      <c r="L11" s="215" t="n">
        <v>1026702.75</v>
      </c>
      <c r="M11" s="215" t="n">
        <v>207440.21</v>
      </c>
      <c r="N11" s="236">
        <f>SUM(B11:M11)</f>
        <v/>
      </c>
    </row>
    <row r="12">
      <c r="A12" s="137" t="inlineStr">
        <is>
          <t>thinkcar</t>
        </is>
      </c>
      <c r="B12" s="148" t="n">
        <v>452298.61</v>
      </c>
      <c r="C12" s="148" t="n">
        <v>476026.09</v>
      </c>
      <c r="D12" s="148" t="n">
        <v>678975.1399999999</v>
      </c>
      <c r="E12" s="148" t="n">
        <v>744985.5299999999</v>
      </c>
      <c r="F12" s="148" t="n">
        <v>871370.59</v>
      </c>
      <c r="G12" s="148" t="n">
        <v>917601.83</v>
      </c>
      <c r="H12" s="148" t="n">
        <v>997358.64</v>
      </c>
      <c r="I12" s="186" t="n">
        <v>1309916.83</v>
      </c>
      <c r="J12" s="179" t="n">
        <v>781174.54</v>
      </c>
      <c r="K12" s="215" t="n">
        <v>691519.13</v>
      </c>
      <c r="L12" s="215" t="n">
        <v>871784.84</v>
      </c>
      <c r="M12" s="215" t="n">
        <v>843205.54</v>
      </c>
      <c r="N12" s="236">
        <f>SUM(B12:M12)</f>
        <v/>
      </c>
    </row>
    <row r="13">
      <c r="A13" s="137" t="inlineStr">
        <is>
          <t>diesel laptops</t>
        </is>
      </c>
      <c r="B13" s="148" t="n">
        <v>611573.755</v>
      </c>
      <c r="C13" s="148" t="n">
        <v>585737.51</v>
      </c>
      <c r="D13" s="148" t="n">
        <v>607466.42</v>
      </c>
      <c r="E13" s="148" t="n">
        <v>654920.52</v>
      </c>
      <c r="F13" s="148" t="n">
        <v>641986.71</v>
      </c>
      <c r="G13" s="148" t="n">
        <v>608910.5499999999</v>
      </c>
      <c r="H13" s="148" t="n">
        <v>578085.79</v>
      </c>
      <c r="I13" s="186" t="n">
        <v>531405.48</v>
      </c>
      <c r="J13" s="179" t="n">
        <v>571867.85</v>
      </c>
      <c r="K13" s="215" t="n">
        <v>695374.9</v>
      </c>
      <c r="L13" s="215" t="n">
        <v>713610.87</v>
      </c>
      <c r="M13" s="215" t="n">
        <v>794209.2000000001</v>
      </c>
      <c r="N13" s="236">
        <f>SUM(B13:M13)</f>
        <v/>
      </c>
    </row>
    <row r="14" customFormat="1" s="206">
      <c r="A14" s="185" t="inlineStr">
        <is>
          <t>fixd</t>
        </is>
      </c>
      <c r="B14" s="293" t="n">
        <v>575421.11</v>
      </c>
      <c r="C14" s="293" t="n">
        <v>579791.9299999999</v>
      </c>
      <c r="D14" s="293" t="n">
        <v>584376.5</v>
      </c>
      <c r="E14" s="293" t="n">
        <v>516006.68</v>
      </c>
      <c r="F14" s="293" t="n">
        <v>400904.48</v>
      </c>
      <c r="G14" s="293" t="n">
        <v>312265.8299999999</v>
      </c>
      <c r="H14" s="293" t="n">
        <v>312500.11</v>
      </c>
      <c r="I14" s="294" t="n">
        <v>370581.33</v>
      </c>
      <c r="J14" s="295" t="n">
        <v>261601.16</v>
      </c>
      <c r="K14" s="296" t="n">
        <v>414350.26</v>
      </c>
      <c r="L14" s="296" t="n">
        <v>596793.35</v>
      </c>
      <c r="M14" s="296" t="n">
        <v>504400.77</v>
      </c>
      <c r="N14" s="297">
        <f>SUM(B14:M14)</f>
        <v/>
      </c>
    </row>
    <row r="15">
      <c r="A15" s="137" t="inlineStr">
        <is>
          <t>icarsoft</t>
        </is>
      </c>
      <c r="B15" s="148" t="n">
        <v>356020.87</v>
      </c>
      <c r="C15" s="148" t="n">
        <v>310928.19</v>
      </c>
      <c r="D15" s="148" t="n">
        <v>422986.19</v>
      </c>
      <c r="E15" s="148" t="n">
        <v>399073.53</v>
      </c>
      <c r="F15" s="148" t="n">
        <v>441854.45</v>
      </c>
      <c r="G15" s="148" t="n">
        <v>416269.06</v>
      </c>
      <c r="H15" s="148" t="n">
        <v>391852.98</v>
      </c>
      <c r="I15" s="186" t="n">
        <v>408739.82</v>
      </c>
      <c r="J15" s="179" t="n">
        <v>413086.6</v>
      </c>
      <c r="K15" s="215" t="n">
        <v>387248.39</v>
      </c>
      <c r="L15" s="215" t="n">
        <v>384382.87</v>
      </c>
      <c r="M15" s="215" t="n">
        <v>434833.8</v>
      </c>
      <c r="N15" s="236">
        <f>SUM(B15:M15)</f>
        <v/>
      </c>
    </row>
    <row r="16" customFormat="1" s="206">
      <c r="A16" s="203" t="inlineStr">
        <is>
          <t>blcktec</t>
        </is>
      </c>
      <c r="B16" s="204" t="n">
        <v>236818.25</v>
      </c>
      <c r="C16" s="204" t="n">
        <v>242916.3</v>
      </c>
      <c r="D16" s="204" t="n">
        <v>276707.43</v>
      </c>
      <c r="E16" s="204" t="n">
        <v>363366.91</v>
      </c>
      <c r="F16" s="204" t="n">
        <v>379518.1</v>
      </c>
      <c r="G16" s="204" t="n">
        <v>415903.83</v>
      </c>
      <c r="H16" s="204" t="n">
        <v>478853.92</v>
      </c>
      <c r="I16" s="205" t="n">
        <v>483814.76</v>
      </c>
      <c r="J16" s="217" t="n">
        <v>431854.9</v>
      </c>
      <c r="K16" s="223" t="n">
        <v>441355.12</v>
      </c>
      <c r="L16" s="223" t="n">
        <v>500972.9</v>
      </c>
      <c r="M16" s="223" t="n">
        <v>440783.7</v>
      </c>
      <c r="N16" s="299">
        <f>SUM(B16:M16)</f>
        <v/>
      </c>
    </row>
    <row r="17">
      <c r="A17" s="137" t="inlineStr">
        <is>
          <t>mucar</t>
        </is>
      </c>
      <c r="B17" s="148" t="n">
        <v>110573.82</v>
      </c>
      <c r="C17" s="148" t="n">
        <v>154594.01</v>
      </c>
      <c r="D17" s="148" t="n">
        <v>209414.27</v>
      </c>
      <c r="E17" s="148" t="n">
        <v>283890.82</v>
      </c>
      <c r="F17" s="148" t="n">
        <v>332914.4300000001</v>
      </c>
      <c r="G17" s="148" t="n">
        <v>327795.68</v>
      </c>
      <c r="H17" s="148" t="n">
        <v>508403.19</v>
      </c>
      <c r="I17" s="186" t="n">
        <v>736197.6699999999</v>
      </c>
      <c r="J17" s="179" t="n">
        <v>481088.97</v>
      </c>
      <c r="K17" s="215" t="n">
        <v>514810.4</v>
      </c>
      <c r="L17" s="215" t="n">
        <v>483011.04</v>
      </c>
      <c r="M17" s="215" t="n">
        <v>595805.5600000001</v>
      </c>
      <c r="N17" s="236">
        <f>SUM(B17:M17)</f>
        <v/>
      </c>
    </row>
    <row r="18">
      <c r="A18" s="137" t="inlineStr">
        <is>
          <t>generic</t>
        </is>
      </c>
      <c r="B18" s="148" t="n">
        <v>211694.87</v>
      </c>
      <c r="C18" s="148" t="n">
        <v>175648.68</v>
      </c>
      <c r="D18" s="148" t="n">
        <v>207689.74</v>
      </c>
      <c r="E18" s="148" t="n">
        <v>221247.62</v>
      </c>
      <c r="F18" s="148" t="n">
        <v>222009.97</v>
      </c>
      <c r="G18" s="148" t="n">
        <v>252055.15</v>
      </c>
      <c r="H18" s="148" t="n">
        <v>301330.86</v>
      </c>
      <c r="I18" s="186" t="n">
        <v>520831.4</v>
      </c>
      <c r="J18" s="179" t="n">
        <v>526367.8100000001</v>
      </c>
      <c r="K18" s="215" t="n">
        <v>518532.84</v>
      </c>
      <c r="L18" s="215" t="n">
        <v>619675.8</v>
      </c>
      <c r="M18" s="215" t="n">
        <v>685242.95</v>
      </c>
      <c r="N18" s="236">
        <f>SUM(B18:M18)</f>
        <v/>
      </c>
    </row>
    <row r="19">
      <c r="A19" s="137" t="inlineStr">
        <is>
          <t>otofix</t>
        </is>
      </c>
      <c r="B19" s="148" t="n">
        <v>296780.18</v>
      </c>
      <c r="C19" s="148" t="n">
        <v>311533.23</v>
      </c>
      <c r="D19" s="148" t="n">
        <v>313847.14</v>
      </c>
      <c r="E19" s="148" t="n">
        <v>300865.4399999999</v>
      </c>
      <c r="F19" s="148" t="n">
        <v>314591.83</v>
      </c>
      <c r="G19" s="148" t="n">
        <v>280609.41</v>
      </c>
      <c r="H19" s="148" t="n">
        <v>337265.44</v>
      </c>
      <c r="I19" s="186" t="n">
        <v>489364.64</v>
      </c>
      <c r="J19" s="179" t="n">
        <v>360494.35</v>
      </c>
      <c r="K19" s="215" t="n">
        <v>282987.83</v>
      </c>
      <c r="L19" s="215" t="n">
        <v>282925.09</v>
      </c>
      <c r="M19" s="215" t="n">
        <v>172706.68</v>
      </c>
      <c r="N19" s="236">
        <f>SUM(B19:M19)</f>
        <v/>
      </c>
    </row>
    <row r="20">
      <c r="A20" s="137" t="inlineStr">
        <is>
          <t>opus | ivs</t>
        </is>
      </c>
      <c r="B20" s="148" t="n">
        <v>363975.18</v>
      </c>
      <c r="C20" s="148" t="n">
        <v>317677.88</v>
      </c>
      <c r="D20" s="148" t="n">
        <v>317671.11</v>
      </c>
      <c r="E20" s="148" t="n">
        <v>379138.67</v>
      </c>
      <c r="F20" s="148" t="n">
        <v>354102.19</v>
      </c>
      <c r="G20" s="148" t="n">
        <v>312764.65</v>
      </c>
      <c r="H20" s="148" t="n">
        <v>255408.68</v>
      </c>
      <c r="I20" s="186" t="n">
        <v>296842.42</v>
      </c>
      <c r="J20" s="179" t="n">
        <v>264558.53</v>
      </c>
      <c r="K20" s="215" t="n">
        <v>287389.72</v>
      </c>
      <c r="L20" s="215" t="n">
        <v>301516.22</v>
      </c>
      <c r="M20" s="215" t="n">
        <v>439857.36</v>
      </c>
      <c r="N20" s="236">
        <f>SUM(B20:M20)</f>
        <v/>
      </c>
    </row>
    <row r="21">
      <c r="A21" s="137" t="inlineStr">
        <is>
          <t>kingbolen</t>
        </is>
      </c>
      <c r="B21" s="148" t="n">
        <v>197985.04</v>
      </c>
      <c r="C21" s="148" t="n">
        <v>169818.76</v>
      </c>
      <c r="D21" s="148" t="n">
        <v>318647.86</v>
      </c>
      <c r="E21" s="148" t="n">
        <v>310951.9999999999</v>
      </c>
      <c r="F21" s="148" t="n">
        <v>315330.67</v>
      </c>
      <c r="G21" s="148" t="n">
        <v>333827.75</v>
      </c>
      <c r="H21" s="148" t="n">
        <v>208303.9100000001</v>
      </c>
      <c r="I21" s="186" t="n">
        <v>416248.2</v>
      </c>
      <c r="J21" s="179" t="n">
        <v>299299.28</v>
      </c>
      <c r="K21" s="215" t="n">
        <v>297394.77</v>
      </c>
      <c r="L21" s="215" t="n">
        <v>316682.53</v>
      </c>
      <c r="M21" s="215" t="n">
        <v>325903.98</v>
      </c>
      <c r="N21" s="236">
        <f>SUM(B21:M21)</f>
        <v/>
      </c>
    </row>
    <row r="22" customFormat="1" s="29">
      <c r="A22" s="137" t="inlineStr">
        <is>
          <t>z automotive</t>
        </is>
      </c>
      <c r="B22" s="148" t="n">
        <v>254847.6</v>
      </c>
      <c r="C22" s="148" t="n">
        <v>226330.38</v>
      </c>
      <c r="D22" s="148" t="n">
        <v>253585.64</v>
      </c>
      <c r="E22" s="148" t="n">
        <v>249854.48</v>
      </c>
      <c r="F22" s="148" t="n">
        <v>231609.48</v>
      </c>
      <c r="G22" s="148" t="n">
        <v>235487.44</v>
      </c>
      <c r="H22" s="148" t="n">
        <v>204047.32</v>
      </c>
      <c r="I22" s="186" t="n">
        <v>279028.68</v>
      </c>
      <c r="J22" s="179" t="n">
        <v>237774.7</v>
      </c>
      <c r="K22" s="215" t="n">
        <v>250304.89</v>
      </c>
      <c r="L22" s="215" t="n">
        <v>275432.61</v>
      </c>
      <c r="M22" s="215" t="n">
        <v>246557</v>
      </c>
      <c r="N22" s="236">
        <f>SUM(B22:M22)</f>
        <v/>
      </c>
    </row>
    <row r="23" customFormat="1" s="29">
      <c r="A23" s="137" t="inlineStr">
        <is>
          <t>vgate</t>
        </is>
      </c>
      <c r="B23" s="148" t="n">
        <v>185540.71032</v>
      </c>
      <c r="C23" s="148" t="n">
        <v>175073.95032</v>
      </c>
      <c r="D23" s="148" t="n">
        <v>212138.17</v>
      </c>
      <c r="E23" s="148" t="n">
        <v>222770.03</v>
      </c>
      <c r="F23" s="148" t="n">
        <v>227883.46</v>
      </c>
      <c r="G23" s="148" t="n">
        <v>217585.9</v>
      </c>
      <c r="H23" s="148" t="n">
        <v>252683.65</v>
      </c>
      <c r="I23" s="186" t="n">
        <v>240501.69</v>
      </c>
      <c r="J23" s="179" t="n">
        <v>242777.74</v>
      </c>
      <c r="K23" s="215" t="n">
        <v>256570.23</v>
      </c>
      <c r="L23" s="215" t="n">
        <v>287451.11</v>
      </c>
      <c r="M23" s="215" t="n">
        <v>287201.08</v>
      </c>
      <c r="N23" s="236">
        <f>SUM(B23:M23)</f>
        <v/>
      </c>
    </row>
    <row r="24" ht="12" customHeight="1" s="314">
      <c r="A24" s="137" t="inlineStr">
        <is>
          <t>obdeleven</t>
        </is>
      </c>
      <c r="B24" s="148" t="n">
        <v>49754.62000000001</v>
      </c>
      <c r="C24" s="148" t="n">
        <v>162716.09</v>
      </c>
      <c r="D24" s="148" t="n">
        <v>274004.2</v>
      </c>
      <c r="E24" s="148" t="n">
        <v>250518.48</v>
      </c>
      <c r="F24" s="148" t="n">
        <v>259374.61</v>
      </c>
      <c r="G24" s="148" t="n">
        <v>222870.47</v>
      </c>
      <c r="H24" s="148" t="n">
        <v>222654.27</v>
      </c>
      <c r="I24" s="186" t="n">
        <v>303177.83</v>
      </c>
      <c r="J24" s="179" t="n">
        <v>217736.13</v>
      </c>
      <c r="K24" s="215" t="n">
        <v>223798.23</v>
      </c>
      <c r="L24" s="215" t="n">
        <v>231552.21</v>
      </c>
      <c r="M24" s="215" t="n">
        <v>215102.39</v>
      </c>
      <c r="N24" s="236">
        <f>SUM(B24:M24)</f>
        <v/>
      </c>
    </row>
    <row r="25" ht="30" customFormat="1" customHeight="1" s="29">
      <c r="A25" s="137" t="inlineStr">
        <is>
          <t>krazy on highways</t>
        </is>
      </c>
      <c r="B25" s="148" t="n">
        <v>0</v>
      </c>
      <c r="C25" s="148" t="n">
        <v>218544.25</v>
      </c>
      <c r="D25" s="148" t="n">
        <v>346281.5</v>
      </c>
      <c r="E25" s="148" t="n">
        <v>309352.8</v>
      </c>
      <c r="F25" s="148" t="n">
        <v>267725.4999999999</v>
      </c>
      <c r="G25" s="148" t="n">
        <v>191425.52</v>
      </c>
      <c r="H25" s="148" t="n">
        <v>188937.54</v>
      </c>
      <c r="I25" s="186" t="n">
        <v>283255.66</v>
      </c>
      <c r="J25" s="179" t="n">
        <v>236004.05</v>
      </c>
      <c r="K25" s="215" t="n">
        <v>293694.71</v>
      </c>
      <c r="L25" s="215" t="n">
        <v>0</v>
      </c>
      <c r="M25" s="215" t="n">
        <v>0</v>
      </c>
      <c r="N25" s="236">
        <f>SUM(B25:M25)</f>
        <v/>
      </c>
    </row>
    <row r="26" ht="15" customFormat="1" customHeight="1" s="29">
      <c r="A26" s="137" t="inlineStr">
        <is>
          <t>vdiagtool</t>
        </is>
      </c>
      <c r="B26" s="148" t="n">
        <v>96617.07651</v>
      </c>
      <c r="C26" s="148" t="n">
        <v>85495.50651000001</v>
      </c>
      <c r="D26" s="148" t="n">
        <v>140903.63</v>
      </c>
      <c r="E26" s="148" t="n">
        <v>158233.74</v>
      </c>
      <c r="F26" s="148" t="n">
        <v>156869.76</v>
      </c>
      <c r="G26" s="148" t="n">
        <v>175954.92</v>
      </c>
      <c r="H26" s="148" t="n">
        <v>237133.57</v>
      </c>
      <c r="I26" s="186" t="n">
        <v>207757.13</v>
      </c>
      <c r="J26" s="179" t="n">
        <v>195256.32</v>
      </c>
      <c r="K26" s="215" t="n">
        <v>200797.54</v>
      </c>
      <c r="L26" s="215" t="n">
        <v>226359.67</v>
      </c>
      <c r="M26" s="215" t="n">
        <v>188103.62</v>
      </c>
      <c r="N26" s="236">
        <f>SUM(B26:M26)</f>
        <v/>
      </c>
    </row>
    <row r="27" ht="19" customHeight="1" s="314" thickBot="1">
      <c r="A27" s="147" t="inlineStr">
        <is>
          <t>innovative products of america</t>
        </is>
      </c>
      <c r="B27" s="202" t="n">
        <v>13001.32</v>
      </c>
      <c r="C27" s="202" t="n">
        <v>30258.39</v>
      </c>
      <c r="D27" s="202" t="n">
        <v>11727.69</v>
      </c>
      <c r="E27" s="202" t="n">
        <v>20525.38</v>
      </c>
      <c r="F27" s="202" t="n">
        <v>249512.92</v>
      </c>
      <c r="G27" s="202" t="n">
        <v>231144.01</v>
      </c>
      <c r="H27" s="202" t="n">
        <v>212364.74</v>
      </c>
      <c r="I27" s="186" t="n">
        <v>187292.05</v>
      </c>
      <c r="J27" s="179" t="n">
        <v>197606.98</v>
      </c>
      <c r="K27" s="201" t="n">
        <v>209562.91</v>
      </c>
      <c r="L27" s="201" t="n">
        <v>212759.58</v>
      </c>
      <c r="M27" s="201" t="n">
        <v>210303.84</v>
      </c>
      <c r="N27" s="236">
        <f>SUM(B27:M27)</f>
        <v/>
      </c>
    </row>
    <row r="28" ht="17" customFormat="1" customHeight="1" s="184" thickTop="1">
      <c r="A28" s="187" t="inlineStr">
        <is>
          <t>Total</t>
        </is>
      </c>
      <c r="B28" s="264">
        <f>SUM(B3:B27)</f>
        <v/>
      </c>
      <c r="C28" s="264">
        <f>SUM(C3:C27)</f>
        <v/>
      </c>
      <c r="D28" s="264">
        <f>SUM(D3:D27)</f>
        <v/>
      </c>
      <c r="E28" s="264">
        <f>SUM(E3:E27)</f>
        <v/>
      </c>
      <c r="F28" s="264">
        <f>SUM(F3:F27)</f>
        <v/>
      </c>
      <c r="G28" s="264">
        <f>SUM(G3:G27)</f>
        <v/>
      </c>
      <c r="H28" s="264">
        <f>SUM(H3:H27)</f>
        <v/>
      </c>
      <c r="I28" s="264">
        <f>SUM(I3:I27)</f>
        <v/>
      </c>
      <c r="J28" s="264">
        <f>SUM(J3:J27)</f>
        <v/>
      </c>
      <c r="K28" s="264">
        <f>SUM(K3:K27)</f>
        <v/>
      </c>
      <c r="L28" s="264">
        <f>SUM(L3:L27)</f>
        <v/>
      </c>
      <c r="M28" s="264">
        <f>SUM(M3:M27)</f>
        <v/>
      </c>
      <c r="N28" s="237">
        <f>SUM(B28:M28)</f>
        <v/>
      </c>
    </row>
    <row r="29">
      <c r="A29" s="220" t="inlineStr">
        <is>
          <t>Total Market</t>
        </is>
      </c>
      <c r="B29" s="215" t="n">
        <v>26091257.6340374</v>
      </c>
      <c r="C29" s="215" t="n">
        <v>26311740</v>
      </c>
      <c r="D29" s="215" t="n">
        <v>30305871</v>
      </c>
      <c r="E29" s="215" t="n">
        <v>30170320.1858933</v>
      </c>
      <c r="F29" s="148" t="n">
        <v>30022425.2158934</v>
      </c>
      <c r="G29" s="148" t="n">
        <v>31389110.6358933</v>
      </c>
      <c r="H29" s="148" t="n">
        <v>32780117.48</v>
      </c>
      <c r="I29" s="186" t="n">
        <v>37456304.1758933</v>
      </c>
      <c r="J29" s="179" t="n">
        <v>29801239.14999984</v>
      </c>
      <c r="K29" s="215" t="n">
        <v>30778746.13</v>
      </c>
      <c r="L29" s="215" t="n">
        <v>32912210.07</v>
      </c>
      <c r="M29" s="215" t="n">
        <v>32450950.59</v>
      </c>
      <c r="N29" s="284">
        <f>SUM(B29:M29)</f>
        <v/>
      </c>
    </row>
    <row r="30">
      <c r="A30" s="16" t="n"/>
      <c r="B30" s="15" t="n"/>
      <c r="C30" s="15" t="n"/>
      <c r="D30" s="15" t="n"/>
      <c r="E30" s="15" t="n"/>
      <c r="F30" s="15" t="n"/>
      <c r="G30" s="15" t="n"/>
      <c r="H30" s="15" t="n"/>
      <c r="I30" s="15" t="n"/>
      <c r="J30" s="15" t="n"/>
      <c r="K30" s="15" t="n"/>
      <c r="L30" s="15" t="n"/>
      <c r="M30" s="15" t="n"/>
      <c r="N30" s="15" t="n"/>
    </row>
    <row r="31" ht="26" customHeight="1" s="314">
      <c r="A31" s="316" t="inlineStr">
        <is>
          <t xml:space="preserve">Monthly Units </t>
        </is>
      </c>
    </row>
    <row r="32" customFormat="1" s="308">
      <c r="A32" s="136" t="inlineStr">
        <is>
          <t>Brand</t>
        </is>
      </c>
      <c r="B32" s="149" t="inlineStr">
        <is>
          <t>May '25</t>
        </is>
      </c>
      <c r="C32" s="149" t="inlineStr">
        <is>
          <t>June '25</t>
        </is>
      </c>
      <c r="D32" s="149" t="inlineStr">
        <is>
          <t>July '25</t>
        </is>
      </c>
      <c r="E32" s="149" t="inlineStr">
        <is>
          <t>August '25</t>
        </is>
      </c>
      <c r="F32" s="149" t="inlineStr">
        <is>
          <t>September '25</t>
        </is>
      </c>
      <c r="G32" s="149" t="inlineStr">
        <is>
          <t>October '25</t>
        </is>
      </c>
      <c r="H32" s="149" t="inlineStr">
        <is>
          <t>November '25</t>
        </is>
      </c>
      <c r="I32" s="149" t="inlineStr">
        <is>
          <t>December '25</t>
        </is>
      </c>
      <c r="J32" s="149" t="inlineStr">
        <is>
          <t>January '26</t>
        </is>
      </c>
      <c r="K32" s="149" t="inlineStr">
        <is>
          <t>February '26</t>
        </is>
      </c>
      <c r="L32" s="149" t="inlineStr">
        <is>
          <t>March '26</t>
        </is>
      </c>
      <c r="M32" s="149" t="inlineStr">
        <is>
          <t>April '26</t>
        </is>
      </c>
      <c r="N32" s="149" t="inlineStr">
        <is>
          <t>Grand Total</t>
        </is>
      </c>
    </row>
    <row r="33">
      <c r="A33" s="137" t="inlineStr">
        <is>
          <t>ancel</t>
        </is>
      </c>
      <c r="B33" s="181" t="n">
        <v>42313</v>
      </c>
      <c r="C33" s="181" t="n">
        <v>40028</v>
      </c>
      <c r="D33" s="181" t="n">
        <v>43297</v>
      </c>
      <c r="E33" s="181" t="n">
        <v>46406</v>
      </c>
      <c r="F33" s="188" t="n">
        <v>44032</v>
      </c>
      <c r="G33" s="181" t="n">
        <v>48430</v>
      </c>
      <c r="H33" s="181" t="n">
        <v>57813</v>
      </c>
      <c r="I33" s="188" t="n">
        <v>68933</v>
      </c>
      <c r="J33" s="180" t="n">
        <v>52671</v>
      </c>
      <c r="K33" s="188" t="n">
        <v>48989</v>
      </c>
      <c r="L33" s="188" t="n">
        <v>55478</v>
      </c>
      <c r="M33" s="188" t="n">
        <v>42431</v>
      </c>
      <c r="N33" s="238">
        <f>SUM(B33:M33)</f>
        <v/>
      </c>
    </row>
    <row r="34">
      <c r="A34" s="137" t="inlineStr">
        <is>
          <t>autel</t>
        </is>
      </c>
      <c r="B34" s="181" t="n">
        <v>17837</v>
      </c>
      <c r="C34" s="181" t="n">
        <v>17329</v>
      </c>
      <c r="D34" s="181" t="n">
        <v>18151</v>
      </c>
      <c r="E34" s="181" t="n">
        <v>18634</v>
      </c>
      <c r="F34" s="188" t="n">
        <v>18025</v>
      </c>
      <c r="G34" s="181" t="n">
        <v>19517</v>
      </c>
      <c r="H34" s="181" t="n">
        <v>19081</v>
      </c>
      <c r="I34" s="188" t="n">
        <v>20332</v>
      </c>
      <c r="J34" s="180" t="n">
        <v>17292</v>
      </c>
      <c r="K34" s="188" t="n">
        <v>18710</v>
      </c>
      <c r="L34" s="188" t="n">
        <v>19403</v>
      </c>
      <c r="M34" s="188" t="n">
        <v>20351</v>
      </c>
      <c r="N34" s="238">
        <f>SUM(B34:M34)</f>
        <v/>
      </c>
    </row>
    <row r="35">
      <c r="A35" s="137" t="inlineStr">
        <is>
          <t>foxwell</t>
        </is>
      </c>
      <c r="B35" s="181" t="n">
        <v>13037</v>
      </c>
      <c r="C35" s="181" t="n">
        <v>11942</v>
      </c>
      <c r="D35" s="181" t="n">
        <v>14091</v>
      </c>
      <c r="E35" s="181" t="n">
        <v>14181</v>
      </c>
      <c r="F35" s="188" t="n">
        <v>12790</v>
      </c>
      <c r="G35" s="181" t="n">
        <v>12505</v>
      </c>
      <c r="H35" s="181" t="n">
        <v>14649</v>
      </c>
      <c r="I35" s="188" t="n">
        <v>18461</v>
      </c>
      <c r="J35" s="180" t="n">
        <v>14513</v>
      </c>
      <c r="K35" s="188" t="n">
        <v>14606</v>
      </c>
      <c r="L35" s="188" t="n">
        <v>16121</v>
      </c>
      <c r="M35" s="188" t="n">
        <v>14404</v>
      </c>
      <c r="N35" s="238">
        <f>SUM(B35:M35)</f>
        <v/>
      </c>
    </row>
    <row r="36" customFormat="1" s="206">
      <c r="A36" s="137" t="inlineStr">
        <is>
          <t>bluedriver</t>
        </is>
      </c>
      <c r="B36" s="181" t="n">
        <v>11355</v>
      </c>
      <c r="C36" s="181" t="n">
        <v>12088</v>
      </c>
      <c r="D36" s="181" t="n">
        <v>12109</v>
      </c>
      <c r="E36" s="181" t="n">
        <v>11891</v>
      </c>
      <c r="F36" s="188" t="n">
        <v>12577</v>
      </c>
      <c r="G36" s="181" t="n">
        <v>12852</v>
      </c>
      <c r="H36" s="181" t="n">
        <v>17744</v>
      </c>
      <c r="I36" s="188" t="n">
        <v>15633</v>
      </c>
      <c r="J36" s="180" t="n">
        <v>11611</v>
      </c>
      <c r="K36" s="188" t="n">
        <v>12797</v>
      </c>
      <c r="L36" s="188" t="n">
        <v>12261</v>
      </c>
      <c r="M36" s="188" t="n">
        <v>2238</v>
      </c>
      <c r="N36" s="238">
        <f>SUM(B36:M36)</f>
        <v/>
      </c>
    </row>
    <row r="37">
      <c r="A37" s="137" t="inlineStr">
        <is>
          <t>obdlink</t>
        </is>
      </c>
      <c r="B37" s="181" t="n">
        <v>12070</v>
      </c>
      <c r="C37" s="181" t="n">
        <v>11921</v>
      </c>
      <c r="D37" s="181" t="n">
        <v>14068</v>
      </c>
      <c r="E37" s="181" t="n">
        <v>13089</v>
      </c>
      <c r="F37" s="188" t="n">
        <v>11797</v>
      </c>
      <c r="G37" s="181" t="n">
        <v>10711</v>
      </c>
      <c r="H37" s="181" t="n">
        <v>11756</v>
      </c>
      <c r="I37" s="188" t="n">
        <v>13885</v>
      </c>
      <c r="J37" s="180" t="n">
        <v>11584</v>
      </c>
      <c r="K37" s="188" t="n">
        <v>12479</v>
      </c>
      <c r="L37" s="188" t="n">
        <v>13428</v>
      </c>
      <c r="M37" s="188" t="n">
        <v>15245</v>
      </c>
      <c r="N37" s="238">
        <f>SUM(B37:M37)</f>
        <v/>
      </c>
    </row>
    <row r="38">
      <c r="A38" s="137" t="inlineStr">
        <is>
          <t>topdon</t>
        </is>
      </c>
      <c r="B38" s="181" t="n">
        <v>11903</v>
      </c>
      <c r="C38" s="181" t="n">
        <v>9588</v>
      </c>
      <c r="D38" s="181" t="n">
        <v>9961</v>
      </c>
      <c r="E38" s="181" t="n">
        <v>12397</v>
      </c>
      <c r="F38" s="188" t="n">
        <v>12343</v>
      </c>
      <c r="G38" s="181" t="n">
        <v>12272</v>
      </c>
      <c r="H38" s="181" t="n">
        <v>13907</v>
      </c>
      <c r="I38" s="188" t="n">
        <v>17982</v>
      </c>
      <c r="J38" s="180" t="n">
        <v>11066</v>
      </c>
      <c r="K38" s="188" t="n">
        <v>11949</v>
      </c>
      <c r="L38" s="188" t="n">
        <v>13089</v>
      </c>
      <c r="M38" s="188" t="n">
        <v>12898</v>
      </c>
      <c r="N38" s="238">
        <f>SUM(B38:M38)</f>
        <v/>
      </c>
    </row>
    <row r="39" customFormat="1" s="29">
      <c r="A39" s="137" t="inlineStr">
        <is>
          <t>motopower</t>
        </is>
      </c>
      <c r="B39" s="181" t="n">
        <v>10395</v>
      </c>
      <c r="C39" s="181" t="n">
        <v>1411</v>
      </c>
      <c r="D39" s="181" t="n">
        <v>9750</v>
      </c>
      <c r="E39" s="181" t="n">
        <v>13057</v>
      </c>
      <c r="F39" s="188" t="n">
        <v>12331</v>
      </c>
      <c r="G39" s="181" t="n">
        <v>11361</v>
      </c>
      <c r="H39" s="181" t="n">
        <v>12166</v>
      </c>
      <c r="I39" s="188" t="n">
        <v>12836</v>
      </c>
      <c r="J39" s="180" t="n">
        <v>8023</v>
      </c>
      <c r="K39" s="188" t="n">
        <v>9230</v>
      </c>
      <c r="L39" s="188" t="n">
        <v>11713</v>
      </c>
      <c r="M39" s="188" t="n">
        <v>13739</v>
      </c>
      <c r="N39" s="238">
        <f>SUM(B39:M39)</f>
        <v/>
      </c>
    </row>
    <row r="40">
      <c r="A40" s="137" t="inlineStr">
        <is>
          <t>fixd</t>
        </is>
      </c>
      <c r="B40" s="181" t="n">
        <v>11784</v>
      </c>
      <c r="C40" s="181" t="n">
        <v>11846</v>
      </c>
      <c r="D40" s="181" t="n">
        <v>11885</v>
      </c>
      <c r="E40" s="181" t="n">
        <v>11254</v>
      </c>
      <c r="F40" s="188" t="n">
        <v>9920</v>
      </c>
      <c r="G40" s="181" t="n">
        <v>7731</v>
      </c>
      <c r="H40" s="181" t="n">
        <v>7721</v>
      </c>
      <c r="I40" s="188" t="n">
        <v>9099</v>
      </c>
      <c r="J40" s="188" t="n">
        <v>5365</v>
      </c>
      <c r="K40" s="188" t="n">
        <v>6626</v>
      </c>
      <c r="L40" s="188" t="n">
        <v>7438</v>
      </c>
      <c r="M40" s="188" t="n">
        <v>6873</v>
      </c>
      <c r="N40" s="261">
        <f>SUM(B40:M40)</f>
        <v/>
      </c>
    </row>
    <row r="41" customFormat="1" s="29">
      <c r="A41" s="137" t="inlineStr">
        <is>
          <t>launch</t>
        </is>
      </c>
      <c r="B41" s="181" t="n">
        <v>9441</v>
      </c>
      <c r="C41" s="181" t="n">
        <v>8722</v>
      </c>
      <c r="D41" s="181" t="n">
        <v>9380</v>
      </c>
      <c r="E41" s="181" t="n">
        <v>9260</v>
      </c>
      <c r="F41" s="188" t="n">
        <v>8835</v>
      </c>
      <c r="G41" s="181" t="n">
        <v>9033</v>
      </c>
      <c r="H41" s="181" t="n">
        <v>9093</v>
      </c>
      <c r="I41" s="188" t="n">
        <v>9037</v>
      </c>
      <c r="J41" s="180" t="n">
        <v>7870</v>
      </c>
      <c r="K41" s="188" t="n">
        <v>8176</v>
      </c>
      <c r="L41" s="188" t="n">
        <v>8280</v>
      </c>
      <c r="M41" s="188" t="n">
        <v>8505</v>
      </c>
      <c r="N41" s="238">
        <f>SUM(B41:M41)</f>
        <v/>
      </c>
    </row>
    <row r="42">
      <c r="A42" s="160" t="inlineStr">
        <is>
          <t>innova</t>
        </is>
      </c>
      <c r="B42" s="285" t="n">
        <v>4396</v>
      </c>
      <c r="C42" s="285" t="n">
        <v>5307</v>
      </c>
      <c r="D42" s="285" t="n">
        <v>6936</v>
      </c>
      <c r="E42" s="285" t="n">
        <v>7003</v>
      </c>
      <c r="F42" s="224" t="n">
        <v>6311</v>
      </c>
      <c r="G42" s="285" t="n">
        <v>6930</v>
      </c>
      <c r="H42" s="285" t="n">
        <v>9807</v>
      </c>
      <c r="I42" s="224" t="n">
        <v>10001</v>
      </c>
      <c r="J42" s="218" t="n">
        <v>10647</v>
      </c>
      <c r="K42" s="224" t="n">
        <v>11410</v>
      </c>
      <c r="L42" s="224" t="n">
        <v>13356</v>
      </c>
      <c r="M42" s="224" t="n">
        <v>12781</v>
      </c>
      <c r="N42" s="259">
        <f>SUM(B42:M42)</f>
        <v/>
      </c>
    </row>
    <row r="43" customFormat="1" s="29">
      <c r="A43" s="137" t="inlineStr">
        <is>
          <t>veepeak</t>
        </is>
      </c>
      <c r="B43" s="181" t="n">
        <v>6870</v>
      </c>
      <c r="C43" s="181" t="n">
        <v>6678</v>
      </c>
      <c r="D43" s="181" t="n">
        <v>7652</v>
      </c>
      <c r="E43" s="181" t="n">
        <v>6912</v>
      </c>
      <c r="F43" s="188" t="n">
        <v>6195</v>
      </c>
      <c r="G43" s="181" t="n">
        <v>6502</v>
      </c>
      <c r="H43" s="181" t="n">
        <v>7125</v>
      </c>
      <c r="I43" s="188" t="n">
        <v>8084</v>
      </c>
      <c r="J43" s="180" t="n">
        <v>5836</v>
      </c>
      <c r="K43" s="188" t="n">
        <v>6582</v>
      </c>
      <c r="L43" s="188" t="n">
        <v>8012</v>
      </c>
      <c r="M43" s="188" t="n">
        <v>8873</v>
      </c>
      <c r="N43" s="238">
        <f>SUM(B43:M43)</f>
        <v/>
      </c>
    </row>
    <row r="44">
      <c r="A44" s="137" t="inlineStr">
        <is>
          <t>vgate</t>
        </is>
      </c>
      <c r="B44" s="181" t="n">
        <v>4739</v>
      </c>
      <c r="C44" s="181" t="n">
        <v>4593</v>
      </c>
      <c r="D44" s="181" t="n">
        <v>5695</v>
      </c>
      <c r="E44" s="181" t="n">
        <v>5694</v>
      </c>
      <c r="F44" s="188" t="n">
        <v>5841</v>
      </c>
      <c r="G44" s="181" t="n">
        <v>5551</v>
      </c>
      <c r="H44" s="181" t="n">
        <v>6442</v>
      </c>
      <c r="I44" s="188" t="n">
        <v>6633</v>
      </c>
      <c r="J44" s="180" t="n">
        <v>6269</v>
      </c>
      <c r="K44" s="188" t="n">
        <v>6350</v>
      </c>
      <c r="L44" s="188" t="n">
        <v>7195</v>
      </c>
      <c r="M44" s="188" t="n">
        <v>7189</v>
      </c>
      <c r="N44" s="238">
        <f>SUM(B44:M44)</f>
        <v/>
      </c>
    </row>
    <row r="45">
      <c r="A45" s="137" t="inlineStr">
        <is>
          <t>xtool</t>
        </is>
      </c>
      <c r="B45" s="181" t="n">
        <v>3711</v>
      </c>
      <c r="C45" s="181" t="n">
        <v>3225</v>
      </c>
      <c r="D45" s="181" t="n">
        <v>5051</v>
      </c>
      <c r="E45" s="181" t="n">
        <v>5326</v>
      </c>
      <c r="F45" s="188" t="n">
        <v>5639</v>
      </c>
      <c r="G45" s="181" t="n">
        <v>5799</v>
      </c>
      <c r="H45" s="181" t="n">
        <v>6085</v>
      </c>
      <c r="I45" s="188" t="n">
        <v>6515</v>
      </c>
      <c r="J45" s="180" t="n">
        <v>5574</v>
      </c>
      <c r="K45" s="188" t="n">
        <v>6130</v>
      </c>
      <c r="L45" s="188" t="n">
        <v>6305</v>
      </c>
      <c r="M45" s="188" t="n">
        <v>6209</v>
      </c>
      <c r="N45" s="238">
        <f>SUM(B45:M45)</f>
        <v/>
      </c>
    </row>
    <row r="46">
      <c r="A46" s="185" t="inlineStr">
        <is>
          <t>vdiagtool</t>
        </is>
      </c>
      <c r="B46" s="289" t="n">
        <v>2054</v>
      </c>
      <c r="C46" s="289" t="n">
        <v>1980</v>
      </c>
      <c r="D46" s="289" t="n">
        <v>3564</v>
      </c>
      <c r="E46" s="289" t="n">
        <v>3540</v>
      </c>
      <c r="F46" s="290" t="n">
        <v>3274</v>
      </c>
      <c r="G46" s="289" t="n">
        <v>4400</v>
      </c>
      <c r="H46" s="289" t="n">
        <v>4989</v>
      </c>
      <c r="I46" s="290" t="n">
        <v>5658</v>
      </c>
      <c r="J46" s="291" t="n">
        <v>5769</v>
      </c>
      <c r="K46" s="290" t="n">
        <v>7214</v>
      </c>
      <c r="L46" s="290" t="n">
        <v>7281</v>
      </c>
      <c r="M46" s="290" t="n">
        <v>7004</v>
      </c>
      <c r="N46" s="292">
        <f>SUM(B46:M46)</f>
        <v/>
      </c>
    </row>
    <row r="47">
      <c r="A47" s="137" t="inlineStr">
        <is>
          <t>umeija</t>
        </is>
      </c>
      <c r="B47" s="181" t="n">
        <v>5664</v>
      </c>
      <c r="C47" s="181" t="n">
        <v>2730</v>
      </c>
      <c r="D47" s="181" t="n">
        <v>4706</v>
      </c>
      <c r="E47" s="181" t="n">
        <v>4033</v>
      </c>
      <c r="F47" s="188" t="n">
        <v>3296</v>
      </c>
      <c r="G47" s="181" t="n">
        <v>4779</v>
      </c>
      <c r="H47" s="181" t="n">
        <v>2762</v>
      </c>
      <c r="I47" s="188" t="n">
        <v>5238</v>
      </c>
      <c r="J47" s="180" t="n">
        <v>2599</v>
      </c>
      <c r="K47" s="188" t="n">
        <v>2183</v>
      </c>
      <c r="L47" s="188" t="n">
        <v>2192</v>
      </c>
      <c r="M47" s="188" t="n">
        <v>2324</v>
      </c>
      <c r="N47" s="238">
        <f>SUM(B47:M47)</f>
        <v/>
      </c>
    </row>
    <row r="48">
      <c r="A48" s="203" t="inlineStr">
        <is>
          <t>blcktec</t>
        </is>
      </c>
      <c r="B48" s="286" t="n">
        <v>3089</v>
      </c>
      <c r="C48" s="286" t="n">
        <v>3076</v>
      </c>
      <c r="D48" s="286" t="n">
        <v>3160</v>
      </c>
      <c r="E48" s="286" t="n">
        <v>3989</v>
      </c>
      <c r="F48" s="225" t="n">
        <v>3622</v>
      </c>
      <c r="G48" s="286" t="n">
        <v>3834</v>
      </c>
      <c r="H48" s="286" t="n">
        <v>4677</v>
      </c>
      <c r="I48" s="225" t="n">
        <v>4384</v>
      </c>
      <c r="J48" s="219" t="n">
        <v>3747</v>
      </c>
      <c r="K48" s="225" t="n">
        <v>3754</v>
      </c>
      <c r="L48" s="225" t="n">
        <v>4079</v>
      </c>
      <c r="M48" s="225" t="n">
        <v>3717</v>
      </c>
      <c r="N48" s="260">
        <f>SUM(B48:M48)</f>
        <v/>
      </c>
    </row>
    <row r="49" customFormat="1" s="206">
      <c r="A49" s="137" t="inlineStr">
        <is>
          <t>bbfly</t>
        </is>
      </c>
      <c r="B49" s="181" t="n">
        <v>4120</v>
      </c>
      <c r="C49" s="181" t="n">
        <v>3790</v>
      </c>
      <c r="D49" s="181" t="n">
        <v>3636</v>
      </c>
      <c r="E49" s="181" t="n">
        <v>3846</v>
      </c>
      <c r="F49" s="188" t="n">
        <v>3904</v>
      </c>
      <c r="G49" s="181" t="n">
        <v>3805</v>
      </c>
      <c r="H49" s="181" t="n">
        <v>3692</v>
      </c>
      <c r="I49" s="188" t="n">
        <v>4101</v>
      </c>
      <c r="J49" s="188" t="n">
        <v>3385</v>
      </c>
      <c r="K49" s="188" t="n">
        <v>3240</v>
      </c>
      <c r="L49" s="188" t="n">
        <v>3542</v>
      </c>
      <c r="M49" s="188" t="n">
        <v>3807</v>
      </c>
      <c r="N49" s="238">
        <f>SUM(B49:M49)</f>
        <v/>
      </c>
    </row>
    <row r="50">
      <c r="A50" s="137" t="inlineStr">
        <is>
          <t>thinkcar</t>
        </is>
      </c>
      <c r="B50" s="181" t="n">
        <v>1894</v>
      </c>
      <c r="C50" s="181" t="n">
        <v>1931</v>
      </c>
      <c r="D50" s="181" t="n">
        <v>2474</v>
      </c>
      <c r="E50" s="181" t="n">
        <v>2723</v>
      </c>
      <c r="F50" s="188" t="n">
        <v>2906</v>
      </c>
      <c r="G50" s="181" t="n">
        <v>2934</v>
      </c>
      <c r="H50" s="181" t="n">
        <v>3436</v>
      </c>
      <c r="I50" s="188" t="n">
        <v>4031</v>
      </c>
      <c r="J50" s="180" t="n">
        <v>2781</v>
      </c>
      <c r="K50" s="188" t="n">
        <v>2441</v>
      </c>
      <c r="L50" s="188" t="n">
        <v>2984</v>
      </c>
      <c r="M50" s="188" t="n">
        <v>3049</v>
      </c>
      <c r="N50" s="238">
        <f>SUM(B50:M50)</f>
        <v/>
      </c>
    </row>
    <row r="51">
      <c r="A51" s="262" t="inlineStr">
        <is>
          <t>wejowe</t>
        </is>
      </c>
      <c r="B51" s="188" t="n">
        <v>2866</v>
      </c>
      <c r="C51" s="188" t="n">
        <v>1841</v>
      </c>
      <c r="D51" s="188" t="n">
        <v>2458</v>
      </c>
      <c r="E51" s="188" t="n">
        <v>2769</v>
      </c>
      <c r="F51" s="188" t="n">
        <v>2600</v>
      </c>
      <c r="G51" s="188" t="n">
        <v>2327</v>
      </c>
      <c r="H51" s="188" t="n">
        <v>3126</v>
      </c>
      <c r="I51" s="188" t="n">
        <v>3051</v>
      </c>
      <c r="J51" s="180" t="n">
        <v>2376</v>
      </c>
      <c r="K51" s="188" t="n">
        <v>2175</v>
      </c>
      <c r="L51" s="188" t="n">
        <v>1309</v>
      </c>
      <c r="M51" s="188" t="n">
        <v>31</v>
      </c>
      <c r="N51" s="238">
        <f>SUM(B51:M51)</f>
        <v/>
      </c>
    </row>
    <row r="52">
      <c r="A52" s="137" t="inlineStr">
        <is>
          <t>icarsoft</t>
        </is>
      </c>
      <c r="B52" s="181" t="n">
        <v>1742</v>
      </c>
      <c r="C52" s="181" t="n">
        <v>1492</v>
      </c>
      <c r="D52" s="181" t="n">
        <v>2033</v>
      </c>
      <c r="E52" s="181" t="n">
        <v>2034</v>
      </c>
      <c r="F52" s="188" t="n">
        <v>2199</v>
      </c>
      <c r="G52" s="181" t="n">
        <v>2094</v>
      </c>
      <c r="H52" s="181" t="n">
        <v>1923</v>
      </c>
      <c r="I52" s="188" t="n">
        <v>2081</v>
      </c>
      <c r="J52" s="180" t="n">
        <v>2031</v>
      </c>
      <c r="K52" s="188" t="n">
        <v>1867</v>
      </c>
      <c r="L52" s="188" t="n">
        <v>1900</v>
      </c>
      <c r="M52" s="188" t="n">
        <v>2225</v>
      </c>
      <c r="N52" s="238">
        <f>SUM(B52:M52)</f>
        <v/>
      </c>
    </row>
    <row r="53">
      <c r="A53" s="137" t="inlineStr">
        <is>
          <t>ohp</t>
        </is>
      </c>
      <c r="B53" s="181" t="n">
        <v>932</v>
      </c>
      <c r="C53" s="181" t="n">
        <v>1687</v>
      </c>
      <c r="D53" s="181" t="n">
        <v>1342</v>
      </c>
      <c r="E53" s="181" t="n">
        <v>1939</v>
      </c>
      <c r="F53" s="188" t="n">
        <v>2479</v>
      </c>
      <c r="G53" s="181" t="n">
        <v>2510</v>
      </c>
      <c r="H53" s="181" t="n">
        <v>2514</v>
      </c>
      <c r="I53" s="188" t="n">
        <v>2571</v>
      </c>
      <c r="J53" s="180" t="n">
        <v>2195</v>
      </c>
      <c r="K53" s="188" t="n">
        <v>2569</v>
      </c>
      <c r="L53" s="188" t="n">
        <v>2650</v>
      </c>
      <c r="M53" s="188" t="n">
        <v>3364</v>
      </c>
      <c r="N53" s="238">
        <f>SUM(B53:M53)</f>
        <v/>
      </c>
    </row>
    <row r="54">
      <c r="A54" s="137" t="inlineStr">
        <is>
          <t>ikkegol</t>
        </is>
      </c>
      <c r="B54" s="181" t="n">
        <v>1429</v>
      </c>
      <c r="C54" s="181" t="n">
        <v>1590</v>
      </c>
      <c r="D54" s="181" t="n">
        <v>1705</v>
      </c>
      <c r="E54" s="181" t="n">
        <v>1897</v>
      </c>
      <c r="F54" s="188" t="n">
        <v>1941</v>
      </c>
      <c r="G54" s="181" t="n">
        <v>1897</v>
      </c>
      <c r="H54" s="181" t="n">
        <v>1850</v>
      </c>
      <c r="I54" s="188" t="n">
        <v>1892</v>
      </c>
      <c r="J54" s="180" t="n">
        <v>2294</v>
      </c>
      <c r="K54" s="188" t="n">
        <v>2312</v>
      </c>
      <c r="L54" s="188" t="n">
        <v>2491</v>
      </c>
      <c r="M54" s="188" t="n">
        <v>2573</v>
      </c>
      <c r="N54" s="238">
        <f>SUM(B54:M54)</f>
        <v/>
      </c>
    </row>
    <row r="55">
      <c r="A55" s="137" t="inlineStr">
        <is>
          <t>generic</t>
        </is>
      </c>
      <c r="B55" s="181" t="n">
        <v>1231</v>
      </c>
      <c r="C55" s="181" t="n">
        <v>1080</v>
      </c>
      <c r="D55" s="181" t="n">
        <v>1153</v>
      </c>
      <c r="E55" s="181" t="n">
        <v>1372</v>
      </c>
      <c r="F55" s="188" t="n">
        <v>1525</v>
      </c>
      <c r="G55" s="181" t="n">
        <v>1312</v>
      </c>
      <c r="H55" s="181" t="n">
        <v>1387</v>
      </c>
      <c r="I55" s="188" t="n">
        <v>2161</v>
      </c>
      <c r="J55" s="180" t="n">
        <v>2162</v>
      </c>
      <c r="K55" s="188" t="n">
        <v>2087</v>
      </c>
      <c r="L55" s="188" t="n">
        <v>2817</v>
      </c>
      <c r="M55" s="188" t="n">
        <v>3301</v>
      </c>
      <c r="N55" s="238">
        <f>SUM(B55:M55)</f>
        <v/>
      </c>
    </row>
    <row r="56">
      <c r="A56" s="137" t="inlineStr">
        <is>
          <t>zmoon</t>
        </is>
      </c>
      <c r="B56" s="181" t="n">
        <v>0</v>
      </c>
      <c r="C56" s="181" t="n">
        <v>0</v>
      </c>
      <c r="D56" s="181" t="n">
        <v>0</v>
      </c>
      <c r="E56" s="181" t="n">
        <v>0</v>
      </c>
      <c r="F56" s="188" t="n">
        <v>0</v>
      </c>
      <c r="G56" s="181" t="n">
        <v>0</v>
      </c>
      <c r="H56" s="181" t="n">
        <v>0</v>
      </c>
      <c r="I56" s="188" t="n">
        <v>0</v>
      </c>
      <c r="J56" s="180" t="n">
        <v>0</v>
      </c>
      <c r="K56" s="188" t="n">
        <v>1941</v>
      </c>
      <c r="L56" s="188" t="n">
        <v>2130</v>
      </c>
      <c r="M56" s="188" t="n">
        <v>1774</v>
      </c>
      <c r="N56" s="238">
        <f>SUM(B56:M56)</f>
        <v/>
      </c>
    </row>
    <row r="57" ht="17" customHeight="1" s="314" thickBot="1">
      <c r="A57" s="147" t="inlineStr">
        <is>
          <t>cgsulit</t>
        </is>
      </c>
      <c r="B57" s="226" t="n">
        <v>0</v>
      </c>
      <c r="C57" s="226" t="n">
        <v>0</v>
      </c>
      <c r="D57" s="226" t="n">
        <v>0</v>
      </c>
      <c r="E57" s="226" t="n">
        <v>0</v>
      </c>
      <c r="F57" s="227" t="n">
        <v>0</v>
      </c>
      <c r="G57" s="226" t="n">
        <v>0</v>
      </c>
      <c r="H57" s="226" t="n">
        <v>0</v>
      </c>
      <c r="I57" s="227" t="n">
        <v>0</v>
      </c>
      <c r="J57" s="263" t="n">
        <v>0</v>
      </c>
      <c r="K57" s="227" t="n">
        <v>1866</v>
      </c>
      <c r="L57" s="227" t="n">
        <v>1750</v>
      </c>
      <c r="M57" s="227" t="n">
        <v>1876</v>
      </c>
      <c r="N57" s="240">
        <f>SUM(B57:M57)</f>
        <v/>
      </c>
    </row>
    <row r="58" ht="14" customFormat="1" customHeight="1" s="301" thickTop="1">
      <c r="A58" s="300" t="inlineStr">
        <is>
          <t>Total</t>
        </is>
      </c>
      <c r="B58" s="290">
        <f>SUM(B33:B57)</f>
        <v/>
      </c>
      <c r="C58" s="290">
        <f>SUM(C33:C57)</f>
        <v/>
      </c>
      <c r="D58" s="290">
        <f>SUM(D33:D57)</f>
        <v/>
      </c>
      <c r="E58" s="290">
        <f>SUM(E33:E57)</f>
        <v/>
      </c>
      <c r="F58" s="290">
        <f>SUM(F33:F57)</f>
        <v/>
      </c>
      <c r="G58" s="290">
        <f>SUM(G33:G57)</f>
        <v/>
      </c>
      <c r="H58" s="290">
        <f>SUM(H33:H57)</f>
        <v/>
      </c>
      <c r="I58" s="290">
        <f>SUM(I33:I57)</f>
        <v/>
      </c>
      <c r="J58" s="290">
        <f>SUM(J33:J57)</f>
        <v/>
      </c>
      <c r="K58" s="290">
        <f>SUM(K33:K57)</f>
        <v/>
      </c>
      <c r="L58" s="290">
        <f>SUM(L33:L57)</f>
        <v/>
      </c>
      <c r="M58" s="290">
        <f>SUM(M33:M57)</f>
        <v/>
      </c>
      <c r="N58" s="336">
        <f>SUM(B58:M58)</f>
        <v/>
      </c>
    </row>
    <row r="59" customFormat="1" s="288">
      <c r="A59" s="287" t="inlineStr">
        <is>
          <t>Total Market</t>
        </is>
      </c>
      <c r="B59" s="188" t="n">
        <v>260811</v>
      </c>
      <c r="C59" s="188" t="n">
        <v>257039</v>
      </c>
      <c r="D59" s="188" t="n">
        <v>275178</v>
      </c>
      <c r="E59" s="188" t="n">
        <v>290216</v>
      </c>
      <c r="F59" s="188" t="n">
        <v>278892</v>
      </c>
      <c r="G59" s="188" t="n">
        <v>283420</v>
      </c>
      <c r="H59" s="188" t="n">
        <v>307632</v>
      </c>
      <c r="I59" s="188" t="n">
        <v>352296</v>
      </c>
      <c r="J59" s="180" t="n">
        <v>277103</v>
      </c>
      <c r="K59" s="188" t="n">
        <v>284158</v>
      </c>
      <c r="L59" s="188" t="n">
        <v>306314</v>
      </c>
      <c r="M59" s="188" t="n">
        <v>291062</v>
      </c>
      <c r="N59" s="337">
        <f>SUM(B59:M59)</f>
        <v/>
      </c>
    </row>
  </sheetData>
  <mergeCells count="2">
    <mergeCell ref="A31:N31"/>
    <mergeCell ref="A1:N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outlinePr summaryBelow="1" summaryRight="1"/>
    <pageSetUpPr/>
  </sheetPr>
  <dimension ref="A1:L106"/>
  <sheetViews>
    <sheetView zoomScaleNormal="100" workbookViewId="0">
      <selection activeCell="N56" sqref="N56"/>
    </sheetView>
  </sheetViews>
  <sheetFormatPr baseColWidth="10" defaultColWidth="11.1640625" defaultRowHeight="16"/>
  <cols>
    <col width="9.6640625" customWidth="1" style="314" min="1" max="1"/>
    <col width="12.1640625" customWidth="1" style="314" min="2" max="2"/>
    <col width="38.33203125" customWidth="1" style="314" min="3" max="3"/>
    <col width="13.5" bestFit="1" customWidth="1" style="314" min="4" max="4"/>
    <col width="12.6640625" customWidth="1" style="314" min="5" max="5"/>
    <col width="7" bestFit="1" customWidth="1" style="314" min="6" max="6"/>
    <col width="21.1640625" bestFit="1" customWidth="1" style="314" min="7" max="8"/>
    <col width="12.83203125" bestFit="1" customWidth="1" style="314" min="9" max="9"/>
    <col width="13" bestFit="1" customWidth="1" style="314" min="10" max="10"/>
    <col hidden="1" width="29.5" customWidth="1" style="314" min="11" max="11"/>
    <col width="35.6640625" customWidth="1" style="314" min="12" max="12"/>
  </cols>
  <sheetData>
    <row r="1" ht="26" customHeight="1" s="314">
      <c r="A1" s="313" t="inlineStr">
        <is>
          <t>Rank By Monthly Revenue - Apr '26 ONLY</t>
        </is>
      </c>
    </row>
    <row r="2">
      <c r="A2" s="105" t="inlineStr">
        <is>
          <t>Ranking</t>
        </is>
      </c>
      <c r="B2" s="106" t="inlineStr">
        <is>
          <t>ASIN</t>
        </is>
      </c>
      <c r="C2" s="106" t="inlineStr">
        <is>
          <t>Product Name</t>
        </is>
      </c>
      <c r="D2" s="106" t="inlineStr">
        <is>
          <t>Brand</t>
        </is>
      </c>
      <c r="E2" s="106" t="inlineStr">
        <is>
          <t>Type</t>
        </is>
      </c>
      <c r="F2" s="107" t="inlineStr">
        <is>
          <t>Price</t>
        </is>
      </c>
      <c r="G2" s="108" t="inlineStr">
        <is>
          <t>Est. Monthly Retail Rev</t>
        </is>
      </c>
      <c r="H2" s="109" t="inlineStr">
        <is>
          <t>Est. Monthly Units Sold</t>
        </is>
      </c>
      <c r="I2" s="110" t="inlineStr">
        <is>
          <t># of Reviews</t>
        </is>
      </c>
      <c r="J2" s="338" t="inlineStr">
        <is>
          <t>Avg. Rating</t>
        </is>
      </c>
      <c r="K2" s="338" t="inlineStr">
        <is>
          <t>Column2</t>
        </is>
      </c>
      <c r="L2" s="338" t="inlineStr">
        <is>
          <t>Link</t>
        </is>
      </c>
    </row>
    <row r="3" ht="17" customFormat="1" customHeight="1" s="29">
      <c r="A3" s="152" t="n">
        <v>1</v>
      </c>
      <c r="B3" s="153" t="inlineStr">
        <is>
          <t>B07Z481NJM</t>
        </is>
      </c>
      <c r="C3" s="154" t="inlineStr">
        <is>
          <t>Innova 5610 OBD2 Bidirectional Scan Tool - Understand Your Vehicle, Pinpoint What's Wrong, and Complete Your Repairs with Less Headache, Updates Included, US-Based Technical Support</t>
        </is>
      </c>
      <c r="D3" s="154" t="inlineStr">
        <is>
          <t>innova</t>
        </is>
      </c>
      <c r="E3" s="154" t="inlineStr">
        <is>
          <t>Handheld</t>
        </is>
      </c>
      <c r="F3" s="155" t="n">
        <v>292.6118611449452</v>
      </c>
      <c r="G3" s="242" t="n">
        <v>1201171.69</v>
      </c>
      <c r="H3" s="156" t="n">
        <v>4105</v>
      </c>
      <c r="I3" s="156" t="n">
        <v>3435</v>
      </c>
      <c r="J3" s="154" t="n">
        <v>4.4</v>
      </c>
      <c r="K3" s="154" t="inlineStr">
        <is>
          <t>https://amazon.com/dp/B07Z481NJM</t>
        </is>
      </c>
      <c r="L3" s="157">
        <f>HYPERLINK(K3)</f>
        <v/>
      </c>
    </row>
    <row r="4" ht="17" customHeight="1" s="314">
      <c r="A4" s="17" t="n">
        <v>2</v>
      </c>
      <c r="B4" s="18" t="inlineStr">
        <is>
          <t>B07JFRFJG6</t>
        </is>
      </c>
      <c r="C4" s="5" t="inlineStr">
        <is>
          <t>OBDLink MX+ OBD2 Bluetooth Scanner for iPhone, Android, and Windows</t>
        </is>
      </c>
      <c r="D4" s="5" t="inlineStr">
        <is>
          <t>obdlink</t>
        </is>
      </c>
      <c r="E4" s="5" t="inlineStr">
        <is>
          <t>Dongle</t>
        </is>
      </c>
      <c r="F4" s="6" t="n">
        <v>139.9370678733032</v>
      </c>
      <c r="G4" s="23" t="n">
        <v>773152.3</v>
      </c>
      <c r="H4" s="19" t="n">
        <v>5525</v>
      </c>
      <c r="I4" s="19" t="n">
        <v>15161</v>
      </c>
      <c r="J4" s="5" t="n">
        <v>4.6</v>
      </c>
      <c r="K4" s="5" t="inlineStr">
        <is>
          <t>https://amazon.com/dp/B07JFRFJG6</t>
        </is>
      </c>
      <c r="L4" s="207">
        <f>HYPERLINK(K4)</f>
        <v/>
      </c>
    </row>
    <row r="5" ht="17" customHeight="1" s="314">
      <c r="A5" s="17" t="n">
        <v>3</v>
      </c>
      <c r="B5" s="18" t="inlineStr">
        <is>
          <t>B01G5EA74I</t>
        </is>
      </c>
      <c r="C5" s="5" t="inlineStr">
        <is>
          <t>ANCEL AD310 Classic Enhanced Universal OBD II Scanner Car Engine Fault Code Reader CAN Diagnostic Scan Tool, Read and Clear Error Codes for 1996 or Newer OBD2 Protocol Vehicle (Black)</t>
        </is>
      </c>
      <c r="D5" s="5" t="inlineStr">
        <is>
          <t>ancel</t>
        </is>
      </c>
      <c r="E5" s="5" t="inlineStr">
        <is>
          <t>Handheld</t>
        </is>
      </c>
      <c r="F5" s="6" t="n">
        <v>28.93877341320998</v>
      </c>
      <c r="G5" s="23" t="n">
        <v>763231.21</v>
      </c>
      <c r="H5" s="19" t="n">
        <v>26374</v>
      </c>
      <c r="I5" s="19" t="n">
        <v>63860</v>
      </c>
      <c r="J5" s="5" t="n">
        <v>4.6</v>
      </c>
      <c r="K5" s="5" t="inlineStr">
        <is>
          <t>https://amazon.com/dp/B01G5EA74I</t>
        </is>
      </c>
      <c r="L5" s="207">
        <f>HYPERLINK(K5)</f>
        <v/>
      </c>
    </row>
    <row r="6" ht="17" customHeight="1" s="314">
      <c r="A6" s="17" t="n">
        <v>4</v>
      </c>
      <c r="B6" s="18" t="inlineStr">
        <is>
          <t>B0744B55QV</t>
        </is>
      </c>
      <c r="C6" s="5" t="inlineStr">
        <is>
          <t>Autel Scanner MaxiCOM MK808S: 2026 Bidirectional Tool as MX808S MK808BT Pro M808Z, Work as MaxiCheck MX900 MK900BT, 28+ Service, 3000+ Active Tests, All System OBD2 Diagnostics, OS 11, 10X Faster</t>
        </is>
      </c>
      <c r="D6" s="5" t="inlineStr">
        <is>
          <t>autel</t>
        </is>
      </c>
      <c r="E6" s="5" t="inlineStr">
        <is>
          <t>Tablet</t>
        </is>
      </c>
      <c r="F6" s="6" t="n">
        <v>455.0867040358744</v>
      </c>
      <c r="G6" s="23" t="n">
        <v>608906.01</v>
      </c>
      <c r="H6" s="19" t="n">
        <v>1338</v>
      </c>
      <c r="I6" s="19" t="n">
        <v>3847</v>
      </c>
      <c r="J6" s="5" t="n">
        <v>4.4</v>
      </c>
      <c r="K6" s="5" t="inlineStr">
        <is>
          <t>https://amazon.com/dp/B0744B55QV</t>
        </is>
      </c>
      <c r="L6" s="183">
        <f>HYPERLINK(K6)</f>
        <v/>
      </c>
    </row>
    <row r="7" ht="17" customFormat="1" customHeight="1" s="29">
      <c r="A7" s="17" t="n">
        <v>5</v>
      </c>
      <c r="B7" s="18" t="inlineStr">
        <is>
          <t>B098PYB8XG</t>
        </is>
      </c>
      <c r="C7" s="5" t="inlineStr">
        <is>
          <t>Autel Scanner MaxiCOM MK900BT, 2026 MK900-BT V2.0 Bidirectional Diagnostic Tool, 8in Up of MK900 MX900 MK808S MK808BT MX808S MK808Z, 3000+ Active Tests, 40+ Service, CAN-FD&amp;DOIP, All System, FCA 11 OS</t>
        </is>
      </c>
      <c r="D7" s="5" t="inlineStr">
        <is>
          <t>autel</t>
        </is>
      </c>
      <c r="E7" s="5" t="inlineStr">
        <is>
          <t>Tablet</t>
        </is>
      </c>
      <c r="F7" s="6" t="n">
        <v>658.7687378640776</v>
      </c>
      <c r="G7" s="23" t="n">
        <v>542825.4399999999</v>
      </c>
      <c r="H7" s="19" t="n">
        <v>824</v>
      </c>
      <c r="I7" s="19" t="n">
        <v>708</v>
      </c>
      <c r="J7" s="5" t="n">
        <v>4.5</v>
      </c>
      <c r="K7" s="5" t="inlineStr">
        <is>
          <t>https://amazon.com/dp/B098PYB8XG</t>
        </is>
      </c>
      <c r="L7" s="163">
        <f>HYPERLINK(K7)</f>
        <v/>
      </c>
    </row>
    <row r="8" ht="17" customHeight="1" s="314">
      <c r="A8" s="17" t="n">
        <v>6</v>
      </c>
      <c r="B8" s="18" t="inlineStr">
        <is>
          <t>B0BPYPNDVP</t>
        </is>
      </c>
      <c r="C8" s="5" t="inlineStr">
        <is>
          <t>Diesel Laptops Nexiq USB Link 3 Wired Edition with Repair Information &amp; Diagnostic Software</t>
        </is>
      </c>
      <c r="D8" s="5" t="inlineStr">
        <is>
          <t>diesel laptops</t>
        </is>
      </c>
      <c r="E8" s="5" t="inlineStr">
        <is>
          <t>VCI</t>
        </is>
      </c>
      <c r="F8" s="6" t="n">
        <v>749.3213831478538</v>
      </c>
      <c r="G8" s="23" t="n">
        <v>471323.15</v>
      </c>
      <c r="H8" s="19" t="n">
        <v>629</v>
      </c>
      <c r="I8" s="19" t="n">
        <v>252</v>
      </c>
      <c r="J8" s="5" t="n">
        <v>4.6</v>
      </c>
      <c r="K8" s="5" t="inlineStr">
        <is>
          <t>https://amazon.com/dp/B0BPYPNDVP</t>
        </is>
      </c>
      <c r="L8" s="183">
        <f>HYPERLINK(K8)</f>
        <v/>
      </c>
    </row>
    <row r="9" ht="17" customHeight="1" s="314">
      <c r="A9" s="17" t="n">
        <v>7</v>
      </c>
      <c r="B9" s="18" t="inlineStr">
        <is>
          <t>B081VQVD3F</t>
        </is>
      </c>
      <c r="C9" s="5" t="inlineStr">
        <is>
          <t>OBDLink EX FORScan OBD Adapter</t>
        </is>
      </c>
      <c r="D9" s="5" t="inlineStr">
        <is>
          <t>obdlink</t>
        </is>
      </c>
      <c r="E9" s="5" t="inlineStr">
        <is>
          <t>Cable/Adapter</t>
        </is>
      </c>
      <c r="F9" s="6" t="n">
        <v>69.9357231857215</v>
      </c>
      <c r="G9" s="23" t="n">
        <v>415348.26</v>
      </c>
      <c r="H9" s="19" t="n">
        <v>5939</v>
      </c>
      <c r="I9" s="19" t="n">
        <v>9945</v>
      </c>
      <c r="J9" s="5" t="n">
        <v>4.8</v>
      </c>
      <c r="K9" s="5" t="inlineStr">
        <is>
          <t>https://amazon.com/dp/B081VQVD3F</t>
        </is>
      </c>
      <c r="L9" s="183">
        <f>HYPERLINK(K9)</f>
        <v/>
      </c>
    </row>
    <row r="10" ht="17" customHeight="1" s="314">
      <c r="A10" s="17" t="n">
        <v>8</v>
      </c>
      <c r="B10" s="18" t="inlineStr">
        <is>
          <t>B08PFJMTY3</t>
        </is>
      </c>
      <c r="C10" s="5" t="inlineStr">
        <is>
          <t>FOXWELL Car Scanner NT604 Elite OBD2 Scanner ABS SRS Transmission, Check Engine Code Reader for Cars and Trucks, Diagnostic Scan Tool with SRS Airbag, Automotive Diagnostic Tool with Live Data</t>
        </is>
      </c>
      <c r="D10" s="5" t="inlineStr">
        <is>
          <t>foxwell</t>
        </is>
      </c>
      <c r="E10" s="5" t="inlineStr">
        <is>
          <t>Tablet</t>
        </is>
      </c>
      <c r="F10" s="6" t="n">
        <v>151.7840725806452</v>
      </c>
      <c r="G10" s="23" t="n">
        <v>414066.95</v>
      </c>
      <c r="H10" s="19" t="n">
        <v>2728</v>
      </c>
      <c r="I10" s="19" t="n">
        <v>4855</v>
      </c>
      <c r="J10" s="5" t="n">
        <v>4.4</v>
      </c>
      <c r="K10" s="5" t="inlineStr">
        <is>
          <t>https://amazon.com/dp/B08PFJMTY3</t>
        </is>
      </c>
      <c r="L10" s="183">
        <f>HYPERLINK(K10)</f>
        <v/>
      </c>
    </row>
    <row r="11" ht="17" customHeight="1" s="314">
      <c r="A11" s="17" t="n">
        <v>9</v>
      </c>
      <c r="B11" s="18" t="inlineStr">
        <is>
          <t>B0DTK24XKB</t>
        </is>
      </c>
      <c r="C11" s="5" t="inlineStr">
        <is>
          <t>MUCAR 892BT AI-Assisted Bidirectional Scan Tool, Full System OBD2 Scanner, Bi-Directional OBD2 Scanner Diagnostic Tool,ECU Coding, 35 Services, FCA Autoauth, CANFD and DOIP, Free Lifetime Upgrade</t>
        </is>
      </c>
      <c r="D11" s="5" t="inlineStr">
        <is>
          <t>mucar</t>
        </is>
      </c>
      <c r="E11" s="5" t="inlineStr">
        <is>
          <t>Tablet</t>
        </is>
      </c>
      <c r="F11" s="6" t="n">
        <v>644.8325789473685</v>
      </c>
      <c r="G11" s="23" t="n">
        <v>367554.57</v>
      </c>
      <c r="H11" s="19" t="n">
        <v>570</v>
      </c>
      <c r="I11" s="19" t="n">
        <v>394</v>
      </c>
      <c r="J11" s="5" t="n">
        <v>4.3</v>
      </c>
      <c r="K11" s="5" t="inlineStr">
        <is>
          <t>https://amazon.com/dp/B0DTK24XKB</t>
        </is>
      </c>
      <c r="L11" s="207">
        <f>HYPERLINK(K11)</f>
        <v/>
      </c>
    </row>
    <row r="12" ht="17" customHeight="1" s="314">
      <c r="A12" s="17" t="n">
        <v>10</v>
      </c>
      <c r="B12" s="18" t="inlineStr">
        <is>
          <t>B0C33Y285Y</t>
        </is>
      </c>
      <c r="C12" s="5" t="inlineStr">
        <is>
          <t>TOPDON Bidirectional Scan Tool, 2026 New ArtiDiag900 Lite Automotive Diagnostic Tool for Full System, Scanner for Car with Active Test, 8 Reset, Wireless OBD2 Scanner Diagnostic Tool for All Vehicles</t>
        </is>
      </c>
      <c r="D12" s="5" t="inlineStr">
        <is>
          <t>topdon</t>
        </is>
      </c>
      <c r="E12" s="5" t="inlineStr">
        <is>
          <t>Tablet</t>
        </is>
      </c>
      <c r="F12" s="6" t="n">
        <v>318.9840625</v>
      </c>
      <c r="G12" s="23" t="n">
        <v>367469.64</v>
      </c>
      <c r="H12" s="19" t="n">
        <v>1152</v>
      </c>
      <c r="I12" s="19" t="n">
        <v>1230</v>
      </c>
      <c r="J12" s="5" t="n">
        <v>4.3</v>
      </c>
      <c r="K12" s="5" t="inlineStr">
        <is>
          <t>https://amazon.com/dp/B0C33Y285Y</t>
        </is>
      </c>
      <c r="L12" s="183">
        <f>HYPERLINK(K12)</f>
        <v/>
      </c>
    </row>
    <row r="13" ht="17" customHeight="1" s="314">
      <c r="A13" s="17" t="n">
        <v>11</v>
      </c>
      <c r="B13" s="18" t="inlineStr">
        <is>
          <t>B00UJV3E12</t>
        </is>
      </c>
      <c r="C13" s="5" t="inlineStr">
        <is>
          <t>FOXWELL NT301 OBD2 Scanner Live Data Professional Mechanic OBDII Diagnostic Code Reader Tool for Check Engine Light</t>
        </is>
      </c>
      <c r="D13" s="5" t="inlineStr">
        <is>
          <t>foxwell</t>
        </is>
      </c>
      <c r="E13" s="5" t="inlineStr">
        <is>
          <t>Handheld</t>
        </is>
      </c>
      <c r="F13" s="6" t="n">
        <v>65.66388878793386</v>
      </c>
      <c r="G13" s="23" t="n">
        <v>361348.38</v>
      </c>
      <c r="H13" s="19" t="n">
        <v>5503</v>
      </c>
      <c r="I13" s="19" t="n">
        <v>29739</v>
      </c>
      <c r="J13" s="5" t="n">
        <v>4.5</v>
      </c>
      <c r="K13" s="5" t="inlineStr">
        <is>
          <t>https://amazon.com/dp/B00UJV3E12</t>
        </is>
      </c>
      <c r="L13" s="207">
        <f>HYPERLINK(K13)</f>
        <v/>
      </c>
    </row>
    <row r="14" ht="17" customFormat="1" customHeight="1" s="206">
      <c r="A14" s="208" t="n">
        <v>12</v>
      </c>
      <c r="B14" s="221" t="inlineStr">
        <is>
          <t>B0GK9G6YDL</t>
        </is>
      </c>
      <c r="C14" s="209" t="inlineStr">
        <is>
          <t>TOPDON ONE Bidirectional Scan Tool, 10.1" OBD2 Scanner with J2534 Pass-Thru and ECU Coding, Over 50 Resets, Topology Mapping Car Diagnostic Tool for All Vehicles</t>
        </is>
      </c>
      <c r="D14" s="209" t="inlineStr">
        <is>
          <t>topdon</t>
        </is>
      </c>
      <c r="E14" s="209" t="inlineStr">
        <is>
          <t>Tablet</t>
        </is>
      </c>
      <c r="F14" s="212" t="n">
        <v>745.0893534482759</v>
      </c>
      <c r="G14" s="243" t="n">
        <v>345721.46</v>
      </c>
      <c r="H14" s="213" t="n">
        <v>464</v>
      </c>
      <c r="I14" s="213" t="n">
        <v>90</v>
      </c>
      <c r="J14" s="209" t="n">
        <v>4.7</v>
      </c>
      <c r="K14" s="209" t="inlineStr">
        <is>
          <t>https://amazon.com/dp/B0GK9G6YDL</t>
        </is>
      </c>
      <c r="L14" s="207">
        <f>HYPERLINK(K14)</f>
        <v/>
      </c>
    </row>
    <row r="15" ht="17" customHeight="1" s="314">
      <c r="A15" s="17" t="n">
        <v>13</v>
      </c>
      <c r="B15" s="18" t="inlineStr">
        <is>
          <t>B0DCFRF2TF</t>
        </is>
      </c>
      <c r="C15" s="5" t="inlineStr">
        <is>
          <t>THINKCAR Bidirectional Scan Tool, THINKSCAN 689BT All System Automotive Diagnostic Tool, Bi Directional OBD2 Scanner with ECU Coding, 34 Services, FCA Autoauth, CANFD and DoIP, Wireless Update</t>
        </is>
      </c>
      <c r="D15" s="5" t="inlineStr">
        <is>
          <t>thinkcar</t>
        </is>
      </c>
      <c r="E15" s="5" t="inlineStr">
        <is>
          <t>Tablet</t>
        </is>
      </c>
      <c r="F15" s="6" t="n">
        <v>536.3024100156495</v>
      </c>
      <c r="G15" s="23" t="n">
        <v>342697.24</v>
      </c>
      <c r="H15" s="19" t="n">
        <v>639</v>
      </c>
      <c r="I15" s="19" t="n">
        <v>574</v>
      </c>
      <c r="J15" s="5" t="n">
        <v>4.5</v>
      </c>
      <c r="K15" s="5" t="inlineStr">
        <is>
          <t>https://amazon.com/dp/B0DCFRF2TF</t>
        </is>
      </c>
      <c r="L15" s="207">
        <f>HYPERLINK(K15)</f>
        <v/>
      </c>
    </row>
    <row r="16" ht="17" customHeight="1" s="314">
      <c r="A16" s="17" t="n">
        <v>14</v>
      </c>
      <c r="B16" s="18" t="inlineStr">
        <is>
          <t>B0DV2N2FND</t>
        </is>
      </c>
      <c r="C16" s="5" t="inlineStr">
        <is>
          <t>BLCKTEC 460T OBD2 Scanner Car Code Reader Engine ABS SRS Transmission Diagnostic Tool, 12 Reset Services, Oil/TPMS/EPB/BMS/SAS/DPF/Throttle Reset, ABS Bleeding, Battery Test, Auto VIN, Free Update</t>
        </is>
      </c>
      <c r="D16" s="5" t="inlineStr">
        <is>
          <t>blcktec</t>
        </is>
      </c>
      <c r="E16" s="5" t="inlineStr">
        <is>
          <t>Tablet</t>
        </is>
      </c>
      <c r="F16" s="6" t="n">
        <v>189.17418997669</v>
      </c>
      <c r="G16" s="23" t="n">
        <v>324622.91</v>
      </c>
      <c r="H16" s="19" t="n">
        <v>1716</v>
      </c>
      <c r="I16" s="19" t="n">
        <v>608</v>
      </c>
      <c r="J16" s="5" t="n">
        <v>4.4</v>
      </c>
      <c r="K16" s="5" t="inlineStr">
        <is>
          <t>https://amazon.com/dp/B0DV2N2FND</t>
        </is>
      </c>
      <c r="L16" s="183">
        <f>HYPERLINK(K16)</f>
        <v/>
      </c>
    </row>
    <row r="17" ht="17" customHeight="1" s="314">
      <c r="A17" s="17" t="n">
        <v>15</v>
      </c>
      <c r="B17" s="18" t="inlineStr">
        <is>
          <t>B091BQNR3S</t>
        </is>
      </c>
      <c r="C17" s="5" t="inlineStr">
        <is>
          <t>TOPDON Phoenix Plus 2, ECU Coding TOPDON Scanner V2.0, Bidirectional Scan Tool, Topology Map, CANFD, High-End OEM Full System, 42+ Service, FCA SGW AutoAuth, V.A.G Guided, 2 Years Free Update</t>
        </is>
      </c>
      <c r="D17" s="5" t="inlineStr">
        <is>
          <t>topdon</t>
        </is>
      </c>
      <c r="E17" s="5" t="inlineStr">
        <is>
          <t>Tablet</t>
        </is>
      </c>
      <c r="F17" s="6" t="n">
        <v>1014.280512820513</v>
      </c>
      <c r="G17" s="23" t="n">
        <v>276898.58</v>
      </c>
      <c r="H17" s="19" t="n">
        <v>273</v>
      </c>
      <c r="I17" s="19" t="n">
        <v>492</v>
      </c>
      <c r="J17" s="5" t="n">
        <v>4.4</v>
      </c>
      <c r="K17" s="5" t="inlineStr">
        <is>
          <t>https://amazon.com/dp/B091BQNR3S</t>
        </is>
      </c>
      <c r="L17" s="183">
        <f>HYPERLINK(K17)</f>
        <v/>
      </c>
    </row>
    <row r="18" ht="17" customHeight="1" s="314">
      <c r="A18" s="17" t="n">
        <v>16</v>
      </c>
      <c r="B18" s="18" t="inlineStr">
        <is>
          <t>B0BSFTHFC1</t>
        </is>
      </c>
      <c r="C18" s="5" t="inlineStr">
        <is>
          <t>Diesel Laptops Nexiq USB Link 3 Wireless Edition with Repair Information &amp; Diagnostic Software Bluetooth WiFi</t>
        </is>
      </c>
      <c r="D18" s="5" t="inlineStr">
        <is>
          <t>diesel laptops</t>
        </is>
      </c>
      <c r="E18" s="5" t="inlineStr">
        <is>
          <t>Dongle</t>
        </is>
      </c>
      <c r="F18" s="6" t="n">
        <v>798.2018208092486</v>
      </c>
      <c r="G18" s="23" t="n">
        <v>276177.83</v>
      </c>
      <c r="H18" s="19" t="n">
        <v>346</v>
      </c>
      <c r="I18" s="19" t="n">
        <v>130</v>
      </c>
      <c r="J18" s="5" t="n">
        <v>4.6</v>
      </c>
      <c r="K18" s="5" t="inlineStr">
        <is>
          <t>https://amazon.com/dp/B0BSFTHFC1</t>
        </is>
      </c>
      <c r="L18" s="207">
        <f>HYPERLINK(K18)</f>
        <v/>
      </c>
    </row>
    <row r="19" ht="17" customHeight="1" s="314">
      <c r="A19" s="17" t="n">
        <v>17</v>
      </c>
      <c r="B19" s="18" t="inlineStr">
        <is>
          <t>B07CFVD2P3</t>
        </is>
      </c>
      <c r="C19" s="5" t="inlineStr">
        <is>
          <t>FIXD Bluetooth OBD2 Scanner for iPhone &amp; Android - Diagnostic Scan Tool for Repairs and Car Buying - Check Engine Code Reader &amp; Enhanced Codes - (2 Pack w/Free 14-Day FIXD Premium Bundle)</t>
        </is>
      </c>
      <c r="D19" s="5" t="inlineStr">
        <is>
          <t>fixd</t>
        </is>
      </c>
      <c r="E19" s="5" t="inlineStr">
        <is>
          <t>Dongle</t>
        </is>
      </c>
      <c r="F19" s="6" t="n">
        <v>97.98624688722876</v>
      </c>
      <c r="G19" s="23" t="n">
        <v>275439.34</v>
      </c>
      <c r="H19" s="19" t="n">
        <v>2811</v>
      </c>
      <c r="I19" s="19" t="n">
        <v>1243</v>
      </c>
      <c r="J19" s="5" t="n">
        <v>4.1</v>
      </c>
      <c r="K19" s="5" t="inlineStr">
        <is>
          <t>https://amazon.com/dp/B07CFVD2P3</t>
        </is>
      </c>
      <c r="L19" s="183">
        <f>HYPERLINK(K19)</f>
        <v/>
      </c>
    </row>
    <row r="20" ht="17" customFormat="1" customHeight="1" s="29">
      <c r="A20" s="152" t="n">
        <v>18</v>
      </c>
      <c r="B20" s="153" t="inlineStr">
        <is>
          <t>B0BZ82WQ4Q</t>
        </is>
      </c>
      <c r="C20" s="154" t="inlineStr">
        <is>
          <t>ANCEL X7HD 10'' Heavy Duty Truck Scanner, Semi Trucks Full System Diagnostic Tool, Bidirectional Diesel Scan Tool with DPF, ECU Coding, 40+ Reset for Cummins, Detroit, Caterpillar, Volvo, Paccar etc</t>
        </is>
      </c>
      <c r="D20" s="154" t="inlineStr">
        <is>
          <t>ancel</t>
        </is>
      </c>
      <c r="E20" s="154" t="inlineStr">
        <is>
          <t>Tablet</t>
        </is>
      </c>
      <c r="F20" s="155" t="n">
        <v>774.4419436619719</v>
      </c>
      <c r="G20" s="242" t="n">
        <v>274926.89</v>
      </c>
      <c r="H20" s="156" t="n">
        <v>355</v>
      </c>
      <c r="I20" s="156" t="n">
        <v>786</v>
      </c>
      <c r="J20" s="154" t="n">
        <v>3.8</v>
      </c>
      <c r="K20" s="154" t="inlineStr">
        <is>
          <t>https://amazon.com/dp/B0BZ82WQ4Q</t>
        </is>
      </c>
      <c r="L20" s="157">
        <f>HYPERLINK(K20)</f>
        <v/>
      </c>
    </row>
    <row r="21" ht="17" customHeight="1" s="314">
      <c r="A21" s="17" t="n">
        <v>19</v>
      </c>
      <c r="B21" s="18" t="inlineStr">
        <is>
          <t>B0FZ26RBDC</t>
        </is>
      </c>
      <c r="C21" s="5" t="inlineStr">
        <is>
          <t>HPT MPVI4 Diagnostic Code Reader Scanner and Tool</t>
        </is>
      </c>
      <c r="D21" s="5" t="inlineStr">
        <is>
          <t>generic</t>
        </is>
      </c>
      <c r="E21" s="5" t="inlineStr">
        <is>
          <t>Dongle</t>
        </is>
      </c>
      <c r="F21" s="6" t="n">
        <v>399.9256140350877</v>
      </c>
      <c r="G21" s="23" t="n">
        <v>273549.12</v>
      </c>
      <c r="H21" s="19" t="n">
        <v>684</v>
      </c>
      <c r="I21" s="19" t="n">
        <v>139</v>
      </c>
      <c r="J21" s="5" t="n">
        <v>4.8</v>
      </c>
      <c r="K21" s="5" t="inlineStr">
        <is>
          <t>https://amazon.com/dp/B0FZ26RBDC</t>
        </is>
      </c>
      <c r="L21" s="207">
        <f>HYPERLINK(K21)</f>
        <v/>
      </c>
    </row>
    <row r="22" ht="17" customHeight="1" s="314">
      <c r="A22" s="17" t="n">
        <v>20</v>
      </c>
      <c r="B22" s="18" t="inlineStr">
        <is>
          <t>B071FSNL73</t>
        </is>
      </c>
      <c r="C22" s="5" t="inlineStr">
        <is>
          <t>ANCEL AD410 Enhanced OBD2 Scanner, Vehicle Code Reader for Check Engine Light, Automotive OBD II Scanner Fault Diagnosis, OBDII Scan Tool for All OBDII Cars 1996+, Black/Yellow</t>
        </is>
      </c>
      <c r="D22" s="5" t="inlineStr">
        <is>
          <t>ancel</t>
        </is>
      </c>
      <c r="E22" s="5" t="inlineStr">
        <is>
          <t>Handheld</t>
        </is>
      </c>
      <c r="F22" s="6" t="n">
        <v>43.56900433622415</v>
      </c>
      <c r="G22" s="23" t="n">
        <v>261239.75</v>
      </c>
      <c r="H22" s="19" t="n">
        <v>5996</v>
      </c>
      <c r="I22" s="19" t="n">
        <v>15054</v>
      </c>
      <c r="J22" s="5" t="n">
        <v>4.5</v>
      </c>
      <c r="K22" s="5" t="inlineStr">
        <is>
          <t>https://amazon.com/dp/B071FSNL73</t>
        </is>
      </c>
      <c r="L22" s="163">
        <f>HYPERLINK(K22)</f>
        <v/>
      </c>
    </row>
    <row r="23" ht="17" customHeight="1" s="314">
      <c r="A23" s="17" t="n">
        <v>21</v>
      </c>
      <c r="B23" s="5" t="inlineStr">
        <is>
          <t>B08NFLL3NT</t>
        </is>
      </c>
      <c r="C23" s="5" t="inlineStr">
        <is>
          <t>OBDLink CX Bimmercode Bluetooth 5.1 OBD2 Adapter for BMW/Mini, Works with iPhone/iOS &amp; Android, Car Coding, OBD II Diagnostic Scanner</t>
        </is>
      </c>
      <c r="D23" s="5" t="inlineStr">
        <is>
          <t>obdlink</t>
        </is>
      </c>
      <c r="E23" s="5" t="inlineStr">
        <is>
          <t>Dongle</t>
        </is>
      </c>
      <c r="F23" s="6" t="n">
        <v>79.93206907184705</v>
      </c>
      <c r="G23" s="23" t="n">
        <v>259219.7</v>
      </c>
      <c r="H23" s="19" t="n">
        <v>3243</v>
      </c>
      <c r="I23" s="19" t="n">
        <v>4326</v>
      </c>
      <c r="J23" s="5" t="n">
        <v>4.6</v>
      </c>
      <c r="K23" s="5" t="inlineStr">
        <is>
          <t>https://amazon.com/dp/B08NFLL3NT</t>
        </is>
      </c>
      <c r="L23" s="207">
        <f>HYPERLINK(K23)</f>
        <v/>
      </c>
    </row>
    <row r="24" ht="17" customHeight="1" s="314">
      <c r="A24" s="17" t="n">
        <v>22</v>
      </c>
      <c r="B24" s="5" t="inlineStr">
        <is>
          <t>B07Z3HB7DR</t>
        </is>
      </c>
      <c r="C24" s="5" t="inlineStr">
        <is>
          <t>MOTOPOWER MP69033 Car OBD2 Scanner Code Reader Engine Fault Scanner CAN Diagnostic Scan Tool for All OBD II Protocol Cars Since 1996, Yellow</t>
        </is>
      </c>
      <c r="D24" s="5" t="inlineStr">
        <is>
          <t>motopower</t>
        </is>
      </c>
      <c r="E24" s="5" t="inlineStr">
        <is>
          <t>Handheld</t>
        </is>
      </c>
      <c r="F24" s="6" t="n">
        <v>20.86620090572252</v>
      </c>
      <c r="G24" s="23" t="n">
        <v>253420.01</v>
      </c>
      <c r="H24" s="19" t="n">
        <v>12145</v>
      </c>
      <c r="I24" s="19" t="n">
        <v>50750</v>
      </c>
      <c r="J24" s="5" t="n">
        <v>4.6</v>
      </c>
      <c r="K24" s="5" t="inlineStr">
        <is>
          <t>https://amazon.com/dp/B07Z3HB7DR</t>
        </is>
      </c>
      <c r="L24" s="207">
        <f>HYPERLINK(K24)</f>
        <v/>
      </c>
    </row>
    <row r="25" ht="17" customHeight="1" s="314">
      <c r="A25" s="17" t="n">
        <v>23</v>
      </c>
      <c r="B25" s="5" t="inlineStr">
        <is>
          <t>B09KZTYD18</t>
        </is>
      </c>
      <c r="C25" s="5" t="inlineStr">
        <is>
          <t>OBD2 Scanner TOPDON AD600S Scan Tool, Code Reader, Diagnostics Scanner for ABS/SRS/AT/Engine, 9 Reset Services, Oil/Brake/BMS/SAS/DPF/TPMS/ETS Reset/ABS Bleeding/Injector Coding, Free Lifetime Upgrade</t>
        </is>
      </c>
      <c r="D25" s="5" t="inlineStr">
        <is>
          <t>topdon</t>
        </is>
      </c>
      <c r="E25" s="5" t="inlineStr">
        <is>
          <t>Tablet</t>
        </is>
      </c>
      <c r="F25" s="6" t="n">
        <v>194.0666122766123</v>
      </c>
      <c r="G25" s="23" t="n">
        <v>249763.73</v>
      </c>
      <c r="H25" s="19" t="n">
        <v>1287</v>
      </c>
      <c r="I25" s="19" t="n">
        <v>1836</v>
      </c>
      <c r="J25" s="5" t="n">
        <v>4.5</v>
      </c>
      <c r="K25" s="5" t="inlineStr">
        <is>
          <t>https://amazon.com/dp/B09KZTYD18</t>
        </is>
      </c>
      <c r="L25" s="207">
        <f>HYPERLINK(K25)</f>
        <v/>
      </c>
    </row>
    <row r="26" ht="17" customHeight="1" s="314">
      <c r="A26" s="17" t="n">
        <v>24</v>
      </c>
      <c r="B26" s="5" t="inlineStr">
        <is>
          <t>B07Z46L5FG</t>
        </is>
      </c>
      <c r="C26" s="5" t="inlineStr">
        <is>
          <t>Innova 5210 OBD2 Scanner &amp; Engine Code Reader, Battery Tester, Live Data, Oil Reset, Car Diagnostic Tool for Most Vehicles, Bluetooth Compatible with America's Top Car Repair App</t>
        </is>
      </c>
      <c r="D26" s="5" t="inlineStr">
        <is>
          <t>innova</t>
        </is>
      </c>
      <c r="E26" s="5" t="inlineStr">
        <is>
          <t>Handheld</t>
        </is>
      </c>
      <c r="F26" s="6" t="n">
        <v>87.48796262367168</v>
      </c>
      <c r="G26" s="23" t="n">
        <v>238754.65</v>
      </c>
      <c r="H26" s="19" t="n">
        <v>2729</v>
      </c>
      <c r="I26" s="19" t="n">
        <v>3977</v>
      </c>
      <c r="J26" s="5" t="n">
        <v>4.5</v>
      </c>
      <c r="K26" s="5" t="inlineStr">
        <is>
          <t>https://amazon.com/dp/B07Z46L5FG</t>
        </is>
      </c>
      <c r="L26" s="183">
        <f>HYPERLINK(K26)</f>
        <v/>
      </c>
    </row>
    <row r="27" ht="17" customHeight="1" s="314">
      <c r="A27" s="17" t="n">
        <v>25</v>
      </c>
      <c r="B27" s="5" t="inlineStr">
        <is>
          <t>B08TR5PS5V</t>
        </is>
      </c>
      <c r="C27" s="5" t="inlineStr">
        <is>
          <t>TOPDON AD800BT 2 OBD2 Scanner, 2026 Bidirectional Scan Tool, Function as AD900 Lite AD Pro, All System Automotive Diagnostic Scanner, Active Test, 28+ Reset Service, FCA Autoauth, 2 Years Free Update</t>
        </is>
      </c>
      <c r="D27" s="5" t="inlineStr">
        <is>
          <t>topdon</t>
        </is>
      </c>
      <c r="E27" s="5" t="inlineStr">
        <is>
          <t>Tablet</t>
        </is>
      </c>
      <c r="F27" s="6" t="n">
        <v>330.3861891117479</v>
      </c>
      <c r="G27" s="23" t="n">
        <v>230609.56</v>
      </c>
      <c r="H27" s="19" t="n">
        <v>698</v>
      </c>
      <c r="I27" s="19" t="n">
        <v>828</v>
      </c>
      <c r="J27" s="5" t="n">
        <v>4.4</v>
      </c>
      <c r="K27" s="5" t="inlineStr">
        <is>
          <t>https://amazon.com/dp/B08TR5PS5V</t>
        </is>
      </c>
      <c r="L27" s="183">
        <f>HYPERLINK(K27)</f>
        <v/>
      </c>
    </row>
    <row r="28" ht="17" customHeight="1" s="314">
      <c r="A28" s="17" t="n">
        <v>26</v>
      </c>
      <c r="B28" s="5" t="inlineStr">
        <is>
          <t>B0BNKHCXVC</t>
        </is>
      </c>
      <c r="C28" s="5" t="inlineStr">
        <is>
          <t>TOPDON ArtiDiag Pro OBD2 Scanner Diagnostic Tool, Bidirectional Scan Tool with ECU Coding, 35+ Services, V.A.G Guided, FCA SGW, Can FD DoIP/All System Diagnosis</t>
        </is>
      </c>
      <c r="D28" s="5" t="inlineStr">
        <is>
          <t>topdon</t>
        </is>
      </c>
      <c r="E28" s="5" t="inlineStr">
        <is>
          <t>Tablet</t>
        </is>
      </c>
      <c r="F28" s="6" t="n">
        <v>429.9311553030303</v>
      </c>
      <c r="G28" s="23" t="n">
        <v>227003.65</v>
      </c>
      <c r="H28" s="19" t="n">
        <v>528</v>
      </c>
      <c r="I28" s="19" t="n">
        <v>774</v>
      </c>
      <c r="J28" s="5" t="n">
        <v>4.3</v>
      </c>
      <c r="K28" s="5" t="inlineStr">
        <is>
          <t>https://amazon.com/dp/B0BNKHCXVC</t>
        </is>
      </c>
      <c r="L28" s="183">
        <f>HYPERLINK(K28)</f>
        <v/>
      </c>
    </row>
    <row r="29" ht="17" customHeight="1" s="314">
      <c r="A29" s="17" t="n">
        <v>27</v>
      </c>
      <c r="B29" s="5" t="inlineStr">
        <is>
          <t>B08ML7T7KZ</t>
        </is>
      </c>
      <c r="C29" s="5" t="inlineStr">
        <is>
          <t>Autel Scanner MaxiCheck MX808S, 2026 US Ver. of MaxiCOM MK808S MK808Z, Bidirectional 3000+ Active Test 11OS as MK900 MK900BT MX900, 28+ Service, OE All Systems OBD2 Diagnostic Tool, FCA, 10X Faster</t>
        </is>
      </c>
      <c r="D29" s="5" t="inlineStr">
        <is>
          <t>autel</t>
        </is>
      </c>
      <c r="E29" s="5" t="inlineStr">
        <is>
          <t>Tablet</t>
        </is>
      </c>
      <c r="F29" s="6" t="n">
        <v>430.9935983263599</v>
      </c>
      <c r="G29" s="23" t="n">
        <v>206014.94</v>
      </c>
      <c r="H29" s="19" t="n">
        <v>478</v>
      </c>
      <c r="I29" s="19" t="n">
        <v>711</v>
      </c>
      <c r="J29" s="5" t="n">
        <v>4.7</v>
      </c>
      <c r="K29" s="5" t="inlineStr">
        <is>
          <t>https://amazon.com/dp/B08ML7T7KZ</t>
        </is>
      </c>
      <c r="L29" s="183">
        <f>HYPERLINK(K29)</f>
        <v/>
      </c>
    </row>
    <row r="30" ht="17" customHeight="1" s="314">
      <c r="A30" s="17" t="n">
        <v>28</v>
      </c>
      <c r="B30" s="5" t="inlineStr">
        <is>
          <t>B09KT9XNML</t>
        </is>
      </c>
      <c r="C30" s="5" t="inlineStr">
        <is>
          <t>OBD2 Scanner Diagnostic Tool XTOOL Anyscan A30M V2.0, 2026 Wireless Bidirectional Scan Tool with Free Updates, 26 Resets, All System for Android &amp; iPhone, Crank Sensor Relearn, EPB, Throttle Relearn</t>
        </is>
      </c>
      <c r="D30" s="5" t="inlineStr">
        <is>
          <t>xtool</t>
        </is>
      </c>
      <c r="E30" s="5" t="inlineStr">
        <is>
          <t>Dongle</t>
        </is>
      </c>
      <c r="F30" s="6" t="n">
        <v>151.2937490377213</v>
      </c>
      <c r="G30" s="23" t="n">
        <v>196530.58</v>
      </c>
      <c r="H30" s="19" t="n">
        <v>1299</v>
      </c>
      <c r="I30" s="19" t="n">
        <v>1409</v>
      </c>
      <c r="J30" s="5" t="n">
        <v>4.3</v>
      </c>
      <c r="K30" s="5" t="inlineStr">
        <is>
          <t>https://amazon.com/dp/B09KT9XNML</t>
        </is>
      </c>
      <c r="L30" s="207">
        <f>HYPERLINK(K30)</f>
        <v/>
      </c>
    </row>
    <row r="31" ht="17" customHeight="1" s="314">
      <c r="A31" s="17" t="n">
        <v>29</v>
      </c>
      <c r="B31" s="5" t="inlineStr">
        <is>
          <t>B087WMGLF1</t>
        </is>
      </c>
      <c r="C31" s="5" t="inlineStr">
        <is>
          <t>Krazy On Highways Edge Insight CTS3 Digital Gauge, Compatible with 1996 &amp; Up OBD-II Vehicles. 84130-3</t>
        </is>
      </c>
      <c r="D31" s="5" t="inlineStr">
        <is>
          <t>edge</t>
        </is>
      </c>
      <c r="E31" s="5" t="inlineStr">
        <is>
          <t>Other</t>
        </is>
      </c>
      <c r="F31" s="6" t="n">
        <v>446.7409403669724</v>
      </c>
      <c r="G31" s="23" t="n">
        <v>194779.05</v>
      </c>
      <c r="H31" s="19" t="n">
        <v>436</v>
      </c>
      <c r="I31" s="19" t="n">
        <v>1055</v>
      </c>
      <c r="J31" s="5" t="n">
        <v>4.3</v>
      </c>
      <c r="K31" s="5" t="inlineStr">
        <is>
          <t>https://amazon.com/dp/B087WMGLF1</t>
        </is>
      </c>
      <c r="L31" s="163">
        <f>HYPERLINK(K31)</f>
        <v/>
      </c>
    </row>
    <row r="32" ht="17" customHeight="1" s="314">
      <c r="A32" s="17" t="n">
        <v>30</v>
      </c>
      <c r="B32" s="5" t="inlineStr">
        <is>
          <t>B09712X5CW</t>
        </is>
      </c>
      <c r="C32" s="5" t="inlineStr">
        <is>
          <t>Autel Scanner MaxiCOM MK900BT, 2026 MK900-BT Bidirectional Diagnostic Scan Tool, 2.0 BT Ver. of MK900 MX900, 8in Up of MK808S MK808BT PRO MX808S MK808Z, 40+ Reset, 3K+ Active Tests, CAN FD &amp; DoIP, FCA</t>
        </is>
      </c>
      <c r="D32" s="5" t="inlineStr">
        <is>
          <t>autel</t>
        </is>
      </c>
      <c r="E32" s="5" t="inlineStr">
        <is>
          <t>Tablet</t>
        </is>
      </c>
      <c r="F32" s="6" t="n">
        <v>658.3624742268041</v>
      </c>
      <c r="G32" s="23" t="n">
        <v>191583.48</v>
      </c>
      <c r="H32" s="19" t="n">
        <v>291</v>
      </c>
      <c r="I32" s="19" t="n">
        <v>208</v>
      </c>
      <c r="J32" s="5" t="n">
        <v>4.6</v>
      </c>
      <c r="K32" s="5" t="inlineStr">
        <is>
          <t>https://amazon.com/dp/B09712X5CW</t>
        </is>
      </c>
      <c r="L32" s="183">
        <f>HYPERLINK(K32)</f>
        <v/>
      </c>
    </row>
    <row r="33" ht="17" customHeight="1" s="314">
      <c r="A33" s="17" t="n">
        <v>31</v>
      </c>
      <c r="B33" s="5" t="inlineStr">
        <is>
          <t>B08TBRDH7W</t>
        </is>
      </c>
      <c r="C33" s="5" t="inlineStr">
        <is>
          <t>TOPDON Scanner AD800BT V2.0, Bidirectional Scan Tool, Full Systems Diagnostic Tool for All Vehicles, Automotive Diagnostic Scanner for Car, 28+ Services, FCA AutoAuth, CANFD, 2 Years Free Update</t>
        </is>
      </c>
      <c r="D33" s="5" t="inlineStr">
        <is>
          <t>topdon</t>
        </is>
      </c>
      <c r="E33" s="5" t="inlineStr">
        <is>
          <t>Tablet</t>
        </is>
      </c>
      <c r="F33" s="6" t="n">
        <v>321.1128621291449</v>
      </c>
      <c r="G33" s="23" t="n">
        <v>183997.67</v>
      </c>
      <c r="H33" s="19" t="n">
        <v>573</v>
      </c>
      <c r="I33" s="19" t="n">
        <v>664</v>
      </c>
      <c r="J33" s="5" t="n">
        <v>4.4</v>
      </c>
      <c r="K33" s="5" t="inlineStr">
        <is>
          <t>https://amazon.com/dp/B08TBRDH7W</t>
        </is>
      </c>
      <c r="L33" s="183">
        <f>HYPERLINK(K33)</f>
        <v/>
      </c>
    </row>
    <row r="34" ht="17" customHeight="1" s="314">
      <c r="A34" s="17" t="n">
        <v>32</v>
      </c>
      <c r="B34" s="5" t="inlineStr">
        <is>
          <t>B00652G4TS</t>
        </is>
      </c>
      <c r="C34" s="5" t="inlineStr">
        <is>
          <t>BlueDriver Bluetooth Pro OBDII Scan Tool for iPhone &amp; Android - No Subscription Fee - OBD2 Car Scanner and Code Reader - Diagnose Check Engine, ABS, SRS, Airbag &amp; 7000+ Issues on Vehicles 1996+</t>
        </is>
      </c>
      <c r="D34" s="5" t="inlineStr">
        <is>
          <t>bluedriver</t>
        </is>
      </c>
      <c r="E34" s="5" t="inlineStr">
        <is>
          <t>Dongle</t>
        </is>
      </c>
      <c r="F34" s="6" t="n">
        <v>89.95980835380836</v>
      </c>
      <c r="G34" s="23" t="n">
        <v>183068.21</v>
      </c>
      <c r="H34" s="19" t="n">
        <v>2035</v>
      </c>
      <c r="I34" s="19" t="n">
        <v>62211</v>
      </c>
      <c r="J34" s="5" t="n">
        <v>4.5</v>
      </c>
      <c r="K34" s="5" t="inlineStr">
        <is>
          <t>https://amazon.com/dp/B00652G4TS</t>
        </is>
      </c>
      <c r="L34" s="183">
        <f>HYPERLINK(K34)</f>
        <v/>
      </c>
    </row>
    <row r="35" ht="17" customFormat="1" customHeight="1" s="29">
      <c r="A35" s="17" t="n">
        <v>33</v>
      </c>
      <c r="B35" s="5" t="inlineStr">
        <is>
          <t>B098LF38DS</t>
        </is>
      </c>
      <c r="C35" s="5" t="inlineStr">
        <is>
          <t>XTOOL D7 Bidirectional Scan Tool: 2026 Ai-Assisted OBD2 Scanner Diagnostic Tool with 36+ Resets, Full System Car Scanner with EPB, Injector Test, Throttle, Crank Sensor Relearn, FCA, CANFD &amp; DoIP</t>
        </is>
      </c>
      <c r="D35" s="5" t="inlineStr">
        <is>
          <t>xtool</t>
        </is>
      </c>
      <c r="E35" s="5" t="inlineStr">
        <is>
          <t>Tablet</t>
        </is>
      </c>
      <c r="F35" s="6" t="n">
        <v>402.4123234624146</v>
      </c>
      <c r="G35" s="23" t="n">
        <v>176659.01</v>
      </c>
      <c r="H35" s="19" t="n">
        <v>439</v>
      </c>
      <c r="I35" s="19" t="n">
        <v>1648</v>
      </c>
      <c r="J35" s="5" t="n">
        <v>4.4</v>
      </c>
      <c r="K35" s="5" t="inlineStr">
        <is>
          <t>https://amazon.com/dp/B098LF38DS</t>
        </is>
      </c>
      <c r="L35" s="163">
        <f>HYPERLINK(K35)</f>
        <v/>
      </c>
    </row>
    <row r="36" ht="17" customHeight="1" s="314">
      <c r="A36" s="17" t="n">
        <v>34</v>
      </c>
      <c r="B36" s="5" t="inlineStr">
        <is>
          <t>B073CQMF25</t>
        </is>
      </c>
      <c r="C36" s="5" t="inlineStr">
        <is>
          <t>Autel Scanner MaxiCOM MK900: 2026 Updated as MK900BT MK900-BT MX900 Bidirectional Diagnostic Tool, 8in Up of MK808S MK808BT Pro MX808S 808Z, 3K+ Active Tests, 40+ Service, CAN-FD&amp;DOIP, All System, FCA</t>
        </is>
      </c>
      <c r="D36" s="5" t="inlineStr">
        <is>
          <t>autel</t>
        </is>
      </c>
      <c r="E36" s="5" t="inlineStr">
        <is>
          <t>Tablet</t>
        </is>
      </c>
      <c r="F36" s="6" t="n">
        <v>559.1208823529412</v>
      </c>
      <c r="G36" s="23" t="n">
        <v>171090.99</v>
      </c>
      <c r="H36" s="19" t="n">
        <v>306</v>
      </c>
      <c r="I36" s="19" t="n">
        <v>371</v>
      </c>
      <c r="J36" s="5" t="n">
        <v>4.4</v>
      </c>
      <c r="K36" s="5" t="inlineStr">
        <is>
          <t>https://amazon.com/dp/B073CQMF25</t>
        </is>
      </c>
      <c r="L36" s="183">
        <f>HYPERLINK(K36)</f>
        <v/>
      </c>
    </row>
    <row r="37" ht="17" customHeight="1" s="314">
      <c r="A37" s="17" t="n">
        <v>35</v>
      </c>
      <c r="B37" s="5" t="inlineStr">
        <is>
          <t>B0DTTTJWYH</t>
        </is>
      </c>
      <c r="C37" s="5" t="inlineStr">
        <is>
          <t>Launch X431 PRO3 V+ Elite, 2026 SmartlinkC 2.0 Bidirectional Scan Tool with J2534 Portocol, HD Trucks Scanner, 10.1 inch, Topology Map, 60+Service, Online Code, CANFD/DoIP/D-PDU, FCA, 2 Yrs Update</t>
        </is>
      </c>
      <c r="D37" s="5" t="inlineStr">
        <is>
          <t>launch</t>
        </is>
      </c>
      <c r="E37" s="5" t="inlineStr">
        <is>
          <t>Tablet</t>
        </is>
      </c>
      <c r="F37" s="6" t="n">
        <v>1343.731951219512</v>
      </c>
      <c r="G37" s="23" t="n">
        <v>165279.03</v>
      </c>
      <c r="H37" s="19" t="n">
        <v>123</v>
      </c>
      <c r="I37" s="19" t="n">
        <v>96</v>
      </c>
      <c r="J37" s="5" t="n">
        <v>4.6</v>
      </c>
      <c r="K37" s="5" t="inlineStr">
        <is>
          <t>https://amazon.com/dp/B0DTTTJWYH</t>
        </is>
      </c>
      <c r="L37" s="207">
        <f>HYPERLINK(K37)</f>
        <v/>
      </c>
    </row>
    <row r="38" ht="17" customHeight="1" s="314">
      <c r="A38" s="17" t="n">
        <v>36</v>
      </c>
      <c r="B38" s="5" t="inlineStr">
        <is>
          <t>B07PGYY8SS</t>
        </is>
      </c>
      <c r="C38" s="5" t="inlineStr">
        <is>
          <t>Autel Scanner MaxiCOM MK900BT: 2026 8in MK900-BT V2.0 Bidirectional Scan Tool, 33ft BT Ver. of MK900 MX900 MK808S MK808BT PRO MX808S MK808Z, 40+ Service, 3K+ Active Tests, DOIP CANFD, All System, FCA</t>
        </is>
      </c>
      <c r="D38" s="5" t="inlineStr">
        <is>
          <t>autel</t>
        </is>
      </c>
      <c r="E38" s="5" t="inlineStr">
        <is>
          <t>Tablet</t>
        </is>
      </c>
      <c r="F38" s="6" t="n">
        <v>658.3173469387755</v>
      </c>
      <c r="G38" s="23" t="n">
        <v>161287.75</v>
      </c>
      <c r="H38" s="19" t="n">
        <v>245</v>
      </c>
      <c r="I38" s="19" t="n">
        <v>173</v>
      </c>
      <c r="J38" s="5" t="n">
        <v>4.5</v>
      </c>
      <c r="K38" s="5" t="inlineStr">
        <is>
          <t>https://amazon.com/dp/B07PGYY8SS</t>
        </is>
      </c>
      <c r="L38" s="207">
        <f>HYPERLINK(K38)</f>
        <v/>
      </c>
    </row>
    <row r="39" ht="17" customHeight="1" s="314">
      <c r="A39" s="17" t="n">
        <v>37</v>
      </c>
      <c r="B39" s="5" t="inlineStr">
        <is>
          <t>B09N9RMVFP</t>
        </is>
      </c>
      <c r="C39" s="5" t="inlineStr">
        <is>
          <t>Z Automotive Tazer Mini Programmer | Fits 2018-2026 Jeep Wrangler JL and Gladiator JT | Customize Over 70 Settings | Activates Anti-Theft Pin Lock, Rock Crawl, Winch Mode and More!</t>
        </is>
      </c>
      <c r="D39" s="5" t="inlineStr">
        <is>
          <t>z automotive</t>
        </is>
      </c>
      <c r="E39" s="5" t="inlineStr">
        <is>
          <t>Dongle</t>
        </is>
      </c>
      <c r="F39" s="6" t="n">
        <v>328.8725357873211</v>
      </c>
      <c r="G39" s="23" t="n">
        <v>160818.67</v>
      </c>
      <c r="H39" s="19" t="n">
        <v>489</v>
      </c>
      <c r="I39" s="19" t="n">
        <v>985</v>
      </c>
      <c r="J39" s="5" t="n">
        <v>4.6</v>
      </c>
      <c r="K39" s="5" t="inlineStr">
        <is>
          <t>https://amazon.com/dp/B09N9RMVFP</t>
        </is>
      </c>
      <c r="L39" s="183">
        <f>HYPERLINK(K39)</f>
        <v/>
      </c>
    </row>
    <row r="40" ht="17" customHeight="1" s="314">
      <c r="A40" s="17" t="n">
        <v>38</v>
      </c>
      <c r="B40" s="5" t="inlineStr">
        <is>
          <t>B073XKQQQW</t>
        </is>
      </c>
      <c r="C40" s="5" t="inlineStr">
        <is>
          <t>Veepeak OBDCheck BLE Bluetooth OBD II Scanner for iOS &amp; Android, Car Wireless Check Engine Light Code Reader Diagnostic Tool</t>
        </is>
      </c>
      <c r="D40" s="5" t="inlineStr">
        <is>
          <t>veepeak</t>
        </is>
      </c>
      <c r="E40" s="5" t="inlineStr">
        <is>
          <t>Dongle</t>
        </is>
      </c>
      <c r="F40" s="6" t="n">
        <v>31.51586355616546</v>
      </c>
      <c r="G40" s="23" t="n">
        <v>160762.42</v>
      </c>
      <c r="H40" s="19" t="n">
        <v>5101</v>
      </c>
      <c r="I40" s="19" t="n">
        <v>23468</v>
      </c>
      <c r="J40" s="5" t="n">
        <v>4.5</v>
      </c>
      <c r="K40" s="5" t="inlineStr">
        <is>
          <t>https://amazon.com/dp/B073XKQQQW</t>
        </is>
      </c>
      <c r="L40" s="183">
        <f>HYPERLINK(K40)</f>
        <v/>
      </c>
    </row>
    <row r="41" ht="17" customHeight="1" s="314">
      <c r="A41" s="17" t="n">
        <v>39</v>
      </c>
      <c r="B41" s="5" t="inlineStr">
        <is>
          <t>B0D7VS8SHS</t>
        </is>
      </c>
      <c r="C41" s="5" t="inlineStr">
        <is>
          <t>LAUNCH X431 PRO3S+ Elite, 2026 All-in-One Bidirectional Scan Tool with J2534 Protocols, HD Trucks Scanner, Topology Map, 60+Service, ECU Code Full Function Scanner, CANFD/DoIP/D-PDU/FCA, 2 Yrs Update</t>
        </is>
      </c>
      <c r="D41" s="5" t="inlineStr">
        <is>
          <t>launch</t>
        </is>
      </c>
      <c r="E41" s="5" t="inlineStr">
        <is>
          <t>Tablet</t>
        </is>
      </c>
      <c r="F41" s="6" t="n">
        <v>1260.146721311475</v>
      </c>
      <c r="G41" s="23" t="n">
        <v>153737.9</v>
      </c>
      <c r="H41" s="19" t="n">
        <v>122</v>
      </c>
      <c r="I41" s="19" t="n">
        <v>157</v>
      </c>
      <c r="J41" s="5" t="n">
        <v>4.3</v>
      </c>
      <c r="K41" s="5" t="inlineStr">
        <is>
          <t>https://amazon.com/dp/B0D7VS8SHS</t>
        </is>
      </c>
      <c r="L41" s="183">
        <f>HYPERLINK(K41)</f>
        <v/>
      </c>
    </row>
    <row r="42" ht="17" customHeight="1" s="314">
      <c r="A42" s="17" t="n">
        <v>40</v>
      </c>
      <c r="B42" s="5" t="inlineStr">
        <is>
          <t>B0CJDTPDPB</t>
        </is>
      </c>
      <c r="C42" s="5" t="inlineStr">
        <is>
          <t>LAUNCH X431 CRP919XBT OBD2 Scanner, 2026 Wireless Bidirectional Scan Tool with ECU Coding, 35+ Services, All Systems Diagnostic, FCA AutoAuth, 2Yrs Free Update, V.A.G Guide, CANFD, Upgraded of CRP919X</t>
        </is>
      </c>
      <c r="D42" s="5" t="inlineStr">
        <is>
          <t>launch</t>
        </is>
      </c>
      <c r="E42" s="5" t="inlineStr">
        <is>
          <t>Tablet</t>
        </is>
      </c>
      <c r="F42" s="6" t="n">
        <v>502.6669836065574</v>
      </c>
      <c r="G42" s="23" t="n">
        <v>153313.43</v>
      </c>
      <c r="H42" s="19" t="n">
        <v>305</v>
      </c>
      <c r="I42" s="19" t="n">
        <v>381</v>
      </c>
      <c r="J42" s="5" t="n">
        <v>4.4</v>
      </c>
      <c r="K42" s="5" t="inlineStr">
        <is>
          <t>https://amazon.com/dp/B0CJDTPDPB</t>
        </is>
      </c>
      <c r="L42" s="207">
        <f>HYPERLINK(K42)</f>
        <v/>
      </c>
    </row>
    <row r="43" ht="17" customHeight="1" s="314">
      <c r="A43" s="17" t="n">
        <v>41</v>
      </c>
      <c r="B43" s="5" t="inlineStr">
        <is>
          <t>B0CTHJW813</t>
        </is>
      </c>
      <c r="C43" s="5" t="inlineStr">
        <is>
          <t>TOPDON Upgraded AD600S OBD2 Scanner, Diagnostic Tool, ABS SRS Transmission Engine Code Reader, 9 Reset Services Scan Tool, Oil/Brake/BMS/SAS/DPF/TPMS/ETS Reset, Injector Coding, Lifetime Free Update</t>
        </is>
      </c>
      <c r="D43" s="5" t="inlineStr">
        <is>
          <t>topdon</t>
        </is>
      </c>
      <c r="E43" s="5" t="inlineStr">
        <is>
          <t>Tablet</t>
        </is>
      </c>
      <c r="F43" s="6" t="n">
        <v>196.5306924101198</v>
      </c>
      <c r="G43" s="23" t="n">
        <v>147594.55</v>
      </c>
      <c r="H43" s="19" t="n">
        <v>751</v>
      </c>
      <c r="I43" s="19" t="n">
        <v>876</v>
      </c>
      <c r="J43" s="5" t="n">
        <v>4.5</v>
      </c>
      <c r="K43" s="5" t="inlineStr">
        <is>
          <t>https://amazon.com/dp/B0CTHJW813</t>
        </is>
      </c>
      <c r="L43" s="183">
        <f>HYPERLINK(K43)</f>
        <v/>
      </c>
    </row>
    <row r="44" ht="17" customHeight="1" s="314">
      <c r="A44" s="17" t="n">
        <v>42</v>
      </c>
      <c r="B44" s="5" t="inlineStr">
        <is>
          <t>B08V59JNYP</t>
        </is>
      </c>
      <c r="C44" s="5" t="inlineStr">
        <is>
          <t>LAUNCH X431 PRO3S+ Smartlink HD Heavy Duty Truck Scanner,2026 Diesel&amp;Gasoline Bidirectional Diagnostic Scan Tool with J2534 Protocols,Topology Map,60+Service,ECU Code,CANFD &amp;DOIP,2 Yrs Free Update</t>
        </is>
      </c>
      <c r="D44" s="5" t="inlineStr">
        <is>
          <t>launch</t>
        </is>
      </c>
      <c r="E44" s="5" t="inlineStr">
        <is>
          <t>Tablet</t>
        </is>
      </c>
      <c r="F44" s="6" t="n">
        <v>1909.047012987013</v>
      </c>
      <c r="G44" s="23" t="n">
        <v>146996.62</v>
      </c>
      <c r="H44" s="19" t="n">
        <v>77</v>
      </c>
      <c r="I44" s="19" t="n">
        <v>180</v>
      </c>
      <c r="J44" s="5" t="n">
        <v>4.2</v>
      </c>
      <c r="K44" s="5" t="inlineStr">
        <is>
          <t>https://amazon.com/dp/B08V59JNYP</t>
        </is>
      </c>
      <c r="L44" s="183">
        <f>HYPERLINK(K44)</f>
        <v/>
      </c>
    </row>
    <row r="45" ht="17" customHeight="1" s="314">
      <c r="A45" s="17" t="n">
        <v>43</v>
      </c>
      <c r="B45" s="5" t="inlineStr">
        <is>
          <t>B08XK3DJ42</t>
        </is>
      </c>
      <c r="C45" s="5" t="inlineStr">
        <is>
          <t>TOPDON AD500 OBD2 Scanner, Oil SAS Throttle TPMS BMS EPB Reset, Engine ABS SRS Transmission, Diagnostic Scan Tool, AutoVIN, Car Check Engine Code Reader with Battery Test, Lifetime Wi-Fi Free Update</t>
        </is>
      </c>
      <c r="D45" s="5" t="inlineStr">
        <is>
          <t>topdon</t>
        </is>
      </c>
      <c r="E45" s="5" t="inlineStr">
        <is>
          <t>Tablet</t>
        </is>
      </c>
      <c r="F45" s="6" t="n">
        <v>158.4307592190889</v>
      </c>
      <c r="G45" s="23" t="n">
        <v>146073.16</v>
      </c>
      <c r="H45" s="19" t="n">
        <v>922</v>
      </c>
      <c r="I45" s="19" t="n">
        <v>1727</v>
      </c>
      <c r="J45" s="5" t="n">
        <v>4.5</v>
      </c>
      <c r="K45" s="5" t="inlineStr">
        <is>
          <t>https://amazon.com/dp/B08XK3DJ42</t>
        </is>
      </c>
      <c r="L45" s="183">
        <f>HYPERLINK(K45)</f>
        <v/>
      </c>
    </row>
    <row r="46" ht="17" customHeight="1" s="314">
      <c r="A46" s="17" t="n">
        <v>44</v>
      </c>
      <c r="B46" s="5" t="inlineStr">
        <is>
          <t>B0FY7MYBX7</t>
        </is>
      </c>
      <c r="C46" s="5" t="inlineStr">
        <is>
          <t>HPT MPVI4 Diagnostic Code Reader Scanner and Tool</t>
        </is>
      </c>
      <c r="D46" s="5" t="inlineStr">
        <is>
          <t>generic</t>
        </is>
      </c>
      <c r="E46" s="5" t="inlineStr">
        <is>
          <t>Dongle</t>
        </is>
      </c>
      <c r="F46" s="6" t="n">
        <v>400.4040771349862</v>
      </c>
      <c r="G46" s="23" t="n">
        <v>145346.68</v>
      </c>
      <c r="H46" s="19" t="n">
        <v>363</v>
      </c>
      <c r="I46" s="19" t="n">
        <v>31</v>
      </c>
      <c r="J46" s="5" t="n">
        <v>4.8</v>
      </c>
      <c r="K46" s="5" t="inlineStr">
        <is>
          <t>https://amazon.com/dp/B0FY7MYBX7</t>
        </is>
      </c>
      <c r="L46" s="183">
        <f>HYPERLINK(K46)</f>
        <v/>
      </c>
    </row>
    <row r="47" ht="17" customHeight="1" s="314">
      <c r="A47" s="17" t="n">
        <v>45</v>
      </c>
      <c r="B47" s="5" t="inlineStr">
        <is>
          <t>B08DCNDFVK</t>
        </is>
      </c>
      <c r="C47" s="5" t="inlineStr">
        <is>
          <t>2026 FOXWELL NT614 Elite OBD2 Scanner with 5 Resets ABS Bleeding, SAS Calibration, Oil, EPB, Throttle, Upgrade of NT604 Code Reader Scan Tools, ABS SRS Engine Transmission Battery Test Car Scanner</t>
        </is>
      </c>
      <c r="D47" s="5" t="inlineStr">
        <is>
          <t>foxwell</t>
        </is>
      </c>
      <c r="E47" s="5" t="inlineStr">
        <is>
          <t>Tablet</t>
        </is>
      </c>
      <c r="F47" s="6" t="n">
        <v>172.0034824667473</v>
      </c>
      <c r="G47" s="23" t="n">
        <v>142246.88</v>
      </c>
      <c r="H47" s="19" t="n">
        <v>827</v>
      </c>
      <c r="I47" s="19" t="n">
        <v>714</v>
      </c>
      <c r="J47" s="5" t="n">
        <v>4.3</v>
      </c>
      <c r="K47" s="5" t="inlineStr">
        <is>
          <t>https://amazon.com/dp/B08DCNDFVK</t>
        </is>
      </c>
      <c r="L47" s="183">
        <f>HYPERLINK(K47)</f>
        <v/>
      </c>
    </row>
    <row r="48" ht="17" customHeight="1" s="314">
      <c r="A48" s="17" t="n">
        <v>46</v>
      </c>
      <c r="B48" s="5" t="inlineStr">
        <is>
          <t>B07MBSZH48</t>
        </is>
      </c>
      <c r="C48" s="5" t="inlineStr">
        <is>
          <t>Autel Scanner MaxiCOM MK808BT PRO, 2026 Bidirectional Tool as MK900BT, Up Ver. of MK900 MaxiCheck MX900 MK808S MX808S, 3000+ Test, 28+ Service, All System Diagnostic, Injector Coding, FCA Android 11</t>
        </is>
      </c>
      <c r="D48" s="5" t="inlineStr">
        <is>
          <t>autel</t>
        </is>
      </c>
      <c r="E48" s="5" t="inlineStr">
        <is>
          <t>Tablet</t>
        </is>
      </c>
      <c r="F48" s="6" t="n">
        <v>548.6857421875</v>
      </c>
      <c r="G48" s="23" t="n">
        <v>140463.55</v>
      </c>
      <c r="H48" s="19" t="n">
        <v>256</v>
      </c>
      <c r="I48" s="19" t="n">
        <v>1785</v>
      </c>
      <c r="J48" s="5" t="n">
        <v>4.6</v>
      </c>
      <c r="K48" s="5" t="inlineStr">
        <is>
          <t>https://amazon.com/dp/B07MBSZH48</t>
        </is>
      </c>
      <c r="L48" s="183">
        <f>HYPERLINK(K48)</f>
        <v/>
      </c>
    </row>
    <row r="49" ht="17" customFormat="1" customHeight="1" s="162">
      <c r="A49" s="17" t="n">
        <v>47</v>
      </c>
      <c r="B49" s="5" t="inlineStr">
        <is>
          <t>B0DCFF7VGF</t>
        </is>
      </c>
      <c r="C49" s="5" t="inlineStr">
        <is>
          <t>THINKCAR THINKSCAN 689 OBD2 Scanner, Bidirectional Scan Tool with Lifetime Free Update, 34+ Reset, 3000+ Active Test, ECU Coding, PMI, Wired All System Diagnostic Scanner for Cars, CANFD/DOIP, FCA SGW</t>
        </is>
      </c>
      <c r="D49" s="5" t="inlineStr">
        <is>
          <t>thinkcar</t>
        </is>
      </c>
      <c r="E49" s="5" t="inlineStr">
        <is>
          <t>Tablet</t>
        </is>
      </c>
      <c r="F49" s="6" t="n">
        <v>438.63075</v>
      </c>
      <c r="G49" s="23" t="n">
        <v>140361.84</v>
      </c>
      <c r="H49" s="19" t="n">
        <v>320</v>
      </c>
      <c r="I49" s="19" t="n">
        <v>281</v>
      </c>
      <c r="J49" s="5" t="n">
        <v>4.3</v>
      </c>
      <c r="K49" s="5" t="inlineStr">
        <is>
          <t>https://amazon.com/dp/B0DCFF7VGF</t>
        </is>
      </c>
      <c r="L49" s="163">
        <f>HYPERLINK(K49)</f>
        <v/>
      </c>
    </row>
    <row r="50" ht="17" customHeight="1" s="314">
      <c r="A50" s="17" t="n">
        <v>48</v>
      </c>
      <c r="B50" s="5" t="inlineStr">
        <is>
          <t>B0GDY7WJB7</t>
        </is>
      </c>
      <c r="C50" s="5" t="inlineStr">
        <is>
          <t>Autel MaxiCOM MK900 Bidirectional Scanner: 2026 Up of MaxiCheck MX808S MK808S, Work as MK900-BT MK900BT MX900 OBD2 Diagnostic Tool w/ 3000+ Active Test, 40+ Service, CAN-FD&amp;DOIP, All System, FCA 11 OS</t>
        </is>
      </c>
      <c r="D50" s="5" t="inlineStr">
        <is>
          <t>autel</t>
        </is>
      </c>
      <c r="E50" s="5" t="inlineStr">
        <is>
          <t>Tablet</t>
        </is>
      </c>
      <c r="F50" s="6" t="n">
        <v>589.6067948717948</v>
      </c>
      <c r="G50" s="23" t="n">
        <v>137967.99</v>
      </c>
      <c r="H50" s="19" t="n">
        <v>234</v>
      </c>
      <c r="I50" s="19" t="n">
        <v>23</v>
      </c>
      <c r="J50" s="5" t="n">
        <v>5</v>
      </c>
      <c r="K50" s="5" t="inlineStr">
        <is>
          <t>https://amazon.com/dp/B0GDY7WJB7</t>
        </is>
      </c>
      <c r="L50" s="183">
        <f>HYPERLINK(K50)</f>
        <v/>
      </c>
    </row>
    <row r="51" ht="17" customHeight="1" s="314">
      <c r="A51" s="17" t="n">
        <v>49</v>
      </c>
      <c r="B51" s="5" t="inlineStr">
        <is>
          <t>B092YL7M8P</t>
        </is>
      </c>
      <c r="C51" s="5" t="inlineStr">
        <is>
          <t>Launch X431 PROS Elite 2026 New Bidirectional Scan Tool, 38+ Services, ECU Coding, All-in-One Full System Diagnostic Scanner, Support CANFD&amp;DoIP, FCA AutoAuth, V.A.G Guided, 2 Years Free Update</t>
        </is>
      </c>
      <c r="D51" s="5" t="inlineStr">
        <is>
          <t>launch</t>
        </is>
      </c>
      <c r="E51" s="5" t="inlineStr">
        <is>
          <t>Tablet</t>
        </is>
      </c>
      <c r="F51" s="6" t="n">
        <v>629.9384186046512</v>
      </c>
      <c r="G51" s="23" t="n">
        <v>135436.76</v>
      </c>
      <c r="H51" s="19" t="n">
        <v>215</v>
      </c>
      <c r="I51" s="19" t="n">
        <v>386</v>
      </c>
      <c r="J51" s="5" t="n">
        <v>4.5</v>
      </c>
      <c r="K51" s="5" t="inlineStr">
        <is>
          <t>https://amazon.com/dp/B092YL7M8P</t>
        </is>
      </c>
      <c r="L51" s="183">
        <f>HYPERLINK(K51)</f>
        <v/>
      </c>
    </row>
    <row r="52" ht="17" customHeight="1" s="314">
      <c r="A52" s="17" t="n">
        <v>50</v>
      </c>
      <c r="B52" s="5" t="inlineStr">
        <is>
          <t>B013RIQMEO</t>
        </is>
      </c>
      <c r="C52" s="5" t="inlineStr">
        <is>
          <t>FIXD Bluetooth OBD2 Scanner for iPhone &amp; Android - Diagnostic Scan Tool for Repairs and Car Buying - Check Engine Code Reader &amp; Enhanced Codes - (1 Pack w/Free 14-Day FIXD Premium Bundle)</t>
        </is>
      </c>
      <c r="D52" s="5" t="inlineStr">
        <is>
          <t>fixd</t>
        </is>
      </c>
      <c r="E52" s="5" t="inlineStr">
        <is>
          <t>Dongle</t>
        </is>
      </c>
      <c r="F52" s="6" t="n">
        <v>39.98986600186974</v>
      </c>
      <c r="G52" s="23" t="n">
        <v>128327.48</v>
      </c>
      <c r="H52" s="19" t="n">
        <v>3209</v>
      </c>
      <c r="I52" s="19" t="n">
        <v>35039</v>
      </c>
      <c r="J52" s="5" t="n">
        <v>4.2</v>
      </c>
      <c r="K52" s="5" t="inlineStr">
        <is>
          <t>https://amazon.com/dp/B013RIQMEO</t>
        </is>
      </c>
      <c r="L52" s="183">
        <f>HYPERLINK(K52)</f>
        <v/>
      </c>
    </row>
    <row r="53">
      <c r="E53" s="6" t="n"/>
      <c r="F53" s="6" t="n"/>
      <c r="G53" s="19" t="n"/>
      <c r="H53" s="19" t="n"/>
      <c r="J53" s="28" t="n"/>
    </row>
    <row r="54">
      <c r="E54" s="6" t="n"/>
      <c r="F54" s="6" t="n"/>
      <c r="G54" s="19" t="n"/>
      <c r="H54" s="19" t="n"/>
    </row>
    <row r="55" ht="26" customHeight="1" s="314">
      <c r="A55" s="313" t="inlineStr">
        <is>
          <t>Rank By Monthly Units - Apr '26 ONLY</t>
        </is>
      </c>
    </row>
    <row r="56">
      <c r="A56" s="105" t="inlineStr">
        <is>
          <t>Ranking</t>
        </is>
      </c>
      <c r="B56" s="106" t="inlineStr">
        <is>
          <t>ASIN</t>
        </is>
      </c>
      <c r="C56" s="106" t="inlineStr">
        <is>
          <t>Product Name</t>
        </is>
      </c>
      <c r="D56" s="106" t="inlineStr">
        <is>
          <t>Brand</t>
        </is>
      </c>
      <c r="E56" s="106" t="inlineStr">
        <is>
          <t>Type</t>
        </is>
      </c>
      <c r="F56" s="107" t="inlineStr">
        <is>
          <t>Price</t>
        </is>
      </c>
      <c r="G56" s="108" t="inlineStr">
        <is>
          <t>Est. Monthly Retail Rev</t>
        </is>
      </c>
      <c r="H56" s="109" t="inlineStr">
        <is>
          <t>Est. Monthly Units Sold</t>
        </is>
      </c>
      <c r="I56" s="110" t="inlineStr">
        <is>
          <t># of Reviews</t>
        </is>
      </c>
      <c r="J56" s="338" t="inlineStr">
        <is>
          <t>Avg. Rating</t>
        </is>
      </c>
      <c r="K56" s="338" t="inlineStr">
        <is>
          <t>Column2</t>
        </is>
      </c>
      <c r="L56" s="338" t="inlineStr">
        <is>
          <t>Link</t>
        </is>
      </c>
    </row>
    <row r="57" ht="17" customHeight="1" s="314">
      <c r="A57" s="17" t="n">
        <v>1</v>
      </c>
      <c r="B57" s="5" t="inlineStr">
        <is>
          <t>B01G5EA74I</t>
        </is>
      </c>
      <c r="C57" s="339" t="inlineStr">
        <is>
          <t>ANCEL AD310 Classic Enhanced Universal OBD II Scanner Car Engine Fault Code Reader CAN Diagnostic Scan Tool, Read and Clear Error Codes for 1996 or Newer OBD2 Protocol Vehicle (Black)</t>
        </is>
      </c>
      <c r="D57" s="340" t="inlineStr">
        <is>
          <t>ancel</t>
        </is>
      </c>
      <c r="E57" s="340" t="inlineStr">
        <is>
          <t>Handheld</t>
        </is>
      </c>
      <c r="F57" s="6" t="n">
        <v>28.93877341320998</v>
      </c>
      <c r="G57" s="6" t="n">
        <v>763231.21</v>
      </c>
      <c r="H57" s="244" t="n">
        <v>26374</v>
      </c>
      <c r="I57" s="19" t="n">
        <v>63860</v>
      </c>
      <c r="J57" s="5" t="n">
        <v>4.6</v>
      </c>
      <c r="K57" s="5" t="inlineStr">
        <is>
          <t>https://amazon.com/dp/B01G5EA74I</t>
        </is>
      </c>
      <c r="L57" s="183">
        <f>HYPERLINK(K57)</f>
        <v/>
      </c>
    </row>
    <row r="58" ht="17" customHeight="1" s="314">
      <c r="A58" s="17" t="n">
        <v>2</v>
      </c>
      <c r="B58" s="5" t="inlineStr">
        <is>
          <t>B07Z3HB7DR</t>
        </is>
      </c>
      <c r="C58" s="339" t="inlineStr">
        <is>
          <t>MOTOPOWER MP69033 Car OBD2 Scanner Code Reader Engine Fault Scanner CAN Diagnostic Scan Tool for All OBD II Protocol Cars Since 1996, Yellow</t>
        </is>
      </c>
      <c r="D58" s="340" t="inlineStr">
        <is>
          <t>motopower</t>
        </is>
      </c>
      <c r="E58" s="340" t="inlineStr">
        <is>
          <t>Handheld</t>
        </is>
      </c>
      <c r="F58" s="6" t="n">
        <v>20.86620090572252</v>
      </c>
      <c r="G58" s="6" t="n">
        <v>253420.01</v>
      </c>
      <c r="H58" s="244" t="n">
        <v>12145</v>
      </c>
      <c r="I58" s="19" t="n">
        <v>50750</v>
      </c>
      <c r="J58" s="5" t="n">
        <v>4.6</v>
      </c>
      <c r="K58" s="5" t="inlineStr">
        <is>
          <t>https://amazon.com/dp/B07Z3HB7DR</t>
        </is>
      </c>
      <c r="L58" s="183">
        <f>HYPERLINK(K58)</f>
        <v/>
      </c>
    </row>
    <row r="59" ht="17" customHeight="1" s="314">
      <c r="A59" s="17" t="n">
        <v>3</v>
      </c>
      <c r="B59" s="5" t="inlineStr">
        <is>
          <t>B0BY1TS725</t>
        </is>
      </c>
      <c r="C59" s="339" t="inlineStr">
        <is>
          <t>VDIAGTOOL VD10 OBD2 Scanner Code Reader Car Diagnostic Tool Engine Fault Code Reader for Turn Off CEL with Freeze Frame/I/M Readiness for All OBDII Protocol Cars, OBD2 Scanner Diagnostic Tool</t>
        </is>
      </c>
      <c r="D59" s="340" t="inlineStr">
        <is>
          <t>vdiagtool</t>
        </is>
      </c>
      <c r="E59" s="340" t="inlineStr">
        <is>
          <t>Handheld</t>
        </is>
      </c>
      <c r="F59" s="6" t="n">
        <v>16.26340530242896</v>
      </c>
      <c r="G59" s="6" t="n">
        <v>102443.19</v>
      </c>
      <c r="H59" s="244" t="n">
        <v>6299</v>
      </c>
      <c r="I59" s="19" t="n">
        <v>2555</v>
      </c>
      <c r="J59" s="5" t="n">
        <v>4.6</v>
      </c>
      <c r="K59" s="5" t="inlineStr">
        <is>
          <t>https://amazon.com/dp/B0BY1TS725</t>
        </is>
      </c>
      <c r="L59" s="183">
        <f>HYPERLINK(K59)</f>
        <v/>
      </c>
    </row>
    <row r="60" ht="17" customHeight="1" s="314">
      <c r="A60" s="17" t="n">
        <v>4</v>
      </c>
      <c r="B60" s="5" t="inlineStr">
        <is>
          <t>B071FSNL73</t>
        </is>
      </c>
      <c r="C60" s="339" t="inlineStr">
        <is>
          <t>ANCEL AD410 Enhanced OBD2 Scanner, Vehicle Code Reader for Check Engine Light, Automotive OBD II Scanner Fault Diagnosis, OBDII Scan Tool for All OBDII Cars 1996+, Black/Yellow</t>
        </is>
      </c>
      <c r="D60" s="340" t="inlineStr">
        <is>
          <t>ancel</t>
        </is>
      </c>
      <c r="E60" s="340" t="inlineStr">
        <is>
          <t>Handheld</t>
        </is>
      </c>
      <c r="F60" s="6" t="n">
        <v>43.56900433622415</v>
      </c>
      <c r="G60" s="6" t="n">
        <v>261239.75</v>
      </c>
      <c r="H60" s="244" t="n">
        <v>5996</v>
      </c>
      <c r="I60" s="19" t="n">
        <v>15054</v>
      </c>
      <c r="J60" s="5" t="n">
        <v>4.5</v>
      </c>
      <c r="K60" s="5" t="inlineStr">
        <is>
          <t>https://amazon.com/dp/B071FSNL73</t>
        </is>
      </c>
      <c r="L60" s="183">
        <f>HYPERLINK(K60)</f>
        <v/>
      </c>
    </row>
    <row r="61" ht="17" customHeight="1" s="314">
      <c r="A61" s="17" t="n">
        <v>5</v>
      </c>
      <c r="B61" s="5" t="inlineStr">
        <is>
          <t>B081VQVD3F</t>
        </is>
      </c>
      <c r="C61" s="339" t="inlineStr">
        <is>
          <t>OBDLink EX FORScan OBD Adapter</t>
        </is>
      </c>
      <c r="D61" s="340" t="inlineStr">
        <is>
          <t>obdlink</t>
        </is>
      </c>
      <c r="E61" s="340" t="inlineStr">
        <is>
          <t>Cable/Adapter</t>
        </is>
      </c>
      <c r="F61" s="6" t="n">
        <v>69.9357231857215</v>
      </c>
      <c r="G61" s="6" t="n">
        <v>415348.26</v>
      </c>
      <c r="H61" s="244" t="n">
        <v>5939</v>
      </c>
      <c r="I61" s="19" t="n">
        <v>9945</v>
      </c>
      <c r="J61" s="5" t="n">
        <v>4.8</v>
      </c>
      <c r="K61" s="5" t="inlineStr">
        <is>
          <t>https://amazon.com/dp/B081VQVD3F</t>
        </is>
      </c>
      <c r="L61" s="183">
        <f>HYPERLINK(K61)</f>
        <v/>
      </c>
    </row>
    <row r="62" ht="17" customHeight="1" s="314">
      <c r="A62" s="17" t="n">
        <v>6</v>
      </c>
      <c r="B62" s="5" t="inlineStr">
        <is>
          <t>B07JFRFJG6</t>
        </is>
      </c>
      <c r="C62" s="339" t="inlineStr">
        <is>
          <t>OBDLink MX+ OBD2 Bluetooth Scanner for iPhone, Android, and Windows</t>
        </is>
      </c>
      <c r="D62" s="340" t="inlineStr">
        <is>
          <t>obdlink</t>
        </is>
      </c>
      <c r="E62" s="340" t="inlineStr">
        <is>
          <t>Dongle</t>
        </is>
      </c>
      <c r="F62" s="6" t="n">
        <v>139.9370678733032</v>
      </c>
      <c r="G62" s="6" t="n">
        <v>773152.3</v>
      </c>
      <c r="H62" s="244" t="n">
        <v>5525</v>
      </c>
      <c r="I62" s="19" t="n">
        <v>15161</v>
      </c>
      <c r="J62" s="5" t="n">
        <v>4.6</v>
      </c>
      <c r="K62" s="5" t="inlineStr">
        <is>
          <t>https://amazon.com/dp/B07JFRFJG6</t>
        </is>
      </c>
      <c r="L62" s="183">
        <f>HYPERLINK(K62)</f>
        <v/>
      </c>
    </row>
    <row r="63" ht="17" customHeight="1" s="314">
      <c r="A63" s="17" t="n">
        <v>7</v>
      </c>
      <c r="B63" s="5" t="inlineStr">
        <is>
          <t>B00UJV3E12</t>
        </is>
      </c>
      <c r="C63" s="339" t="inlineStr">
        <is>
          <t>FOXWELL NT301 OBD2 Scanner Live Data Professional Mechanic OBDII Diagnostic Code Reader Tool for Check Engine Light</t>
        </is>
      </c>
      <c r="D63" s="340" t="inlineStr">
        <is>
          <t>foxwell</t>
        </is>
      </c>
      <c r="E63" s="340" t="inlineStr">
        <is>
          <t>Handheld</t>
        </is>
      </c>
      <c r="F63" s="6" t="n">
        <v>65.66388878793386</v>
      </c>
      <c r="G63" s="6" t="n">
        <v>361348.38</v>
      </c>
      <c r="H63" s="244" t="n">
        <v>5503</v>
      </c>
      <c r="I63" s="19" t="n">
        <v>29739</v>
      </c>
      <c r="J63" s="5" t="n">
        <v>4.5</v>
      </c>
      <c r="K63" s="5" t="inlineStr">
        <is>
          <t>https://amazon.com/dp/B00UJV3E12</t>
        </is>
      </c>
      <c r="L63" s="183">
        <f>HYPERLINK(K63)</f>
        <v/>
      </c>
    </row>
    <row r="64" ht="17" customHeight="1" s="314">
      <c r="A64" s="17" t="n">
        <v>8</v>
      </c>
      <c r="B64" s="5" t="inlineStr">
        <is>
          <t>B073XKQQQW</t>
        </is>
      </c>
      <c r="C64" s="339" t="inlineStr">
        <is>
          <t>Veepeak OBDCheck BLE Bluetooth OBD II Scanner for iOS &amp; Android, Car Wireless Check Engine Light Code Reader Diagnostic Tool</t>
        </is>
      </c>
      <c r="D64" s="340" t="inlineStr">
        <is>
          <t>veepeak</t>
        </is>
      </c>
      <c r="E64" s="340" t="inlineStr">
        <is>
          <t>Dongle</t>
        </is>
      </c>
      <c r="F64" s="6" t="n">
        <v>31.51586355616546</v>
      </c>
      <c r="G64" s="6" t="n">
        <v>160762.42</v>
      </c>
      <c r="H64" s="244" t="n">
        <v>5101</v>
      </c>
      <c r="I64" s="19" t="n">
        <v>23468</v>
      </c>
      <c r="J64" s="5" t="n">
        <v>4.5</v>
      </c>
      <c r="K64" s="5" t="inlineStr">
        <is>
          <t>https://amazon.com/dp/B073XKQQQW</t>
        </is>
      </c>
      <c r="L64" s="183">
        <f>HYPERLINK(K64)</f>
        <v/>
      </c>
    </row>
    <row r="65" ht="17" customHeight="1" s="314">
      <c r="A65" s="17" t="n">
        <v>9</v>
      </c>
      <c r="B65" s="5" t="inlineStr">
        <is>
          <t>B07Z481NJM</t>
        </is>
      </c>
      <c r="C65" s="339" t="inlineStr">
        <is>
          <t>Innova 5610 OBD2 Bidirectional Scan Tool - Understand Your Vehicle, Pinpoint What's Wrong, and Complete Your Repairs with Less Headache, Updates Included, US-Based Technical Support</t>
        </is>
      </c>
      <c r="D65" s="340" t="inlineStr">
        <is>
          <t>innova</t>
        </is>
      </c>
      <c r="E65" s="340" t="inlineStr">
        <is>
          <t>Handheld</t>
        </is>
      </c>
      <c r="F65" s="6" t="n">
        <v>292.6118611449452</v>
      </c>
      <c r="G65" s="6" t="n">
        <v>1201171.69</v>
      </c>
      <c r="H65" s="244" t="n">
        <v>4105</v>
      </c>
      <c r="I65" s="19" t="n">
        <v>3435</v>
      </c>
      <c r="J65" s="5" t="n">
        <v>4.4</v>
      </c>
      <c r="K65" s="5" t="inlineStr">
        <is>
          <t>https://amazon.com/dp/B07Z481NJM</t>
        </is>
      </c>
      <c r="L65" s="183">
        <f>HYPERLINK(K65)</f>
        <v/>
      </c>
    </row>
    <row r="66" ht="17" customHeight="1" s="314">
      <c r="A66" s="17" t="n">
        <v>10</v>
      </c>
      <c r="B66" s="5" t="inlineStr">
        <is>
          <t>B08NFLL3NT</t>
        </is>
      </c>
      <c r="C66" s="339" t="inlineStr">
        <is>
          <t>OBDLink CX Bimmercode Bluetooth 5.1 OBD2 Adapter for BMW/Mini, Works with iPhone/iOS &amp; Android, Car Coding, OBD II Diagnostic Scanner</t>
        </is>
      </c>
      <c r="D66" s="340" t="inlineStr">
        <is>
          <t>obdlink</t>
        </is>
      </c>
      <c r="E66" s="340" t="inlineStr">
        <is>
          <t>Dongle</t>
        </is>
      </c>
      <c r="F66" s="6" t="n">
        <v>79.93206907184705</v>
      </c>
      <c r="G66" s="6" t="n">
        <v>259219.7</v>
      </c>
      <c r="H66" s="244" t="n">
        <v>3243</v>
      </c>
      <c r="I66" s="19" t="n">
        <v>4326</v>
      </c>
      <c r="J66" s="5" t="n">
        <v>4.6</v>
      </c>
      <c r="K66" s="5" t="inlineStr">
        <is>
          <t>https://amazon.com/dp/B08NFLL3NT</t>
        </is>
      </c>
      <c r="L66" s="207">
        <f>HYPERLINK(K66)</f>
        <v/>
      </c>
    </row>
    <row r="67" ht="17" customFormat="1" customHeight="1" s="29">
      <c r="A67" s="152" t="n">
        <v>11</v>
      </c>
      <c r="B67" s="154" t="inlineStr">
        <is>
          <t>B013RIQMEO</t>
        </is>
      </c>
      <c r="C67" s="341" t="inlineStr">
        <is>
          <t>FIXD Bluetooth OBD2 Scanner for iPhone &amp; Android - Diagnostic Scan Tool for Repairs and Car Buying - Check Engine Code Reader &amp; Enhanced Codes - (1 Pack w/Free 14-Day FIXD Premium Bundle)</t>
        </is>
      </c>
      <c r="D67" s="342" t="inlineStr">
        <is>
          <t>fixd</t>
        </is>
      </c>
      <c r="E67" s="342" t="inlineStr">
        <is>
          <t>Dongle</t>
        </is>
      </c>
      <c r="F67" s="155" t="n">
        <v>39.98986600186974</v>
      </c>
      <c r="G67" s="155" t="n">
        <v>128327.48</v>
      </c>
      <c r="H67" s="245" t="n">
        <v>3209</v>
      </c>
      <c r="I67" s="156" t="n">
        <v>35039</v>
      </c>
      <c r="J67" s="154" t="n">
        <v>4.2</v>
      </c>
      <c r="K67" s="154" t="inlineStr">
        <is>
          <t>https://amazon.com/dp/B013RIQMEO</t>
        </is>
      </c>
      <c r="L67" s="157">
        <f>HYPERLINK(K67)</f>
        <v/>
      </c>
    </row>
    <row r="68" ht="17" customFormat="1" customHeight="1" s="29">
      <c r="A68" s="152" t="n">
        <v>12</v>
      </c>
      <c r="B68" s="154" t="inlineStr">
        <is>
          <t>B07CFVD2P3</t>
        </is>
      </c>
      <c r="C68" s="341" t="inlineStr">
        <is>
          <t>FIXD Bluetooth OBD2 Scanner for iPhone &amp; Android - Diagnostic Scan Tool for Repairs and Car Buying - Check Engine Code Reader &amp; Enhanced Codes - (2 Pack w/Free 14-Day FIXD Premium Bundle)</t>
        </is>
      </c>
      <c r="D68" s="342" t="inlineStr">
        <is>
          <t>fixd</t>
        </is>
      </c>
      <c r="E68" s="342" t="inlineStr">
        <is>
          <t>Dongle</t>
        </is>
      </c>
      <c r="F68" s="155" t="n">
        <v>97.98624688722876</v>
      </c>
      <c r="G68" s="155" t="n">
        <v>275439.34</v>
      </c>
      <c r="H68" s="245" t="n">
        <v>2811</v>
      </c>
      <c r="I68" s="156" t="n">
        <v>1243</v>
      </c>
      <c r="J68" s="154" t="n">
        <v>4.1</v>
      </c>
      <c r="K68" s="154" t="inlineStr">
        <is>
          <t>https://amazon.com/dp/B07CFVD2P3</t>
        </is>
      </c>
      <c r="L68" s="157">
        <f>HYPERLINK(K68)</f>
        <v/>
      </c>
    </row>
    <row r="69" ht="17" customHeight="1" s="314">
      <c r="A69" s="17" t="n">
        <v>13</v>
      </c>
      <c r="B69" s="5" t="inlineStr">
        <is>
          <t>B07Z46L5FG</t>
        </is>
      </c>
      <c r="C69" s="339" t="inlineStr">
        <is>
          <t>Innova 5210 OBD2 Scanner &amp; Engine Code Reader, Battery Tester, Live Data, Oil Reset, Car Diagnostic Tool for Most Vehicles, Bluetooth Compatible with America's Top Car Repair App</t>
        </is>
      </c>
      <c r="D69" s="340" t="inlineStr">
        <is>
          <t>innova</t>
        </is>
      </c>
      <c r="E69" s="340" t="inlineStr">
        <is>
          <t>Handheld</t>
        </is>
      </c>
      <c r="F69" s="6" t="n">
        <v>87.48796262367168</v>
      </c>
      <c r="G69" s="6" t="n">
        <v>238754.65</v>
      </c>
      <c r="H69" s="244" t="n">
        <v>2729</v>
      </c>
      <c r="I69" s="19" t="n">
        <v>3977</v>
      </c>
      <c r="J69" s="5" t="n">
        <v>4.5</v>
      </c>
      <c r="K69" s="5" t="inlineStr">
        <is>
          <t>https://amazon.com/dp/B07Z46L5FG</t>
        </is>
      </c>
      <c r="L69" s="207">
        <f>HYPERLINK(K69)</f>
        <v/>
      </c>
    </row>
    <row r="70" ht="17" customHeight="1" s="314">
      <c r="A70" s="17" t="n">
        <v>14</v>
      </c>
      <c r="B70" s="5" t="inlineStr">
        <is>
          <t>B08PFJMTY3</t>
        </is>
      </c>
      <c r="C70" s="339" t="inlineStr">
        <is>
          <t>FOXWELL Car Scanner NT604 Elite OBD2 Scanner ABS SRS Transmission, Check Engine Code Reader for Cars and Trucks, Diagnostic Scan Tool with SRS Airbag, Automotive Diagnostic Tool with Live Data</t>
        </is>
      </c>
      <c r="D70" s="340" t="inlineStr">
        <is>
          <t>foxwell</t>
        </is>
      </c>
      <c r="E70" s="340" t="inlineStr">
        <is>
          <t>Tablet</t>
        </is>
      </c>
      <c r="F70" s="6" t="n">
        <v>151.7840725806452</v>
      </c>
      <c r="G70" s="6" t="n">
        <v>414066.95</v>
      </c>
      <c r="H70" s="244" t="n">
        <v>2728</v>
      </c>
      <c r="I70" s="19" t="n">
        <v>4855</v>
      </c>
      <c r="J70" s="5" t="n">
        <v>4.4</v>
      </c>
      <c r="K70" s="5" t="inlineStr">
        <is>
          <t>https://amazon.com/dp/B08PFJMTY3</t>
        </is>
      </c>
      <c r="L70" s="207">
        <f>HYPERLINK(K70)</f>
        <v/>
      </c>
    </row>
    <row r="71" ht="17" customHeight="1" s="314">
      <c r="A71" s="17" t="n">
        <v>15</v>
      </c>
      <c r="B71" s="5" t="inlineStr">
        <is>
          <t>B007XE8C74</t>
        </is>
      </c>
      <c r="C71" s="339" t="inlineStr">
        <is>
          <t>Autel Professional OBD2 Scanner AL319 Code Reader, Enhanced Check and Reset Engine Fault Code, Live Data, Freeze Frame, CAN Car Diagnostic Scan Tools for All OBDII Vehicles After 1996, 2026 Upgraded</t>
        </is>
      </c>
      <c r="D71" s="340" t="inlineStr">
        <is>
          <t>autel</t>
        </is>
      </c>
      <c r="E71" s="340" t="inlineStr">
        <is>
          <t>Handheld</t>
        </is>
      </c>
      <c r="F71" s="6" t="n">
        <v>33.92090459901178</v>
      </c>
      <c r="G71" s="6" t="n">
        <v>89245.89999999999</v>
      </c>
      <c r="H71" s="244" t="n">
        <v>2631</v>
      </c>
      <c r="I71" s="19" t="n">
        <v>25897</v>
      </c>
      <c r="J71" s="5" t="n">
        <v>4.6</v>
      </c>
      <c r="K71" s="5" t="inlineStr">
        <is>
          <t>https://amazon.com/dp/B007XE8C74</t>
        </is>
      </c>
      <c r="L71" s="183">
        <f>HYPERLINK(K71)</f>
        <v/>
      </c>
    </row>
    <row r="72" ht="17" customFormat="1" customHeight="1" s="206">
      <c r="A72" s="208" t="n">
        <v>16</v>
      </c>
      <c r="B72" s="209" t="inlineStr">
        <is>
          <t>B076XVQMVS</t>
        </is>
      </c>
      <c r="C72" s="343" t="inlineStr">
        <is>
          <t>Veepeak OBDCheck BLE+ Bluetooth OBD II Scanner for iOS &amp; Android, Car Check Engine Code Reader Wireless OBD Diagnostic Scan Tool</t>
        </is>
      </c>
      <c r="D72" s="344" t="inlineStr">
        <is>
          <t>veepeak</t>
        </is>
      </c>
      <c r="E72" s="344" t="inlineStr">
        <is>
          <t>Dongle</t>
        </is>
      </c>
      <c r="F72" s="212" t="n">
        <v>41.43043495145631</v>
      </c>
      <c r="G72" s="212" t="n">
        <v>106683.37</v>
      </c>
      <c r="H72" s="246" t="n">
        <v>2575</v>
      </c>
      <c r="I72" s="213" t="n">
        <v>10842</v>
      </c>
      <c r="J72" s="209" t="n">
        <v>4.6</v>
      </c>
      <c r="K72" s="209" t="inlineStr">
        <is>
          <t>https://amazon.com/dp/B076XVQMVS</t>
        </is>
      </c>
      <c r="L72" s="207">
        <f>HYPERLINK(K72)</f>
        <v/>
      </c>
    </row>
    <row r="73" ht="17" customFormat="1" customHeight="1" s="29">
      <c r="A73" s="17" t="n">
        <v>17</v>
      </c>
      <c r="B73" s="5" t="inlineStr">
        <is>
          <t>B00652G4TS</t>
        </is>
      </c>
      <c r="C73" s="339" t="inlineStr">
        <is>
          <t>BlueDriver Bluetooth Pro OBDII Scan Tool for iPhone &amp; Android - No Subscription Fee - OBD2 Car Scanner and Code Reader - Diagnose Check Engine, ABS, SRS, Airbag &amp; 7000+ Issues on Vehicles 1996+</t>
        </is>
      </c>
      <c r="D73" s="340" t="inlineStr">
        <is>
          <t>bluedriver</t>
        </is>
      </c>
      <c r="E73" s="340" t="inlineStr">
        <is>
          <t>Dongle</t>
        </is>
      </c>
      <c r="F73" s="6" t="n">
        <v>89.95980835380836</v>
      </c>
      <c r="G73" s="6" t="n">
        <v>183068.21</v>
      </c>
      <c r="H73" s="244" t="n">
        <v>2035</v>
      </c>
      <c r="I73" s="19" t="n">
        <v>62211</v>
      </c>
      <c r="J73" s="5" t="n">
        <v>4.5</v>
      </c>
      <c r="K73" s="5" t="inlineStr">
        <is>
          <t>https://amazon.com/dp/B00652G4TS</t>
        </is>
      </c>
      <c r="L73" s="163">
        <f>HYPERLINK(K73)</f>
        <v/>
      </c>
    </row>
    <row r="74" ht="17" customHeight="1" s="314">
      <c r="A74" s="17" t="n">
        <v>18</v>
      </c>
      <c r="B74" s="5" t="inlineStr">
        <is>
          <t>B01F0GVBWY</t>
        </is>
      </c>
      <c r="C74" s="339" t="inlineStr">
        <is>
          <t>OHP FORScan ELM327-based OBD2 to USB Diagnostic Scan Tool with MS-Can/HS-Can Switch for Ford Lincoln Mazda Mercury Vehicles</t>
        </is>
      </c>
      <c r="D74" s="340" t="inlineStr">
        <is>
          <t>ohp</t>
        </is>
      </c>
      <c r="E74" s="340" t="inlineStr">
        <is>
          <t>Cable/Adapter</t>
        </is>
      </c>
      <c r="F74" s="6" t="n">
        <v>34.881197327852</v>
      </c>
      <c r="G74" s="6" t="n">
        <v>67878.81</v>
      </c>
      <c r="H74" s="244" t="n">
        <v>1946</v>
      </c>
      <c r="I74" s="19" t="n">
        <v>4918</v>
      </c>
      <c r="J74" s="5" t="n">
        <v>4.5</v>
      </c>
      <c r="K74" s="5" t="inlineStr">
        <is>
          <t>https://amazon.com/dp/B01F0GVBWY</t>
        </is>
      </c>
      <c r="L74" s="207">
        <f>HYPERLINK(K74)</f>
        <v/>
      </c>
    </row>
    <row r="75" ht="17" customHeight="1" s="314">
      <c r="A75" s="17" t="n">
        <v>19</v>
      </c>
      <c r="B75" s="5" t="inlineStr">
        <is>
          <t>B0DV2N2FND</t>
        </is>
      </c>
      <c r="C75" s="339" t="inlineStr">
        <is>
          <t>BLCKTEC 460T OBD2 Scanner Car Code Reader Engine ABS SRS Transmission Diagnostic Tool, 12 Reset Services, Oil/TPMS/EPB/BMS/SAS/DPF/Throttle Reset, ABS Bleeding, Battery Test, Auto VIN, Free Update</t>
        </is>
      </c>
      <c r="D75" s="340" t="inlineStr">
        <is>
          <t>blcktec</t>
        </is>
      </c>
      <c r="E75" s="340" t="inlineStr">
        <is>
          <t>Tablet</t>
        </is>
      </c>
      <c r="F75" s="6" t="n">
        <v>189.17418997669</v>
      </c>
      <c r="G75" s="6" t="n">
        <v>324622.91</v>
      </c>
      <c r="H75" s="244" t="n">
        <v>1716</v>
      </c>
      <c r="I75" s="19" t="n">
        <v>608</v>
      </c>
      <c r="J75" s="5" t="n">
        <v>4.4</v>
      </c>
      <c r="K75" s="5" t="inlineStr">
        <is>
          <t>https://amazon.com/dp/B0DV2N2FND</t>
        </is>
      </c>
      <c r="L75" s="207">
        <f>HYPERLINK(K75)</f>
        <v/>
      </c>
    </row>
    <row r="76" ht="17" customHeight="1" s="314">
      <c r="A76" s="17" t="n">
        <v>20</v>
      </c>
      <c r="B76" s="5" t="inlineStr">
        <is>
          <t>B094Z7PBLS</t>
        </is>
      </c>
      <c r="C76" s="339" t="inlineStr">
        <is>
          <t>Vgate vLinker FS OBD2 USB Adapter for FORScan HS/MS-CAN Auto Switch</t>
        </is>
      </c>
      <c r="D76" s="340" t="inlineStr">
        <is>
          <t>vgate</t>
        </is>
      </c>
      <c r="E76" s="340" t="inlineStr">
        <is>
          <t>Cable/Adapter</t>
        </is>
      </c>
      <c r="F76" s="6" t="n">
        <v>34.99058479532164</v>
      </c>
      <c r="G76" s="6" t="n">
        <v>59833.9</v>
      </c>
      <c r="H76" s="244" t="n">
        <v>1710</v>
      </c>
      <c r="I76" s="19" t="n">
        <v>2686</v>
      </c>
      <c r="J76" s="5" t="n">
        <v>4.7</v>
      </c>
      <c r="K76" s="5" t="inlineStr">
        <is>
          <t>https://amazon.com/dp/B094Z7PBLS</t>
        </is>
      </c>
      <c r="L76" s="207">
        <f>HYPERLINK(K76)</f>
        <v/>
      </c>
    </row>
    <row r="77" ht="17" customHeight="1" s="314">
      <c r="A77" s="17" t="n">
        <v>21</v>
      </c>
      <c r="B77" s="5" t="inlineStr">
        <is>
          <t>B06XGB4873</t>
        </is>
      </c>
      <c r="C77" s="339" t="inlineStr">
        <is>
          <t>Vgate iCar Pro Bluetooth 4.0 (BLE) OBD2 Fault Code Reader OBDII Code Scanner Car Check Engine Light for iOS/Android</t>
        </is>
      </c>
      <c r="D77" s="340" t="inlineStr">
        <is>
          <t>vgate</t>
        </is>
      </c>
      <c r="E77" s="340" t="inlineStr">
        <is>
          <t>Dongle</t>
        </is>
      </c>
      <c r="F77" s="6" t="n">
        <v>31.98785039941902</v>
      </c>
      <c r="G77" s="6" t="n">
        <v>44047.27</v>
      </c>
      <c r="H77" s="244" t="n">
        <v>1377</v>
      </c>
      <c r="I77" s="19" t="n">
        <v>7098</v>
      </c>
      <c r="J77" s="5" t="n">
        <v>4.6</v>
      </c>
      <c r="K77" s="5" t="inlineStr">
        <is>
          <t>https://amazon.com/dp/B06XGB4873</t>
        </is>
      </c>
      <c r="L77" s="207">
        <f>HYPERLINK(K77)</f>
        <v/>
      </c>
    </row>
    <row r="78" ht="17" customHeight="1" s="314">
      <c r="A78" s="17" t="n">
        <v>22</v>
      </c>
      <c r="B78" s="5" t="inlineStr">
        <is>
          <t>B0D4YZG7Q6</t>
        </is>
      </c>
      <c r="C78" s="339" t="inlineStr">
        <is>
          <t>OBD2 Scanner, CGSULIT SC103 Car Code Reader Diagnose Check Engine Light Smog Check DTCs Scan Tool Live Data Stream Voltage Test for Vehicles Since 1996</t>
        </is>
      </c>
      <c r="D78" s="340" t="inlineStr">
        <is>
          <t>cgsulit</t>
        </is>
      </c>
      <c r="E78" s="340" t="inlineStr">
        <is>
          <t>Handheld</t>
        </is>
      </c>
      <c r="F78" s="6" t="n">
        <v>17.38283636363636</v>
      </c>
      <c r="G78" s="6" t="n">
        <v>23901.4</v>
      </c>
      <c r="H78" s="244" t="n">
        <v>1375</v>
      </c>
      <c r="I78" s="19" t="n">
        <v>1084</v>
      </c>
      <c r="J78" s="5" t="n">
        <v>4.5</v>
      </c>
      <c r="K78" s="5" t="inlineStr">
        <is>
          <t>https://amazon.com/dp/B0D4YZG7Q6</t>
        </is>
      </c>
      <c r="L78" s="207">
        <f>HYPERLINK(K78)</f>
        <v/>
      </c>
    </row>
    <row r="79" ht="17" customFormat="1" customHeight="1" s="29">
      <c r="A79" s="17" t="n">
        <v>23</v>
      </c>
      <c r="B79" s="5" t="inlineStr">
        <is>
          <t>B0C3QQYQ1B</t>
        </is>
      </c>
      <c r="C79" s="339" t="inlineStr">
        <is>
          <t>TOPDON TopScan Lite OBD2 Scanner Bluetooth, Bi-Directional Scanner Wireless All System Diagnostic Tool for iOS &amp; Android, 8+ Hot Reset, Repair Guides, Check Engine Car Code Reader, Performance Test</t>
        </is>
      </c>
      <c r="D79" s="340" t="inlineStr">
        <is>
          <t>topdon</t>
        </is>
      </c>
      <c r="E79" s="340" t="inlineStr">
        <is>
          <t>Dongle</t>
        </is>
      </c>
      <c r="F79" s="6" t="n">
        <v>51.95718309859155</v>
      </c>
      <c r="G79" s="6" t="n">
        <v>70090.24000000001</v>
      </c>
      <c r="H79" s="244" t="n">
        <v>1349</v>
      </c>
      <c r="I79" s="19" t="n">
        <v>7230</v>
      </c>
      <c r="J79" s="5" t="n">
        <v>4</v>
      </c>
      <c r="K79" s="5" t="inlineStr">
        <is>
          <t>https://amazon.com/dp/B0C3QQYQ1B</t>
        </is>
      </c>
      <c r="L79" s="163">
        <f>HYPERLINK(K79)</f>
        <v/>
      </c>
    </row>
    <row r="80" ht="17" customHeight="1" s="314">
      <c r="A80" s="17" t="n">
        <v>24</v>
      </c>
      <c r="B80" s="5" t="inlineStr">
        <is>
          <t>B0744B55QV</t>
        </is>
      </c>
      <c r="C80" s="339" t="inlineStr">
        <is>
          <t>Autel Scanner MaxiCOM MK808S: 2026 Bidirectional Tool as MX808S MK808BT Pro M808Z, Work as MaxiCheck MX900 MK900BT, 28+ Service, 3000+ Active Tests, All System OBD2 Diagnostics, OS 11, 10X Faster</t>
        </is>
      </c>
      <c r="D80" s="340" t="inlineStr">
        <is>
          <t>autel</t>
        </is>
      </c>
      <c r="E80" s="340" t="inlineStr">
        <is>
          <t>Tablet</t>
        </is>
      </c>
      <c r="F80" s="6" t="n">
        <v>455.0867040358744</v>
      </c>
      <c r="G80" s="6" t="n">
        <v>608906.01</v>
      </c>
      <c r="H80" s="244" t="n">
        <v>1338</v>
      </c>
      <c r="I80" s="19" t="n">
        <v>3847</v>
      </c>
      <c r="J80" s="5" t="n">
        <v>4.4</v>
      </c>
      <c r="K80" s="5" t="inlineStr">
        <is>
          <t>https://amazon.com/dp/B0744B55QV</t>
        </is>
      </c>
      <c r="L80" s="183">
        <f>HYPERLINK(K80)</f>
        <v/>
      </c>
    </row>
    <row r="81" ht="17" customHeight="1" s="314">
      <c r="A81" s="17" t="n">
        <v>25</v>
      </c>
      <c r="B81" s="5" t="inlineStr">
        <is>
          <t>B0CM9W4MCW</t>
        </is>
      </c>
      <c r="C81" s="339" t="inlineStr">
        <is>
          <t>Carista EVO - Bluetooth OBD2 Scanner - Car Diagnostic Tool &amp; Code Reader with Access to Diagnostics, Customizations, Service Tools &amp; Live Data (Subscription Required)</t>
        </is>
      </c>
      <c r="D81" s="340" t="inlineStr">
        <is>
          <t>carista</t>
        </is>
      </c>
      <c r="E81" s="340" t="inlineStr">
        <is>
          <t>Dongle</t>
        </is>
      </c>
      <c r="F81" s="6" t="n">
        <v>58.7683779648049</v>
      </c>
      <c r="G81" s="6" t="n">
        <v>76810.27</v>
      </c>
      <c r="H81" s="244" t="n">
        <v>1307</v>
      </c>
      <c r="I81" s="19" t="n">
        <v>1715</v>
      </c>
      <c r="J81" s="5" t="n">
        <v>4.1</v>
      </c>
      <c r="K81" s="5" t="inlineStr">
        <is>
          <t>https://amazon.com/dp/B0CM9W4MCW</t>
        </is>
      </c>
      <c r="L81" s="163">
        <f>HYPERLINK(K81)</f>
        <v/>
      </c>
    </row>
    <row r="82" ht="17" customHeight="1" s="314">
      <c r="A82" s="17" t="n">
        <v>26</v>
      </c>
      <c r="B82" s="5" t="inlineStr">
        <is>
          <t>B09KT9XNML</t>
        </is>
      </c>
      <c r="C82" s="339" t="inlineStr">
        <is>
          <t>OBD2 Scanner Diagnostic Tool XTOOL Anyscan A30M V2.0, 2026 Wireless Bidirectional Scan Tool with Free Updates, 26 Resets, All System for Android &amp; iPhone, Crank Sensor Relearn, EPB, Throttle Relearn</t>
        </is>
      </c>
      <c r="D82" s="340" t="inlineStr">
        <is>
          <t>xtool</t>
        </is>
      </c>
      <c r="E82" s="340" t="inlineStr">
        <is>
          <t>Dongle</t>
        </is>
      </c>
      <c r="F82" s="6" t="n">
        <v>151.2937490377213</v>
      </c>
      <c r="G82" s="6" t="n">
        <v>196530.58</v>
      </c>
      <c r="H82" s="244" t="n">
        <v>1299</v>
      </c>
      <c r="I82" s="19" t="n">
        <v>1409</v>
      </c>
      <c r="J82" s="5" t="n">
        <v>4.3</v>
      </c>
      <c r="K82" s="5" t="inlineStr">
        <is>
          <t>https://amazon.com/dp/B09KT9XNML</t>
        </is>
      </c>
      <c r="L82" s="183">
        <f>HYPERLINK(K82)</f>
        <v/>
      </c>
    </row>
    <row r="83" ht="17" customHeight="1" s="314">
      <c r="A83" s="17" t="n">
        <v>27</v>
      </c>
      <c r="B83" s="5" t="inlineStr">
        <is>
          <t>B09KZTYD18</t>
        </is>
      </c>
      <c r="C83" s="339" t="inlineStr">
        <is>
          <t>OBD2 Scanner TOPDON AD600S Scan Tool, Code Reader, Diagnostics Scanner for ABS/SRS/AT/Engine, 9 Reset Services, Oil/Brake/BMS/SAS/DPF/TPMS/ETS Reset/ABS Bleeding/Injector Coding, Free Lifetime Upgrade</t>
        </is>
      </c>
      <c r="D83" s="340" t="inlineStr">
        <is>
          <t>topdon</t>
        </is>
      </c>
      <c r="E83" s="340" t="inlineStr">
        <is>
          <t>Tablet</t>
        </is>
      </c>
      <c r="F83" s="6" t="n">
        <v>194.0666122766123</v>
      </c>
      <c r="G83" s="6" t="n">
        <v>249763.73</v>
      </c>
      <c r="H83" s="244" t="n">
        <v>1287</v>
      </c>
      <c r="I83" s="19" t="n">
        <v>1836</v>
      </c>
      <c r="J83" s="5" t="n">
        <v>4.5</v>
      </c>
      <c r="K83" s="5" t="inlineStr">
        <is>
          <t>https://amazon.com/dp/B09KZTYD18</t>
        </is>
      </c>
      <c r="L83" s="183">
        <f>HYPERLINK(K83)</f>
        <v/>
      </c>
    </row>
    <row r="84" ht="17" customFormat="1" customHeight="1" s="162">
      <c r="A84" s="17" t="n">
        <v>28</v>
      </c>
      <c r="B84" s="5" t="inlineStr">
        <is>
          <t>B0C2V3RYLY</t>
        </is>
      </c>
      <c r="C84" s="339" t="inlineStr">
        <is>
          <t>ZMOON ZM201 Professional OBD2 Scanner Diagnostic Tool, Enhanced Check Engine Code Reader with Reset OBDII/EOBD Car Diagnostic Scan Tools for All Vehicles After 1996, 2026 Upgraded</t>
        </is>
      </c>
      <c r="D84" s="340" t="inlineStr">
        <is>
          <t>zmoon</t>
        </is>
      </c>
      <c r="E84" s="340" t="inlineStr">
        <is>
          <t>Handheld</t>
        </is>
      </c>
      <c r="F84" s="6" t="n">
        <v>36.46699530516432</v>
      </c>
      <c r="G84" s="6" t="n">
        <v>46604.82</v>
      </c>
      <c r="H84" s="244" t="n">
        <v>1278</v>
      </c>
      <c r="I84" s="19" t="n">
        <v>2716</v>
      </c>
      <c r="J84" s="5" t="n">
        <v>4.5</v>
      </c>
      <c r="K84" s="5" t="inlineStr">
        <is>
          <t>https://amazon.com/dp/B0C2V3RYLY</t>
        </is>
      </c>
      <c r="L84" s="163">
        <f>HYPERLINK(K84)</f>
        <v/>
      </c>
    </row>
    <row r="85" ht="17" customHeight="1" s="314">
      <c r="A85" s="17" t="n">
        <v>29</v>
      </c>
      <c r="B85" s="5" t="inlineStr">
        <is>
          <t>B011NSX27A</t>
        </is>
      </c>
      <c r="C85" s="339" t="inlineStr">
        <is>
          <t>Veepeak Mini Bluetooth OBD2 Scanner for Android ONLY (NOT for iOS) – Car Wireless Check Engine Light Code Reader &amp; Diagnostic Tool</t>
        </is>
      </c>
      <c r="D85" s="340" t="inlineStr">
        <is>
          <t>veepeak</t>
        </is>
      </c>
      <c r="E85" s="340" t="inlineStr">
        <is>
          <t>Dongle</t>
        </is>
      </c>
      <c r="F85" s="6" t="n">
        <v>14.47829914529914</v>
      </c>
      <c r="G85" s="6" t="n">
        <v>16939.61</v>
      </c>
      <c r="H85" s="244" t="n">
        <v>1170</v>
      </c>
      <c r="I85" s="19" t="n">
        <v>18622</v>
      </c>
      <c r="J85" s="5" t="n">
        <v>4.4</v>
      </c>
      <c r="K85" s="5" t="inlineStr">
        <is>
          <t>https://amazon.com/dp/B011NSX27A</t>
        </is>
      </c>
      <c r="L85" s="183">
        <f>HYPERLINK(K85)</f>
        <v/>
      </c>
    </row>
    <row r="86" ht="17" customHeight="1" s="314">
      <c r="A86" s="17" t="n">
        <v>30</v>
      </c>
      <c r="B86" s="5" t="inlineStr">
        <is>
          <t>B0C33Y285Y</t>
        </is>
      </c>
      <c r="C86" s="339" t="inlineStr">
        <is>
          <t>TOPDON Bidirectional Scan Tool, 2026 New ArtiDiag900 Lite Automotive Diagnostic Tool for Full System, Scanner for Car with Active Test, 8 Reset, Wireless OBD2 Scanner Diagnostic Tool for All Vehicles</t>
        </is>
      </c>
      <c r="D86" s="340" t="inlineStr">
        <is>
          <t>topdon</t>
        </is>
      </c>
      <c r="E86" s="340" t="inlineStr">
        <is>
          <t>Tablet</t>
        </is>
      </c>
      <c r="F86" s="6" t="n">
        <v>318.9840625</v>
      </c>
      <c r="G86" s="6" t="n">
        <v>367469.64</v>
      </c>
      <c r="H86" s="244" t="n">
        <v>1152</v>
      </c>
      <c r="I86" s="19" t="n">
        <v>1230</v>
      </c>
      <c r="J86" s="5" t="n">
        <v>4.3</v>
      </c>
      <c r="K86" s="5" t="inlineStr">
        <is>
          <t>https://amazon.com/dp/B0C33Y285Y</t>
        </is>
      </c>
      <c r="L86" s="183">
        <f>HYPERLINK(K86)</f>
        <v/>
      </c>
    </row>
    <row r="87" ht="17" customHeight="1" s="314">
      <c r="A87" s="17" t="n">
        <v>31</v>
      </c>
      <c r="B87" s="5" t="inlineStr">
        <is>
          <t>B0BX3K8VGJ</t>
        </is>
      </c>
      <c r="C87" s="339" t="inlineStr">
        <is>
          <t>ANCEL AD410 PRO OBD2 Scanner and Battery Tester, 2-in-1 Car Diagnostic Tool, Check Engine Light, EVAP Test, Live Data, 12V Battery Analyzer with Cranking &amp; Charging System Test for Car Motorcycle</t>
        </is>
      </c>
      <c r="D87" s="340" t="inlineStr">
        <is>
          <t>ancel</t>
        </is>
      </c>
      <c r="E87" s="340" t="inlineStr">
        <is>
          <t>Handheld</t>
        </is>
      </c>
      <c r="F87" s="6" t="n">
        <v>62.35547598253275</v>
      </c>
      <c r="G87" s="6" t="n">
        <v>71397.02</v>
      </c>
      <c r="H87" s="244" t="n">
        <v>1145</v>
      </c>
      <c r="I87" s="19" t="n">
        <v>4093</v>
      </c>
      <c r="J87" s="5" t="n">
        <v>4.6</v>
      </c>
      <c r="K87" s="5" t="inlineStr">
        <is>
          <t>https://amazon.com/dp/B0BX3K8VGJ</t>
        </is>
      </c>
      <c r="L87" s="207">
        <f>HYPERLINK(K87)</f>
        <v/>
      </c>
    </row>
    <row r="88" ht="17" customHeight="1" s="314">
      <c r="A88" s="17" t="n">
        <v>32</v>
      </c>
      <c r="B88" s="5" t="inlineStr">
        <is>
          <t>B0DHQSQYTR</t>
        </is>
      </c>
      <c r="C88" s="339" t="inlineStr">
        <is>
          <t>MOTOPOWER MP69033 Pro OBD2 Scanner Code Reader Check Engine Fault Light Diagnostic Scan Tool with Battery Tester</t>
        </is>
      </c>
      <c r="D88" s="340" t="inlineStr">
        <is>
          <t>motopower</t>
        </is>
      </c>
      <c r="E88" s="340" t="inlineStr">
        <is>
          <t>Handheld</t>
        </is>
      </c>
      <c r="F88" s="6" t="n">
        <v>31.00490990990991</v>
      </c>
      <c r="G88" s="6" t="n">
        <v>34415.45</v>
      </c>
      <c r="H88" s="244" t="n">
        <v>1110</v>
      </c>
      <c r="I88" s="19" t="n">
        <v>826</v>
      </c>
      <c r="J88" s="5" t="n">
        <v>4.6</v>
      </c>
      <c r="K88" s="5" t="inlineStr">
        <is>
          <t>https://amazon.com/dp/B0DHQSQYTR</t>
        </is>
      </c>
      <c r="L88" s="183">
        <f>HYPERLINK(K88)</f>
        <v/>
      </c>
    </row>
    <row r="89" ht="17" customHeight="1" s="314">
      <c r="A89" s="17" t="n">
        <v>33</v>
      </c>
      <c r="B89" s="5" t="inlineStr">
        <is>
          <t>B0D44C1F7Y</t>
        </is>
      </c>
      <c r="C89" s="339" t="inlineStr">
        <is>
          <t>OBD2 Scanner Reader Bluetooth Wireless Auto Diagnostic Scan Tool for iOS &amp; Android for Performance Test Bluetooth 5.4 Car Check Engine Car Code Reader, Clear Error Code Live Data Reset Exclusive APP</t>
        </is>
      </c>
      <c r="D89" s="340" t="inlineStr">
        <is>
          <t>umeija</t>
        </is>
      </c>
      <c r="E89" s="340" t="inlineStr">
        <is>
          <t>Dongle</t>
        </is>
      </c>
      <c r="F89" s="6" t="n">
        <v>21.4903880866426</v>
      </c>
      <c r="G89" s="6" t="n">
        <v>23811.35</v>
      </c>
      <c r="H89" s="244" t="n">
        <v>1108</v>
      </c>
      <c r="I89" s="19" t="n">
        <v>2049</v>
      </c>
      <c r="J89" s="5" t="n">
        <v>4.3</v>
      </c>
      <c r="K89" s="5" t="inlineStr">
        <is>
          <t>https://amazon.com/dp/B0D44C1F7Y</t>
        </is>
      </c>
      <c r="L89" s="183">
        <f>HYPERLINK(K89)</f>
        <v/>
      </c>
    </row>
    <row r="90" ht="17" customHeight="1" s="314">
      <c r="A90" s="17" t="n">
        <v>34</v>
      </c>
      <c r="B90" s="5" t="inlineStr">
        <is>
          <t>B07Q5H7M5S</t>
        </is>
      </c>
      <c r="C90" s="339" t="inlineStr">
        <is>
          <t>Autel OBD2 Scanner MS309 Universal Car Engine Fault Code Reader, Check Engine Light and Emission Monitor Status, OBDII CAN Diagnostic Scan Tool</t>
        </is>
      </c>
      <c r="D90" s="340" t="inlineStr">
        <is>
          <t>autel</t>
        </is>
      </c>
      <c r="E90" s="340" t="inlineStr">
        <is>
          <t>Handheld</t>
        </is>
      </c>
      <c r="F90" s="6" t="n">
        <v>22.98575278810409</v>
      </c>
      <c r="G90" s="6" t="n">
        <v>24732.67</v>
      </c>
      <c r="H90" s="244" t="n">
        <v>1076</v>
      </c>
      <c r="I90" s="19" t="n">
        <v>17084</v>
      </c>
      <c r="J90" s="5" t="n">
        <v>4.6</v>
      </c>
      <c r="K90" s="5" t="inlineStr">
        <is>
          <t>https://amazon.com/dp/B07Q5H7M5S</t>
        </is>
      </c>
      <c r="L90" s="183">
        <f>HYPERLINK(K90)</f>
        <v/>
      </c>
    </row>
    <row r="91" ht="17" customHeight="1" s="314">
      <c r="A91" s="17" t="n">
        <v>35</v>
      </c>
      <c r="B91" s="5" t="inlineStr">
        <is>
          <t>B000EVYGV4</t>
        </is>
      </c>
      <c r="C91" s="339" t="inlineStr">
        <is>
          <t>Innova 3568 Digital Timing Light</t>
        </is>
      </c>
      <c r="D91" s="340" t="inlineStr">
        <is>
          <t>innova</t>
        </is>
      </c>
      <c r="E91" s="340" t="inlineStr">
        <is>
          <t>Other</t>
        </is>
      </c>
      <c r="F91" s="6" t="n">
        <v>79.89569668246446</v>
      </c>
      <c r="G91" s="6" t="n">
        <v>84289.96000000001</v>
      </c>
      <c r="H91" s="244" t="n">
        <v>1055</v>
      </c>
      <c r="I91" s="19" t="n">
        <v>0</v>
      </c>
      <c r="J91" s="5" t="n">
        <v>0</v>
      </c>
      <c r="K91" s="5" t="inlineStr">
        <is>
          <t>https://www.amazon.com/dp/B000EVYGV4</t>
        </is>
      </c>
      <c r="L91" s="163">
        <f>HYPERLINK(K91)</f>
        <v/>
      </c>
    </row>
    <row r="92" ht="17" customHeight="1" s="314">
      <c r="A92" s="17" t="n">
        <v>36</v>
      </c>
      <c r="B92" s="5" t="inlineStr">
        <is>
          <t>B0D9VPW238</t>
        </is>
      </c>
      <c r="C92" s="339" t="inlineStr">
        <is>
          <t>TOPDON Carpal OBD2 Scanner Bluetooth - Scanner for Car, AI-Assisted All System Diagnostic Tool for iOS &amp; Android, Vehicle Health Check, 6 Maintenance Services, Smog Check, Repair Guide</t>
        </is>
      </c>
      <c r="D92" s="340" t="inlineStr">
        <is>
          <t>topdon</t>
        </is>
      </c>
      <c r="E92" s="340" t="inlineStr">
        <is>
          <t>Dongle</t>
        </is>
      </c>
      <c r="F92" s="6" t="n">
        <v>40.38472140762463</v>
      </c>
      <c r="G92" s="6" t="n">
        <v>41313.57</v>
      </c>
      <c r="H92" s="244" t="n">
        <v>1023</v>
      </c>
      <c r="I92" s="19" t="n">
        <v>3030</v>
      </c>
      <c r="J92" s="5" t="n">
        <v>4.3</v>
      </c>
      <c r="K92" s="5" t="inlineStr">
        <is>
          <t>https://amazon.com/dp/B0D9VPW238</t>
        </is>
      </c>
      <c r="L92" s="183">
        <f>HYPERLINK(K92)</f>
        <v/>
      </c>
    </row>
    <row r="93" ht="17" customHeight="1" s="314">
      <c r="A93" s="17" t="n">
        <v>37</v>
      </c>
      <c r="B93" s="5" t="inlineStr">
        <is>
          <t>B07BS7PDC2</t>
        </is>
      </c>
      <c r="C93" s="339" t="inlineStr">
        <is>
          <t>ANCEL VD500 OBD2 Scanner Diagnostic Tool for Volkswagen VW Audi Skoda Seat Diagnosis Check Engine Light EPB ABS SRS Code Reader Oil Throttle Position Adaption Brake Pad Reset</t>
        </is>
      </c>
      <c r="D93" s="340" t="inlineStr">
        <is>
          <t>ancel</t>
        </is>
      </c>
      <c r="E93" s="340" t="inlineStr">
        <is>
          <t>Handheld</t>
        </is>
      </c>
      <c r="F93" s="6" t="n">
        <v>65.69651651651652</v>
      </c>
      <c r="G93" s="6" t="n">
        <v>65630.82000000001</v>
      </c>
      <c r="H93" s="244" t="n">
        <v>999</v>
      </c>
      <c r="I93" s="19" t="n">
        <v>6329</v>
      </c>
      <c r="J93" s="5" t="n">
        <v>4.5</v>
      </c>
      <c r="K93" s="5" t="inlineStr">
        <is>
          <t>https://amazon.com/dp/B07BS7PDC2</t>
        </is>
      </c>
      <c r="L93" s="207">
        <f>HYPERLINK(K93)</f>
        <v/>
      </c>
    </row>
    <row r="94" ht="17" customHeight="1" s="314">
      <c r="A94" s="17" t="n">
        <v>38</v>
      </c>
      <c r="B94" s="5" t="inlineStr">
        <is>
          <t>B071L8W7Q7</t>
        </is>
      </c>
      <c r="C94" s="339" t="inlineStr">
        <is>
          <t>bbfly-B6 OBD2 Splitter 16 Pin OBD II Splitter Extension 1x Male and 2X Female Extension Cable Adapter (1FT/30CM) (1Pack)</t>
        </is>
      </c>
      <c r="D94" s="340" t="inlineStr">
        <is>
          <t>bbfly</t>
        </is>
      </c>
      <c r="E94" s="340" t="inlineStr">
        <is>
          <t>Cable/Adapter</t>
        </is>
      </c>
      <c r="F94" s="6" t="n">
        <v>10.89475392670157</v>
      </c>
      <c r="G94" s="6" t="n">
        <v>10404.49</v>
      </c>
      <c r="H94" s="244" t="n">
        <v>955</v>
      </c>
      <c r="I94" s="19" t="n">
        <v>2113</v>
      </c>
      <c r="J94" s="5" t="n">
        <v>4.6</v>
      </c>
      <c r="K94" s="5" t="inlineStr">
        <is>
          <t>https://amazon.com/dp/B071L8W7Q7</t>
        </is>
      </c>
      <c r="L94" s="207">
        <f>HYPERLINK(K94)</f>
        <v/>
      </c>
    </row>
    <row r="95" ht="17" customHeight="1" s="314">
      <c r="A95" s="17" t="n">
        <v>39</v>
      </c>
      <c r="B95" s="5" t="inlineStr">
        <is>
          <t>B0FPQ4BVR3</t>
        </is>
      </c>
      <c r="C95" s="339" t="inlineStr">
        <is>
          <t>BluSon YM319 OBD2 Scanner Diagnostic Tool with Battery Tester, Check Engine Fault Code Reader with Live Data, Cloud Printing, DTC Lookup, Freeze Frame, Scan Tool for All OBDII Protocol Cars Since 1996</t>
        </is>
      </c>
      <c r="D95" s="340" t="inlineStr">
        <is>
          <t>bluson</t>
        </is>
      </c>
      <c r="E95" s="340" t="inlineStr">
        <is>
          <t>Handheld</t>
        </is>
      </c>
      <c r="F95" s="6" t="n">
        <v>33.04344017094017</v>
      </c>
      <c r="G95" s="6" t="n">
        <v>30928.66</v>
      </c>
      <c r="H95" s="244" t="n">
        <v>936</v>
      </c>
      <c r="I95" s="19" t="n">
        <v>176</v>
      </c>
      <c r="J95" s="5" t="n">
        <v>4.4</v>
      </c>
      <c r="K95" s="5" t="inlineStr">
        <is>
          <t>https://amazon.com/dp/B0FPQ4BVR3</t>
        </is>
      </c>
      <c r="L95" s="183">
        <f>HYPERLINK(K95)</f>
        <v/>
      </c>
    </row>
    <row r="96" ht="17" customFormat="1" customHeight="1" s="162">
      <c r="A96" s="17" t="n">
        <v>40</v>
      </c>
      <c r="B96" s="5" t="inlineStr">
        <is>
          <t>B08XK3DJ42</t>
        </is>
      </c>
      <c r="C96" s="339" t="inlineStr">
        <is>
          <t>TOPDON AD500 OBD2 Scanner, Oil SAS Throttle TPMS BMS EPB Reset, Engine ABS SRS Transmission, Diagnostic Scan Tool, AutoVIN, Car Check Engine Code Reader with Battery Test, Lifetime Wi-Fi Free Update</t>
        </is>
      </c>
      <c r="D96" s="340" t="inlineStr">
        <is>
          <t>topdon</t>
        </is>
      </c>
      <c r="E96" s="340" t="inlineStr">
        <is>
          <t>Tablet</t>
        </is>
      </c>
      <c r="F96" s="6" t="n">
        <v>158.4307592190889</v>
      </c>
      <c r="G96" s="6" t="n">
        <v>146073.16</v>
      </c>
      <c r="H96" s="244" t="n">
        <v>922</v>
      </c>
      <c r="I96" s="19" t="n">
        <v>1727</v>
      </c>
      <c r="J96" s="5" t="n">
        <v>4.5</v>
      </c>
      <c r="K96" s="5" t="inlineStr">
        <is>
          <t>https://amazon.com/dp/B08XK3DJ42</t>
        </is>
      </c>
      <c r="L96" s="163">
        <f>HYPERLINK(K96)</f>
        <v/>
      </c>
    </row>
    <row r="97" ht="17" customFormat="1" customHeight="1" s="206">
      <c r="A97" s="208" t="n">
        <v>41</v>
      </c>
      <c r="B97" s="209" t="inlineStr">
        <is>
          <t>B0CZ92SLDY</t>
        </is>
      </c>
      <c r="C97" s="343" t="inlineStr">
        <is>
          <t>VGATE vLinker FS USB FORScan OBD2 Adapter for HS/MS-CAN Auto Switch, Wire OBD2 USB FORScan Adapter Code Readers &amp; Scanner Diagnostic Tools</t>
        </is>
      </c>
      <c r="D97" s="344" t="inlineStr">
        <is>
          <t>vlinker</t>
        </is>
      </c>
      <c r="E97" s="344" t="inlineStr">
        <is>
          <t>Cable/Adapter</t>
        </is>
      </c>
      <c r="F97" s="212" t="n">
        <v>33.20383947939262</v>
      </c>
      <c r="G97" s="212" t="n">
        <v>30613.94</v>
      </c>
      <c r="H97" s="246" t="n">
        <v>922</v>
      </c>
      <c r="I97" s="213" t="n">
        <v>357</v>
      </c>
      <c r="J97" s="209" t="n">
        <v>4.5</v>
      </c>
      <c r="K97" s="209" t="inlineStr">
        <is>
          <t>https://amazon.com/dp/B0CZ92SLDY</t>
        </is>
      </c>
      <c r="L97" s="207">
        <f>HYPERLINK(K97)</f>
        <v/>
      </c>
    </row>
    <row r="98" ht="17" customHeight="1" s="314">
      <c r="A98" s="17" t="n">
        <v>42</v>
      </c>
      <c r="B98" s="5" t="inlineStr">
        <is>
          <t>B08JGK8PPM</t>
        </is>
      </c>
      <c r="C98" s="339" t="inlineStr">
        <is>
          <t>FOXWELL NT301 Plus 2-in-1 OBD2 Scanner Car Battery Tester, Professional Code Reader Check Engine Diagnostic Tool, 12V Automotive Cranking Charging Analyzer for 1996+ Vehicle, Upgrade from NT301</t>
        </is>
      </c>
      <c r="D98" s="340" t="inlineStr">
        <is>
          <t>foxwell</t>
        </is>
      </c>
      <c r="E98" s="340" t="inlineStr">
        <is>
          <t>Handheld</t>
        </is>
      </c>
      <c r="F98" s="6" t="n">
        <v>88.99382252559728</v>
      </c>
      <c r="G98" s="6" t="n">
        <v>78225.57000000001</v>
      </c>
      <c r="H98" s="244" t="n">
        <v>879</v>
      </c>
      <c r="I98" s="19" t="n">
        <v>2623</v>
      </c>
      <c r="J98" s="5" t="n">
        <v>4.5</v>
      </c>
      <c r="K98" s="5" t="inlineStr">
        <is>
          <t>https://amazon.com/dp/B08JGK8PPM</t>
        </is>
      </c>
      <c r="L98" s="183">
        <f>HYPERLINK(K98)</f>
        <v/>
      </c>
    </row>
    <row r="99" ht="17" customHeight="1" s="314">
      <c r="A99" s="17" t="n">
        <v>43</v>
      </c>
      <c r="B99" s="5" t="inlineStr">
        <is>
          <t>B07C472G5Z</t>
        </is>
      </c>
      <c r="C99" s="339" t="inlineStr">
        <is>
          <t>FIXD Bluetooth OBD2 Scanner for iPhone &amp; Android - Diagnostic Scan Tool for Repairs and Car Buying - Check Engine Code Reader &amp; Enhanced Codes - (3 Pack w/Free 14-Day FIXD Premium Bundle)</t>
        </is>
      </c>
      <c r="D99" s="340" t="inlineStr">
        <is>
          <t>fixd</t>
        </is>
      </c>
      <c r="E99" s="340" t="inlineStr">
        <is>
          <t>Dongle</t>
        </is>
      </c>
      <c r="F99" s="6" t="n">
        <v>117.9764947245017</v>
      </c>
      <c r="G99" s="6" t="n">
        <v>100633.95</v>
      </c>
      <c r="H99" s="244" t="n">
        <v>853</v>
      </c>
      <c r="I99" s="19" t="n">
        <v>1243</v>
      </c>
      <c r="J99" s="5" t="n">
        <v>4.1</v>
      </c>
      <c r="K99" s="5" t="inlineStr">
        <is>
          <t>https://amazon.com/dp/B07C472G5Z</t>
        </is>
      </c>
      <c r="L99" s="183">
        <f>HYPERLINK(K99)</f>
        <v/>
      </c>
    </row>
    <row r="100" ht="17" customHeight="1" s="314">
      <c r="A100" s="17" t="n">
        <v>44</v>
      </c>
      <c r="B100" s="5" t="inlineStr">
        <is>
          <t>B08DCNDFVK</t>
        </is>
      </c>
      <c r="C100" s="339" t="inlineStr">
        <is>
          <t>2026 FOXWELL NT614 Elite OBD2 Scanner with 5 Resets ABS Bleeding, SAS Calibration, Oil, EPB, Throttle, Upgrade of NT604 Code Reader Scan Tools, ABS SRS Engine Transmission Battery Test Car Scanner</t>
        </is>
      </c>
      <c r="D100" s="340" t="inlineStr">
        <is>
          <t>foxwell</t>
        </is>
      </c>
      <c r="E100" s="340" t="inlineStr">
        <is>
          <t>Tablet</t>
        </is>
      </c>
      <c r="F100" s="6" t="n">
        <v>172.0034824667473</v>
      </c>
      <c r="G100" s="6" t="n">
        <v>142246.88</v>
      </c>
      <c r="H100" s="244" t="n">
        <v>827</v>
      </c>
      <c r="I100" s="19" t="n">
        <v>714</v>
      </c>
      <c r="J100" s="5" t="n">
        <v>4.3</v>
      </c>
      <c r="K100" s="5" t="inlineStr">
        <is>
          <t>https://amazon.com/dp/B08DCNDFVK</t>
        </is>
      </c>
      <c r="L100" s="183">
        <f>HYPERLINK(K100)</f>
        <v/>
      </c>
    </row>
    <row r="101" ht="17" customHeight="1" s="314">
      <c r="A101" s="17" t="n">
        <v>45</v>
      </c>
      <c r="B101" s="5" t="inlineStr">
        <is>
          <t>B098PYB8XG</t>
        </is>
      </c>
      <c r="C101" s="339" t="inlineStr">
        <is>
          <t>Autel Scanner MaxiCOM MK900BT, 2026 MK900-BT V2.0 Bidirectional Diagnostic Tool, 8in Up of MK900 MX900 MK808S MK808BT MX808S MK808Z, 3000+ Active Tests, 40+ Service, CAN-FD&amp;DOIP, All System, FCA 11 OS</t>
        </is>
      </c>
      <c r="D101" s="340" t="inlineStr">
        <is>
          <t>autel</t>
        </is>
      </c>
      <c r="E101" s="340" t="inlineStr">
        <is>
          <t>Tablet</t>
        </is>
      </c>
      <c r="F101" s="6" t="n">
        <v>658.7687378640776</v>
      </c>
      <c r="G101" s="6" t="n">
        <v>542825.4399999999</v>
      </c>
      <c r="H101" s="244" t="n">
        <v>824</v>
      </c>
      <c r="I101" s="19" t="n">
        <v>708</v>
      </c>
      <c r="J101" s="5" t="n">
        <v>4.5</v>
      </c>
      <c r="K101" s="5" t="inlineStr">
        <is>
          <t>https://amazon.com/dp/B098PYB8XG</t>
        </is>
      </c>
      <c r="L101" s="207">
        <f>HYPERLINK(K101)</f>
        <v/>
      </c>
    </row>
    <row r="102" ht="17" customHeight="1" s="314">
      <c r="A102" s="17" t="n">
        <v>46</v>
      </c>
      <c r="B102" s="5" t="inlineStr">
        <is>
          <t>B0711LGRGQ</t>
        </is>
      </c>
      <c r="C102" s="339" t="inlineStr">
        <is>
          <t>bbfly-A9 OBD II OBD2 16 Pin Splitter Extension 1x Male and 2X Female Extension Cable Adapter (2FT/60CM)</t>
        </is>
      </c>
      <c r="D102" s="340" t="inlineStr">
        <is>
          <t>bbfly</t>
        </is>
      </c>
      <c r="E102" s="340" t="inlineStr">
        <is>
          <t>Cable/Adapter</t>
        </is>
      </c>
      <c r="F102" s="6" t="n">
        <v>9.888845208845209</v>
      </c>
      <c r="G102" s="6" t="n">
        <v>8049.52</v>
      </c>
      <c r="H102" s="244" t="n">
        <v>814</v>
      </c>
      <c r="I102" s="19" t="n">
        <v>3075</v>
      </c>
      <c r="J102" s="5" t="n">
        <v>4.5</v>
      </c>
      <c r="K102" s="5" t="inlineStr">
        <is>
          <t>https://amazon.com/dp/B0711LGRGQ</t>
        </is>
      </c>
      <c r="L102" s="207">
        <f>HYPERLINK(K102)</f>
        <v/>
      </c>
    </row>
    <row r="103" ht="17" customHeight="1" s="314">
      <c r="A103" s="17" t="n">
        <v>47</v>
      </c>
      <c r="B103" s="5" t="inlineStr">
        <is>
          <t>B0DP8PH63Q</t>
        </is>
      </c>
      <c r="C103" s="339" t="inlineStr">
        <is>
          <t>KINGBOLEN Ediag Elite OBD2 Scanner Bluetooth, Bidirectional Test Scanner All System Diagnostic Tool for iOS &amp; Android, 15+ Hot Reset, CANFD Protocol, FCA AutoAuth, No Subscriptions Lifetime Update</t>
        </is>
      </c>
      <c r="D103" s="340" t="inlineStr">
        <is>
          <t>kingbolen</t>
        </is>
      </c>
      <c r="E103" s="340" t="inlineStr">
        <is>
          <t>Dongle</t>
        </is>
      </c>
      <c r="F103" s="6" t="n">
        <v>99.80950186799502</v>
      </c>
      <c r="G103" s="6" t="n">
        <v>80147.03</v>
      </c>
      <c r="H103" s="244" t="n">
        <v>803</v>
      </c>
      <c r="I103" s="19" t="n">
        <v>705</v>
      </c>
      <c r="J103" s="5" t="n">
        <v>4.2</v>
      </c>
      <c r="K103" s="5" t="inlineStr">
        <is>
          <t>https://amazon.com/dp/B0DP8PH63Q</t>
        </is>
      </c>
      <c r="L103" s="183">
        <f>HYPERLINK(K103)</f>
        <v/>
      </c>
    </row>
    <row r="104" ht="17" customHeight="1" s="314">
      <c r="A104" s="17" t="n">
        <v>48</v>
      </c>
      <c r="B104" s="5" t="inlineStr">
        <is>
          <t>B0FH794MQC</t>
        </is>
      </c>
      <c r="C104" s="339" t="inlineStr">
        <is>
          <t>OBDeleven 3 Diagnostic Tool Scanner for Audi Seat Cupra Skoda Volkswagen BMW Mini Toyota Ford Mercedes-Benz (Android &amp; iOS)</t>
        </is>
      </c>
      <c r="D104" s="340" t="inlineStr">
        <is>
          <t>obdeleven</t>
        </is>
      </c>
      <c r="E104" s="340" t="inlineStr">
        <is>
          <t>Dongle</t>
        </is>
      </c>
      <c r="F104" s="6" t="n">
        <v>127.6966708542714</v>
      </c>
      <c r="G104" s="6" t="n">
        <v>101646.55</v>
      </c>
      <c r="H104" s="244" t="n">
        <v>796</v>
      </c>
      <c r="I104" s="19" t="n">
        <v>180</v>
      </c>
      <c r="J104" s="5" t="n">
        <v>3.8</v>
      </c>
      <c r="K104" s="5" t="inlineStr">
        <is>
          <t>https://amazon.com/dp/B0FH794MQC</t>
        </is>
      </c>
      <c r="L104" s="183">
        <f>HYPERLINK(K104)</f>
        <v/>
      </c>
    </row>
    <row r="105" ht="17" customFormat="1" customHeight="1" s="206">
      <c r="A105" s="208" t="n">
        <v>49</v>
      </c>
      <c r="B105" s="209" t="inlineStr">
        <is>
          <t>B0C8XSKFX8</t>
        </is>
      </c>
      <c r="C105" s="343" t="inlineStr">
        <is>
          <t>BLCKTEC 440 Bluetooth OBD2 Scanner Diagnostic Tool - Car Code Reader and Scanner for Car - Comes with Live Data - Battery/Charging System Test - Works for All OBD Compliant Cars 1996 &amp; Newer</t>
        </is>
      </c>
      <c r="D105" s="344" t="inlineStr">
        <is>
          <t>blcktec</t>
        </is>
      </c>
      <c r="E105" s="344" t="inlineStr">
        <is>
          <t>Handheld</t>
        </is>
      </c>
      <c r="F105" s="212" t="n">
        <v>68.15849176172371</v>
      </c>
      <c r="G105" s="212" t="n">
        <v>53777.05</v>
      </c>
      <c r="H105" s="246" t="n">
        <v>789</v>
      </c>
      <c r="I105" s="213" t="n">
        <v>1064</v>
      </c>
      <c r="J105" s="209" t="n">
        <v>4.5</v>
      </c>
      <c r="K105" s="209" t="inlineStr">
        <is>
          <t>https://amazon.com/dp/B0C8XSKFX8</t>
        </is>
      </c>
      <c r="L105" s="207">
        <f>HYPERLINK(K105)</f>
        <v/>
      </c>
    </row>
    <row r="106" ht="17" customHeight="1" s="314">
      <c r="A106" s="17" t="n">
        <v>50</v>
      </c>
      <c r="B106" s="5" t="inlineStr">
        <is>
          <t>B07J51W9NS</t>
        </is>
      </c>
      <c r="C106" s="339" t="inlineStr">
        <is>
          <t>ANCEL BD310 Bluetooth OBD2 Scanner, 2-in-1 Car Diagnostic Scan Tool &amp; Code Reader with App, Battery Test, Trip Analysis, Performance Test, for iPhone &amp; Android, All 1996+ Vehicles</t>
        </is>
      </c>
      <c r="D106" s="340" t="inlineStr">
        <is>
          <t>ancel</t>
        </is>
      </c>
      <c r="E106" s="340" t="inlineStr">
        <is>
          <t>Handheld</t>
        </is>
      </c>
      <c r="F106" s="6" t="n">
        <v>59.07334630350195</v>
      </c>
      <c r="G106" s="6" t="n">
        <v>45545.55</v>
      </c>
      <c r="H106" s="244" t="n">
        <v>771</v>
      </c>
      <c r="I106" s="19" t="n">
        <v>1574</v>
      </c>
      <c r="J106" s="5" t="n">
        <v>4.4</v>
      </c>
      <c r="K106" s="5" t="inlineStr">
        <is>
          <t>https://amazon.com/dp/B07J51W9NS</t>
        </is>
      </c>
      <c r="L106" s="163">
        <f>HYPERLINK(K106)</f>
        <v/>
      </c>
    </row>
  </sheetData>
  <mergeCells count="2">
    <mergeCell ref="A55:L55"/>
    <mergeCell ref="A1:L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codeName="Sheet4">
    <outlinePr summaryBelow="1" summaryRight="1"/>
    <pageSetUpPr/>
  </sheetPr>
  <dimension ref="A1:N100"/>
  <sheetViews>
    <sheetView zoomScale="94" workbookViewId="0">
      <selection activeCell="P10" sqref="P10"/>
    </sheetView>
  </sheetViews>
  <sheetFormatPr baseColWidth="10" defaultColWidth="11.1640625" defaultRowHeight="16"/>
  <cols>
    <col width="50.6640625" customWidth="1" style="89" min="1" max="1"/>
    <col width="12.6640625" customWidth="1" style="89" min="2" max="2"/>
    <col width="9"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3" bestFit="1" customWidth="1" style="89" min="12" max="12"/>
    <col hidden="1" width="28.5" customWidth="1" style="89" min="13" max="13"/>
    <col width="35.6640625" customWidth="1" style="89" min="14" max="14"/>
    <col width="11.1640625" customWidth="1" style="89" min="15" max="16384"/>
  </cols>
  <sheetData>
    <row r="1">
      <c r="A1" s="317" t="inlineStr">
        <is>
          <t>Innova Monthly Summary</t>
        </is>
      </c>
    </row>
    <row r="2"/>
    <row r="3"/>
    <row r="4"/>
    <row r="5"/>
    <row r="6">
      <c r="A6" s="90" t="n"/>
      <c r="B6" s="91" t="n"/>
      <c r="C6" s="92" t="n"/>
      <c r="D6" s="91" t="n"/>
      <c r="E6" s="91" t="n"/>
      <c r="F6" s="90" t="n"/>
      <c r="G6" s="91" t="n"/>
      <c r="H6" s="91" t="n"/>
      <c r="I6" s="91" t="n"/>
      <c r="J6" s="91" t="n"/>
      <c r="K6" s="93" t="n"/>
      <c r="L6" s="91" t="n"/>
    </row>
    <row r="7">
      <c r="A7" s="307" t="inlineStr">
        <is>
          <t>Rank by Revenue</t>
        </is>
      </c>
    </row>
    <row r="8" ht="34" customHeight="1" s="314">
      <c r="A8" s="46" t="inlineStr">
        <is>
          <t>Product Name</t>
        </is>
      </c>
      <c r="B8" s="47" t="inlineStr">
        <is>
          <t>ASIN</t>
        </is>
      </c>
      <c r="C8" s="47" t="inlineStr">
        <is>
          <t>Item #</t>
        </is>
      </c>
      <c r="D8" s="47" t="inlineStr">
        <is>
          <t>1P/3P</t>
        </is>
      </c>
      <c r="E8" s="47" t="inlineStr">
        <is>
          <t>Type</t>
        </is>
      </c>
      <c r="F8" s="345"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6" t="inlineStr">
        <is>
          <t>Link</t>
        </is>
      </c>
    </row>
    <row r="9" ht="45" customHeight="1" s="314">
      <c r="A9" s="90" t="inlineStr">
        <is>
          <t>Innova 5610 OBD2 Bidirectional Scan Tool - Understand Your Vehicle, Pinpoint What's Wrong, and Complete Your Repairs with Less Headache, Updates Included, US-Based Technical Support</t>
        </is>
      </c>
      <c r="B9" s="90" t="inlineStr">
        <is>
          <t>B07Z481NJM</t>
        </is>
      </c>
      <c r="C9" s="94" t="inlineStr">
        <is>
          <t>5610</t>
        </is>
      </c>
      <c r="D9" s="90" t="inlineStr">
        <is>
          <t>3P</t>
        </is>
      </c>
      <c r="E9" s="90" t="inlineStr">
        <is>
          <t>Handheld</t>
        </is>
      </c>
      <c r="F9" s="347" t="n">
        <v>292.6118611449452</v>
      </c>
      <c r="G9" s="348" t="n">
        <v>11645944.12</v>
      </c>
      <c r="H9" s="349" t="n">
        <v>1201171.69</v>
      </c>
      <c r="I9" s="98" t="n">
        <v>39046</v>
      </c>
      <c r="J9" s="98" t="n">
        <v>4105</v>
      </c>
      <c r="K9" s="98" t="n">
        <v>3435</v>
      </c>
      <c r="L9" s="99" t="n">
        <v>4.4</v>
      </c>
      <c r="M9" s="99" t="inlineStr">
        <is>
          <t>https://amazon.com/dp/B07Z481NJM</t>
        </is>
      </c>
      <c r="N9" s="183">
        <f>HYPERLINK(Table1[[#This Row],[Column1]])</f>
        <v/>
      </c>
    </row>
    <row r="10" ht="45" customHeight="1" s="314">
      <c r="A10" s="90" t="inlineStr">
        <is>
          <t>Innova 5210 OBD2 Scanner &amp; Engine Code Reader, Battery Tester, Live Data, Oil Reset, Car Diagnostic Tool for Most Vehicles, Bluetooth Compatible with America's Top Car Repair App</t>
        </is>
      </c>
      <c r="B10" s="90" t="inlineStr">
        <is>
          <t>B07Z46L5FG</t>
        </is>
      </c>
      <c r="C10" s="94" t="inlineStr">
        <is>
          <t>5210</t>
        </is>
      </c>
      <c r="D10" s="90" t="inlineStr">
        <is>
          <t>3P</t>
        </is>
      </c>
      <c r="E10" s="90" t="inlineStr">
        <is>
          <t>Handheld</t>
        </is>
      </c>
      <c r="F10" s="347" t="n">
        <v>87.48796262367168</v>
      </c>
      <c r="G10" s="348" t="n">
        <v>2540961.49</v>
      </c>
      <c r="H10" s="349" t="n">
        <v>238754.65</v>
      </c>
      <c r="I10" s="98" t="n">
        <v>28360</v>
      </c>
      <c r="J10" s="98" t="n">
        <v>2729</v>
      </c>
      <c r="K10" s="98" t="n">
        <v>3977</v>
      </c>
      <c r="L10" s="99" t="n">
        <v>4.5</v>
      </c>
      <c r="M10" s="99" t="inlineStr">
        <is>
          <t>https://amazon.com/dp/B07Z46L5FG</t>
        </is>
      </c>
      <c r="N10" s="183">
        <f>HYPERLINK(Table1[[#This Row],[Column1]])</f>
        <v/>
      </c>
    </row>
    <row r="11" ht="30" customHeight="1" s="314">
      <c r="A11" s="90" t="inlineStr">
        <is>
          <t>Innova 5410 All-System OBD2 Scanner Diagnostic Tool for Cars &amp; Trucks – Automotive Scan Tools for Engine, ABS, SRS &amp; Transmission, Bluetooth Compatible with America's Top Car Repair App</t>
        </is>
      </c>
      <c r="B11" s="90" t="inlineStr">
        <is>
          <t>B07ZL7CLYR</t>
        </is>
      </c>
      <c r="C11" s="94" t="inlineStr">
        <is>
          <t>5410</t>
        </is>
      </c>
      <c r="D11" s="90" t="inlineStr">
        <is>
          <t>3P</t>
        </is>
      </c>
      <c r="E11" s="90" t="inlineStr">
        <is>
          <t>Handheld</t>
        </is>
      </c>
      <c r="F11" s="347" t="n">
        <v>153.9972163120567</v>
      </c>
      <c r="G11" s="348" t="n">
        <v>1014363.7</v>
      </c>
      <c r="H11" s="349" t="n">
        <v>86854.42999999999</v>
      </c>
      <c r="I11" s="98" t="n">
        <v>6150</v>
      </c>
      <c r="J11" s="98" t="n">
        <v>564</v>
      </c>
      <c r="K11" s="98" t="n">
        <v>680</v>
      </c>
      <c r="L11" s="99" t="n">
        <v>4.4</v>
      </c>
      <c r="M11" s="99" t="inlineStr">
        <is>
          <t>https://amazon.com/dp/B07ZL7CLYR</t>
        </is>
      </c>
      <c r="N11" s="183">
        <f>HYPERLINK(Table1[[#This Row],[Column1]])</f>
        <v/>
      </c>
    </row>
    <row r="12" ht="45" customHeight="1" s="314">
      <c r="A12" s="90" t="inlineStr">
        <is>
          <t>Innova 3568 Digital Timing Light</t>
        </is>
      </c>
      <c r="B12" s="90" t="inlineStr">
        <is>
          <t>B000EVYGV4</t>
        </is>
      </c>
      <c r="C12" s="94" t="inlineStr">
        <is>
          <t>3568</t>
        </is>
      </c>
      <c r="D12" s="90" t="inlineStr">
        <is>
          <t>1P</t>
        </is>
      </c>
      <c r="E12" s="90" t="inlineStr">
        <is>
          <t>Other</t>
        </is>
      </c>
      <c r="F12" s="347" t="n">
        <v>79.89569668246446</v>
      </c>
      <c r="G12" s="348" t="n">
        <v>1017963.363076923</v>
      </c>
      <c r="H12" s="349" t="n">
        <v>84289.96000000001</v>
      </c>
      <c r="I12" s="98" t="n">
        <v>1055</v>
      </c>
      <c r="J12" s="98" t="n">
        <v>1055</v>
      </c>
      <c r="K12" s="98" t="n">
        <v>0</v>
      </c>
      <c r="L12" s="99" t="n">
        <v>0</v>
      </c>
      <c r="M12" s="99" t="inlineStr">
        <is>
          <t>https://www.amazon.com/dp/B000EVYGV4</t>
        </is>
      </c>
      <c r="N12" s="183">
        <f>HYPERLINK(Table1[[#This Row],[Column1]])</f>
        <v/>
      </c>
    </row>
    <row r="13" ht="30" customHeight="1" s="314">
      <c r="A13" s="90" t="inlineStr">
        <is>
          <t>Innova SD35 OBD2 Scanner – ABS, SRS, TPMS &amp; Check Engine Code Reader, Live Data, All System Diagnostics, Compatible with Most Vehicles</t>
        </is>
      </c>
      <c r="B13" s="90" t="inlineStr">
        <is>
          <t>B0F254MVB5</t>
        </is>
      </c>
      <c r="C13" s="94" t="inlineStr">
        <is>
          <t>SD35</t>
        </is>
      </c>
      <c r="D13" s="90" t="inlineStr">
        <is>
          <t>3P</t>
        </is>
      </c>
      <c r="E13" s="90" t="inlineStr">
        <is>
          <t>Tablet</t>
        </is>
      </c>
      <c r="F13" s="347" t="n">
        <v>142.2215175097276</v>
      </c>
      <c r="G13" s="348" t="n">
        <v>1070841.26</v>
      </c>
      <c r="H13" s="349" t="n">
        <v>36550.93</v>
      </c>
      <c r="I13" s="98" t="n">
        <v>7985</v>
      </c>
      <c r="J13" s="98" t="n">
        <v>257</v>
      </c>
      <c r="K13" s="98" t="n">
        <v>336</v>
      </c>
      <c r="L13" s="99" t="n">
        <v>4.5</v>
      </c>
      <c r="M13" s="99" t="inlineStr">
        <is>
          <t>https://amazon.com/dp/B0F254MVB5</t>
        </is>
      </c>
      <c r="N13" s="183">
        <f>HYPERLINK(Table1[[#This Row],[Column1]])</f>
        <v/>
      </c>
    </row>
    <row r="14" ht="45" customHeight="1" s="314">
      <c r="A14" s="90" t="inlineStr">
        <is>
          <t>Innova 3380 Automotive Borescope with Light, 2.7" Inspection Camera, 39" Extension, IP67 Waterproof Digital Scope</t>
        </is>
      </c>
      <c r="B14" s="90" t="inlineStr">
        <is>
          <t>B082JCSB4Z</t>
        </is>
      </c>
      <c r="C14" s="94" t="inlineStr">
        <is>
          <t>3380</t>
        </is>
      </c>
      <c r="D14" s="90" t="inlineStr">
        <is>
          <t>3P</t>
        </is>
      </c>
      <c r="E14" s="90" t="inlineStr">
        <is>
          <t>Other</t>
        </is>
      </c>
      <c r="F14" s="347" t="n">
        <v>82.5832541567696</v>
      </c>
      <c r="G14" s="348" t="n">
        <v>419885.0269230769</v>
      </c>
      <c r="H14" s="349" t="n">
        <v>34767.55</v>
      </c>
      <c r="I14" s="98" t="n">
        <v>421</v>
      </c>
      <c r="J14" s="98" t="n">
        <v>421</v>
      </c>
      <c r="K14" s="98" t="n">
        <v>0</v>
      </c>
      <c r="L14" s="99" t="n">
        <v>0</v>
      </c>
      <c r="M14" s="99" t="inlineStr">
        <is>
          <t>https://www.amazon.com/dp/B082JCSB4Z</t>
        </is>
      </c>
      <c r="N14" s="183">
        <f>HYPERLINK(Table1[[#This Row],[Column1]])</f>
        <v/>
      </c>
    </row>
    <row r="15" ht="45" customHeight="1" s="314">
      <c r="A15" s="90" t="inlineStr">
        <is>
          <t>INNOVA 5310 OBD2 Scanner – ABS &amp; SRS Code Reader, Check Engine Light Diagnostic Tool with Battery Test, Oil Reset, Live Data – Works with Most OBDII Vehicles 1996 &amp; Newer</t>
        </is>
      </c>
      <c r="B15" s="90" t="inlineStr">
        <is>
          <t>B07ZL746BR</t>
        </is>
      </c>
      <c r="C15" s="94" t="inlineStr">
        <is>
          <t>5310</t>
        </is>
      </c>
      <c r="D15" s="90" t="inlineStr">
        <is>
          <t>3P</t>
        </is>
      </c>
      <c r="E15" s="90" t="inlineStr">
        <is>
          <t>Handheld</t>
        </is>
      </c>
      <c r="F15" s="347" t="n">
        <v>127.4812053571429</v>
      </c>
      <c r="G15" s="348" t="n">
        <v>326612.54</v>
      </c>
      <c r="H15" s="349" t="n">
        <v>28555.79</v>
      </c>
      <c r="I15" s="98" t="n">
        <v>2661</v>
      </c>
      <c r="J15" s="98" t="n">
        <v>224</v>
      </c>
      <c r="K15" s="98" t="n">
        <v>830</v>
      </c>
      <c r="L15" s="99" t="n">
        <v>4.5</v>
      </c>
      <c r="M15" s="99" t="inlineStr">
        <is>
          <t>https://amazon.com/dp/B07ZL746BR</t>
        </is>
      </c>
      <c r="N15" s="183">
        <f>HYPERLINK(Table1[[#This Row],[Column1]])</f>
        <v/>
      </c>
    </row>
    <row r="16" ht="17" customHeight="1" s="314">
      <c r="A16" s="90" t="inlineStr">
        <is>
          <t>INNOVA 3145 Ford Digital OBD1 Code Reader</t>
        </is>
      </c>
      <c r="B16" s="90" t="inlineStr">
        <is>
          <t>B000EW0KHW</t>
        </is>
      </c>
      <c r="C16" s="94" t="inlineStr">
        <is>
          <t>3145</t>
        </is>
      </c>
      <c r="D16" s="90" t="inlineStr">
        <is>
          <t>1P</t>
        </is>
      </c>
      <c r="E16" s="90" t="inlineStr">
        <is>
          <t>Handheld</t>
        </is>
      </c>
      <c r="F16" s="347" t="n">
        <v>39.82766475644699</v>
      </c>
      <c r="G16" s="348" t="n">
        <v>335734.9592307693</v>
      </c>
      <c r="H16" s="349" t="n">
        <v>27799.71</v>
      </c>
      <c r="I16" s="98" t="n">
        <v>698</v>
      </c>
      <c r="J16" s="98" t="n">
        <v>698</v>
      </c>
      <c r="K16" s="98" t="n">
        <v>6858</v>
      </c>
      <c r="L16" s="99" t="n">
        <v>4.4</v>
      </c>
      <c r="M16" s="99" t="inlineStr">
        <is>
          <t>https://amazon.com/dp/B000EW0KHW</t>
        </is>
      </c>
      <c r="N16" s="183">
        <f>HYPERLINK(Table1[[#This Row],[Column1]])</f>
        <v/>
      </c>
    </row>
    <row r="17" ht="45" customHeight="1" s="314">
      <c r="A17" s="90" t="inlineStr">
        <is>
          <t>Innova 1000 Bluetooth OBD2 Scanner for iPhone &amp; Android - Predict Car Problems Before They Happen - No Subscriptions - Detect Check Engine, ABS, SRS Issues for Cars 1996+</t>
        </is>
      </c>
      <c r="B17" s="90" t="inlineStr">
        <is>
          <t>B0D32BNNQ9</t>
        </is>
      </c>
      <c r="C17" s="94" t="inlineStr">
        <is>
          <t>1000</t>
        </is>
      </c>
      <c r="D17" s="90" t="inlineStr">
        <is>
          <t>3P</t>
        </is>
      </c>
      <c r="E17" s="90" t="inlineStr">
        <is>
          <t>Dongle</t>
        </is>
      </c>
      <c r="F17" s="347" t="n">
        <v>89.44265232974911</v>
      </c>
      <c r="G17" s="348" t="n">
        <v>506840.65</v>
      </c>
      <c r="H17" s="349" t="n">
        <v>24954.5</v>
      </c>
      <c r="I17" s="98" t="n">
        <v>5510</v>
      </c>
      <c r="J17" s="98" t="n">
        <v>279</v>
      </c>
      <c r="K17" s="98" t="n">
        <v>407</v>
      </c>
      <c r="L17" s="99" t="n">
        <v>4.3</v>
      </c>
      <c r="M17" s="99" t="inlineStr">
        <is>
          <t>https://amazon.com/dp/B0D32BNNQ9</t>
        </is>
      </c>
      <c r="N17" s="183">
        <f>HYPERLINK(Table1[[#This Row],[Column1]])</f>
        <v/>
      </c>
    </row>
    <row r="18" ht="30" customHeight="1" s="314">
      <c r="A18" s="90" t="inlineStr">
        <is>
          <t>Innova SDS43 OBD2 Scanner Diagnostic Tool - Bidirectional Tablet Scanner for Engine, ABS, SRS, Transmission - Compatible with Most Vehicles</t>
        </is>
      </c>
      <c r="B18" s="90" t="inlineStr">
        <is>
          <t>B0F4M2MZYN</t>
        </is>
      </c>
      <c r="C18" s="94" t="inlineStr">
        <is>
          <t>SDS43</t>
        </is>
      </c>
      <c r="D18" s="90" t="inlineStr">
        <is>
          <t>3P</t>
        </is>
      </c>
      <c r="E18" s="90" t="inlineStr">
        <is>
          <t>Tablet</t>
        </is>
      </c>
      <c r="F18" s="347" t="n">
        <v>280.19875</v>
      </c>
      <c r="G18" s="348" t="n">
        <v>171634.31</v>
      </c>
      <c r="H18" s="349" t="n">
        <v>13449.54</v>
      </c>
      <c r="I18" s="98" t="n">
        <v>651</v>
      </c>
      <c r="J18" s="98" t="n">
        <v>48</v>
      </c>
      <c r="K18" s="98" t="n">
        <v>62</v>
      </c>
      <c r="L18" s="99" t="n">
        <v>4</v>
      </c>
      <c r="M18" s="99" t="inlineStr">
        <is>
          <t>https://amazon.com/dp/B0F4M2MZYN</t>
        </is>
      </c>
      <c r="N18" s="183">
        <f>HYPERLINK(Table1[[#This Row],[Column1]])</f>
        <v/>
      </c>
    </row>
    <row r="19" ht="45" customHeight="1" s="314">
      <c r="A19" s="90" t="inlineStr">
        <is>
          <t>Innova 3555 Advance Timing Light</t>
        </is>
      </c>
      <c r="B19" s="90" t="inlineStr">
        <is>
          <t>B000EVYH7W</t>
        </is>
      </c>
      <c r="C19" s="94" t="inlineStr">
        <is>
          <t>3555</t>
        </is>
      </c>
      <c r="D19" s="90" t="inlineStr">
        <is>
          <t>1P</t>
        </is>
      </c>
      <c r="E19" s="90" t="inlineStr">
        <is>
          <t>Other</t>
        </is>
      </c>
      <c r="F19" s="347" t="n">
        <v>55.06609756097561</v>
      </c>
      <c r="G19" s="348" t="n">
        <v>136330.95</v>
      </c>
      <c r="H19" s="349" t="n">
        <v>11288.55</v>
      </c>
      <c r="I19" s="98" t="n">
        <v>205</v>
      </c>
      <c r="J19" s="98" t="n">
        <v>205</v>
      </c>
      <c r="K19" s="98" t="n">
        <v>0</v>
      </c>
      <c r="L19" s="99" t="n">
        <v>0</v>
      </c>
      <c r="M19" s="99" t="inlineStr">
        <is>
          <t>https://www.amazon.com/dp/B000EVYH7W</t>
        </is>
      </c>
      <c r="N19" s="183">
        <f>HYPERLINK(Table1[[#This Row],[Column1]])</f>
        <v/>
      </c>
    </row>
    <row r="20" ht="17" customHeight="1" s="314">
      <c r="A20" s="90" t="inlineStr">
        <is>
          <t>INNOVA 3320 Auto-Ranging Digital Multimeter, Red &amp; Black</t>
        </is>
      </c>
      <c r="B20" s="90" t="inlineStr">
        <is>
          <t>B000EVYGZA</t>
        </is>
      </c>
      <c r="C20" s="94" t="inlineStr">
        <is>
          <t>3320</t>
        </is>
      </c>
      <c r="D20" s="90" t="inlineStr">
        <is>
          <t>1P+3P</t>
        </is>
      </c>
      <c r="E20" s="90" t="inlineStr">
        <is>
          <t>Other</t>
        </is>
      </c>
      <c r="F20" s="347" t="n">
        <v>35.61220779220779</v>
      </c>
      <c r="G20" s="348" t="n">
        <v>132466.4553846154</v>
      </c>
      <c r="H20" s="349" t="n">
        <v>10968.56</v>
      </c>
      <c r="I20" s="98" t="n">
        <v>308</v>
      </c>
      <c r="J20" s="98" t="n">
        <v>308</v>
      </c>
      <c r="K20" s="98" t="n">
        <v>0</v>
      </c>
      <c r="L20" s="99" t="n">
        <v>0</v>
      </c>
      <c r="M20" s="99" t="inlineStr">
        <is>
          <t>https://www.amazon.com/dp/B000EVYGZA</t>
        </is>
      </c>
      <c r="N20" s="183">
        <f>HYPERLINK(Table1[[#This Row],[Column1]])</f>
        <v/>
      </c>
    </row>
    <row r="21" ht="30" customHeight="1" s="314">
      <c r="A21" s="90" t="inlineStr">
        <is>
          <t>INNOVA 5510 OBD2 Scanner, Scan Tool for ABS, All System Scanner, Caliper Service, Brake Pad Life, Read/Erase ABS/SRS Codes, Reset Oil Light, Live Data, Updates Included</t>
        </is>
      </c>
      <c r="B21" s="90" t="inlineStr">
        <is>
          <t>B07Z48NKF1</t>
        </is>
      </c>
      <c r="C21" s="94" t="inlineStr">
        <is>
          <t>5510</t>
        </is>
      </c>
      <c r="D21" s="90" t="inlineStr">
        <is>
          <t>3P</t>
        </is>
      </c>
      <c r="E21" s="90" t="inlineStr">
        <is>
          <t>Handheld</t>
        </is>
      </c>
      <c r="F21" s="347" t="n">
        <v>224.99</v>
      </c>
      <c r="G21" s="348" t="n">
        <v>79422.56</v>
      </c>
      <c r="H21" s="349" t="n">
        <v>9899.559999999999</v>
      </c>
      <c r="I21" s="98" t="n">
        <v>358</v>
      </c>
      <c r="J21" s="98" t="n">
        <v>44</v>
      </c>
      <c r="K21" s="98" t="n">
        <v>292</v>
      </c>
      <c r="L21" s="99" t="n">
        <v>4.1</v>
      </c>
      <c r="M21" s="99" t="inlineStr">
        <is>
          <t>https://amazon.com/dp/B07Z48NKF1</t>
        </is>
      </c>
      <c r="N21" s="183">
        <f>HYPERLINK(Table1[[#This Row],[Column1]])</f>
        <v/>
      </c>
    </row>
    <row r="22" ht="30" customHeight="1" s="314">
      <c r="A22" s="90" t="inlineStr">
        <is>
          <t>Innova 3129 OBD-1 Kit (Includes OBD1 Adapters &amp; Pouch) , Black</t>
        </is>
      </c>
      <c r="B22" s="90" t="inlineStr">
        <is>
          <t>B078BHTCK1</t>
        </is>
      </c>
      <c r="C22" s="94" t="inlineStr">
        <is>
          <t>3129</t>
        </is>
      </c>
      <c r="D22" s="90" t="inlineStr">
        <is>
          <t>1P+3P</t>
        </is>
      </c>
      <c r="E22" s="90" t="inlineStr">
        <is>
          <t>Cable/Adapter</t>
        </is>
      </c>
      <c r="F22" s="347" t="n">
        <v>106.7930120481928</v>
      </c>
      <c r="G22" s="348" t="n">
        <v>107047.6723076923</v>
      </c>
      <c r="H22" s="349" t="n">
        <v>8863.82</v>
      </c>
      <c r="I22" s="98" t="n">
        <v>83</v>
      </c>
      <c r="J22" s="98" t="n">
        <v>83</v>
      </c>
      <c r="K22" s="98" t="n">
        <v>200</v>
      </c>
      <c r="L22" s="99" t="n">
        <v>4.3</v>
      </c>
      <c r="M22" s="99" t="inlineStr">
        <is>
          <t>https://amazon.com/dp/B078BHTCK1</t>
        </is>
      </c>
      <c r="N22" s="183">
        <f>HYPERLINK(Table1[[#This Row],[Column1]])</f>
        <v/>
      </c>
    </row>
    <row r="23" ht="45" customHeight="1" s="314">
      <c r="A23" s="90" t="inlineStr">
        <is>
          <t>INNOVA 5160RS, OBD2 Bidirectional Scan Tool, OE-Level All System Diagnostics, Reset Oil Light/Battery/EPB/SAS/DPF, Mechanic Recommended Fixes &amp; Parts, TSBs, 1yr Warranty, Free Updates</t>
        </is>
      </c>
      <c r="B23" s="90" t="inlineStr">
        <is>
          <t>B071VYLP32</t>
        </is>
      </c>
      <c r="C23" s="94" t="inlineStr">
        <is>
          <t>5160RS</t>
        </is>
      </c>
      <c r="D23" s="90" t="inlineStr">
        <is>
          <t>1P</t>
        </is>
      </c>
      <c r="E23" s="90" t="inlineStr">
        <is>
          <t>Handheld</t>
        </is>
      </c>
      <c r="F23" s="347" t="n">
        <v>317.482962962963</v>
      </c>
      <c r="G23" s="348" t="n">
        <v>137375.98</v>
      </c>
      <c r="H23" s="349" t="n">
        <v>8572.040000000001</v>
      </c>
      <c r="I23" s="98" t="n">
        <v>434</v>
      </c>
      <c r="J23" s="98" t="n">
        <v>27</v>
      </c>
      <c r="K23" s="98" t="n">
        <v>300</v>
      </c>
      <c r="L23" s="99" t="n">
        <v>4.2</v>
      </c>
      <c r="M23" s="99" t="inlineStr">
        <is>
          <t>https://amazon.com/dp/B071VYLP32</t>
        </is>
      </c>
      <c r="N23" s="183">
        <f>HYPERLINK(Table1[[#This Row],[Column1]])</f>
        <v/>
      </c>
    </row>
    <row r="24" ht="30" customHeight="1" s="314">
      <c r="A24" s="90" t="inlineStr">
        <is>
          <t>Innova 3551 Inductive Timing Light</t>
        </is>
      </c>
      <c r="B24" s="90" t="inlineStr">
        <is>
          <t>B000EVYH72</t>
        </is>
      </c>
      <c r="C24" s="94" t="inlineStr">
        <is>
          <t>3551</t>
        </is>
      </c>
      <c r="D24" s="90" t="inlineStr">
        <is>
          <t>1P</t>
        </is>
      </c>
      <c r="E24" s="90" t="inlineStr">
        <is>
          <t>Other</t>
        </is>
      </c>
      <c r="F24" s="347" t="n">
        <v>38.83009661835749</v>
      </c>
      <c r="G24" s="348" t="n">
        <v>97072.25461538462</v>
      </c>
      <c r="H24" s="349" t="n">
        <v>8037.83</v>
      </c>
      <c r="I24" s="98" t="n">
        <v>207</v>
      </c>
      <c r="J24" s="98" t="n">
        <v>207</v>
      </c>
      <c r="K24" s="98" t="n">
        <v>0</v>
      </c>
      <c r="L24" s="99" t="n">
        <v>0</v>
      </c>
      <c r="M24" s="99" t="inlineStr">
        <is>
          <t>https://www.amazon.com/dp/B000EVYH72</t>
        </is>
      </c>
      <c r="N24" s="183">
        <f>HYPERLINK(Table1[[#This Row],[Column1]])</f>
        <v/>
      </c>
    </row>
    <row r="25" ht="30" customHeight="1" s="314">
      <c r="A25" s="90" t="inlineStr">
        <is>
          <t>INNOVA 3123 GM OBD1 Code Reader, Windows XP</t>
        </is>
      </c>
      <c r="B25" s="90" t="inlineStr">
        <is>
          <t>B000EVU8C0</t>
        </is>
      </c>
      <c r="C25" s="94" t="inlineStr">
        <is>
          <t>3123</t>
        </is>
      </c>
      <c r="D25" s="90" t="inlineStr">
        <is>
          <t>1P</t>
        </is>
      </c>
      <c r="E25" s="90" t="inlineStr">
        <is>
          <t>OBD1</t>
        </is>
      </c>
      <c r="F25" s="347" t="n">
        <v>14.99135559921415</v>
      </c>
      <c r="G25" s="348" t="n">
        <v>92154.16923076924</v>
      </c>
      <c r="H25" s="349" t="n">
        <v>7630.6</v>
      </c>
      <c r="I25" s="98" t="n">
        <v>509</v>
      </c>
      <c r="J25" s="98" t="n">
        <v>509</v>
      </c>
      <c r="K25" s="98" t="n">
        <v>6860</v>
      </c>
      <c r="L25" s="99" t="n">
        <v>4.4</v>
      </c>
      <c r="M25" s="99" t="inlineStr">
        <is>
          <t>https://amazon.com/dp/B000EVU8C0</t>
        </is>
      </c>
      <c r="N25" s="183">
        <f>HYPERLINK(Table1[[#This Row],[Column1]])</f>
        <v/>
      </c>
    </row>
    <row r="26" ht="45" customHeight="1" s="314">
      <c r="A26" s="90" t="inlineStr">
        <is>
          <t>Innova 3340 Professional Automotive Digital Multimeter, Black</t>
        </is>
      </c>
      <c r="B26" s="90" t="inlineStr">
        <is>
          <t>B000KIMHRQ</t>
        </is>
      </c>
      <c r="C26" s="94" t="inlineStr">
        <is>
          <t>3340</t>
        </is>
      </c>
      <c r="D26" s="90" t="inlineStr">
        <is>
          <t>1P+3P</t>
        </is>
      </c>
      <c r="E26" s="90" t="inlineStr">
        <is>
          <t>Other</t>
        </is>
      </c>
      <c r="F26" s="347" t="n">
        <v>90.64324999999999</v>
      </c>
      <c r="G26" s="348" t="n">
        <v>87575.32461538461</v>
      </c>
      <c r="H26" s="349" t="n">
        <v>7251.46</v>
      </c>
      <c r="I26" s="98" t="n">
        <v>80</v>
      </c>
      <c r="J26" s="98" t="n">
        <v>80</v>
      </c>
      <c r="K26" s="98" t="n">
        <v>0</v>
      </c>
      <c r="L26" s="99" t="n">
        <v>0</v>
      </c>
      <c r="M26" s="99" t="inlineStr">
        <is>
          <t>https://www.amazon.com/dp/B000KIMHRQ</t>
        </is>
      </c>
      <c r="N26" s="183">
        <f>HYPERLINK(Table1[[#This Row],[Column1]])</f>
        <v/>
      </c>
    </row>
    <row r="27" ht="17" customHeight="1" s="314">
      <c r="A27" s="90" t="inlineStr">
        <is>
          <t>INNOVA 3100RS, OBD2 Scanner, ABS SRS Airbag Scan Tool with Airbag Light &amp; Oil Light Reset, Stream Graph &amp; Record Live Data, Get Suggested Repair &amp; Parts on iPhone or Android</t>
        </is>
      </c>
      <c r="B27" s="90" t="inlineStr">
        <is>
          <t>B084SW4K8J</t>
        </is>
      </c>
      <c r="C27" s="94" t="inlineStr">
        <is>
          <t>3100RS</t>
        </is>
      </c>
      <c r="D27" s="90" t="inlineStr">
        <is>
          <t>1P+3P</t>
        </is>
      </c>
      <c r="E27" s="90" t="inlineStr">
        <is>
          <t>Handheld</t>
        </is>
      </c>
      <c r="F27" s="347" t="n">
        <v>140.0402</v>
      </c>
      <c r="G27" s="348" t="n">
        <v>88653.43999999999</v>
      </c>
      <c r="H27" s="349" t="n">
        <v>7002.01</v>
      </c>
      <c r="I27" s="98" t="n">
        <v>640</v>
      </c>
      <c r="J27" s="98" t="n">
        <v>50</v>
      </c>
      <c r="K27" s="98" t="n">
        <v>533</v>
      </c>
      <c r="L27" s="99" t="n">
        <v>4.4</v>
      </c>
      <c r="M27" s="99" t="inlineStr">
        <is>
          <t>https://amazon.com/dp/B084SW4K8J</t>
        </is>
      </c>
      <c r="N27" s="183">
        <f>HYPERLINK(Table1[[#This Row],[Column1]])</f>
        <v/>
      </c>
    </row>
    <row r="28" ht="45" customHeight="1" s="314">
      <c r="A28" s="90" t="inlineStr">
        <is>
          <t>INNOVA 3040RS, OBD2 Scanner, Live Data Streamer, Battery/Alt Tester, Reset Check Engine Light/Brake Light/Oil Light, Free Mechanic Recommended Fix &amp; Parts &amp; Est Repair Cost, Free Updates</t>
        </is>
      </c>
      <c r="B28" s="90" t="inlineStr">
        <is>
          <t>B084SVS383</t>
        </is>
      </c>
      <c r="C28" s="94" t="inlineStr">
        <is>
          <t>3040RS</t>
        </is>
      </c>
      <c r="D28" s="90" t="inlineStr">
        <is>
          <t>1P</t>
        </is>
      </c>
      <c r="E28" s="90" t="inlineStr">
        <is>
          <t>Handheld</t>
        </is>
      </c>
      <c r="F28" s="347" t="n">
        <v>104.99</v>
      </c>
      <c r="G28" s="348" t="n">
        <v>117640.11</v>
      </c>
      <c r="H28" s="349" t="n">
        <v>6824.35</v>
      </c>
      <c r="I28" s="98" t="n">
        <v>1185</v>
      </c>
      <c r="J28" s="98" t="n">
        <v>65</v>
      </c>
      <c r="K28" s="98" t="n">
        <v>606</v>
      </c>
      <c r="L28" s="99" t="n">
        <v>4.4</v>
      </c>
      <c r="M28" s="99" t="inlineStr">
        <is>
          <t>https://amazon.com/dp/B084SVS383</t>
        </is>
      </c>
      <c r="N28" s="183">
        <f>HYPERLINK(Table1[[#This Row],[Column1]])</f>
        <v/>
      </c>
    </row>
    <row r="29" ht="45" customHeight="1" s="314">
      <c r="A29" s="90" t="inlineStr">
        <is>
          <t>INNOVA 5110 Check Engine Code Reader - Super Simple Car Scanner for All Levels - Works on Most 1996 &amp; Newer OBDII Cars</t>
        </is>
      </c>
      <c r="B29" s="90" t="inlineStr">
        <is>
          <t>B07Z46KNLR</t>
        </is>
      </c>
      <c r="C29" s="94" t="inlineStr">
        <is>
          <t>5110</t>
        </is>
      </c>
      <c r="D29" s="90" t="inlineStr">
        <is>
          <t>3P</t>
        </is>
      </c>
      <c r="E29" s="90" t="inlineStr">
        <is>
          <t>Handheld</t>
        </is>
      </c>
      <c r="F29" s="347" t="n">
        <v>65.72888888888889</v>
      </c>
      <c r="G29" s="348" t="n">
        <v>76589.42999999999</v>
      </c>
      <c r="H29" s="349" t="n">
        <v>4140.92</v>
      </c>
      <c r="I29" s="98" t="n">
        <v>1160</v>
      </c>
      <c r="J29" s="98" t="n">
        <v>63</v>
      </c>
      <c r="K29" s="98" t="n">
        <v>1029</v>
      </c>
      <c r="L29" s="99" t="n">
        <v>4.3</v>
      </c>
      <c r="M29" s="99" t="inlineStr">
        <is>
          <t>https://amazon.com/dp/B07Z46KNLR</t>
        </is>
      </c>
      <c r="N29" s="183">
        <f>HYPERLINK(Table1[[#This Row],[Column1]])</f>
        <v/>
      </c>
    </row>
    <row r="30" ht="30" customHeight="1" s="314">
      <c r="A30" s="90" t="inlineStr">
        <is>
          <t>INNOVA 3170RS OBD1 &amp; OBD2 Scanner, ABS Bleeder Scan Tool, OBD2 Diagnostic, Caliper Service, Brake Pad Life, Read/Erase ABS/SRS Codes, Reset Oil Light, Live Data, Updates Included</t>
        </is>
      </c>
      <c r="B30" s="90" t="inlineStr">
        <is>
          <t>B08FZ46X2M</t>
        </is>
      </c>
      <c r="C30" s="94" t="inlineStr">
        <is>
          <t>3170RS</t>
        </is>
      </c>
      <c r="D30" s="90" t="inlineStr">
        <is>
          <t>3P</t>
        </is>
      </c>
      <c r="E30" s="90" t="inlineStr">
        <is>
          <t>Handheld</t>
        </is>
      </c>
      <c r="F30" s="347" t="n">
        <v>296.5284615384616</v>
      </c>
      <c r="G30" s="348" t="n">
        <v>67811.843334</v>
      </c>
      <c r="H30" s="349" t="n">
        <v>3854.87</v>
      </c>
      <c r="I30" s="98" t="n">
        <v>228</v>
      </c>
      <c r="J30" s="98" t="n">
        <v>13</v>
      </c>
      <c r="K30" s="98" t="n">
        <v>157</v>
      </c>
      <c r="L30" s="99" t="n">
        <v>3.9</v>
      </c>
      <c r="M30" s="99" t="inlineStr">
        <is>
          <t>https://amazon.com/dp/B08FZ46X2M</t>
        </is>
      </c>
      <c r="N30" s="183">
        <f>HYPERLINK(Table1[[#This Row],[Column1]])</f>
        <v/>
      </c>
    </row>
    <row r="31" ht="30" customHeight="1" s="314">
      <c r="A31" s="90" t="inlineStr">
        <is>
          <t>Innova 3994 Soft Pouch</t>
        </is>
      </c>
      <c r="B31" s="90" t="inlineStr">
        <is>
          <t>B0D4R8Y6SY</t>
        </is>
      </c>
      <c r="C31" s="94" t="inlineStr">
        <is>
          <t>3994</t>
        </is>
      </c>
      <c r="D31" s="90" t="inlineStr">
        <is>
          <t>3P</t>
        </is>
      </c>
      <c r="E31" s="90" t="inlineStr">
        <is>
          <t>Other</t>
        </is>
      </c>
      <c r="F31" s="347" t="n">
        <v>19.22457894736842</v>
      </c>
      <c r="G31" s="348" t="n">
        <v>44113.01461538461</v>
      </c>
      <c r="H31" s="349" t="n">
        <v>3652.67</v>
      </c>
      <c r="I31" s="98" t="n">
        <v>190</v>
      </c>
      <c r="J31" s="98" t="n">
        <v>190</v>
      </c>
      <c r="K31" s="98" t="n">
        <v>0</v>
      </c>
      <c r="L31" s="99" t="n">
        <v>0</v>
      </c>
      <c r="M31" s="99" t="inlineStr">
        <is>
          <t>https://www.amazon.com/dp/B0D4R8Y6SY</t>
        </is>
      </c>
      <c r="N31" s="183">
        <f>HYPERLINK(Table1[[#This Row],[Column1]])</f>
        <v/>
      </c>
    </row>
    <row r="32" ht="45" customHeight="1" s="314">
      <c r="A32" s="90" t="inlineStr">
        <is>
          <t>Innova 3149 Extension Cable for Ford Code Reader (Item 3145)</t>
        </is>
      </c>
      <c r="B32" s="90" t="inlineStr">
        <is>
          <t>B000EVYH36</t>
        </is>
      </c>
      <c r="C32" s="94" t="inlineStr">
        <is>
          <t>3149</t>
        </is>
      </c>
      <c r="D32" s="90" t="inlineStr">
        <is>
          <t>1P</t>
        </is>
      </c>
      <c r="E32" s="90" t="inlineStr">
        <is>
          <t>Cable/Adapter</t>
        </is>
      </c>
      <c r="F32" s="347" t="n">
        <v>39.75924999999999</v>
      </c>
      <c r="G32" s="348" t="n">
        <v>38413.55230769231</v>
      </c>
      <c r="H32" s="349" t="n">
        <v>3180.74</v>
      </c>
      <c r="I32" s="98" t="n">
        <v>80</v>
      </c>
      <c r="J32" s="98" t="n">
        <v>80</v>
      </c>
      <c r="K32" s="98" t="n">
        <v>1355</v>
      </c>
      <c r="L32" s="99" t="n">
        <v>4.7</v>
      </c>
      <c r="M32" s="99" t="inlineStr">
        <is>
          <t>https://amazon.com/dp/B000EVYH36</t>
        </is>
      </c>
      <c r="N32" s="183">
        <f>HYPERLINK(Table1[[#This Row],[Column1]])</f>
        <v/>
      </c>
    </row>
    <row r="33" ht="17" customHeight="1" s="314">
      <c r="A33" s="90" t="inlineStr">
        <is>
          <t>Innova 3128 HD Adapter Kit - Made for Heavy-Duty Trucks - Compatible with Innova 5610 - Includes 4 Heavy-Duty OBD Adapters with a Pouch Bag</t>
        </is>
      </c>
      <c r="B33" s="90" t="inlineStr">
        <is>
          <t>B0FD49XQTG</t>
        </is>
      </c>
      <c r="C33" s="94" t="inlineStr">
        <is>
          <t>3128</t>
        </is>
      </c>
      <c r="D33" s="90" t="inlineStr">
        <is>
          <t>3P</t>
        </is>
      </c>
      <c r="E33" s="90" t="inlineStr">
        <is>
          <t>Cable/Adapter</t>
        </is>
      </c>
      <c r="F33" s="347" t="n">
        <v>93.93181818181819</v>
      </c>
      <c r="G33" s="348" t="n">
        <v>26628.22846153846</v>
      </c>
      <c r="H33" s="349" t="n">
        <v>3099.75</v>
      </c>
      <c r="I33" s="98" t="n">
        <v>125</v>
      </c>
      <c r="J33" s="98" t="n">
        <v>33</v>
      </c>
      <c r="K33" s="98" t="n">
        <v>3</v>
      </c>
      <c r="L33" s="99" t="n">
        <v>5</v>
      </c>
      <c r="M33" s="99" t="inlineStr">
        <is>
          <t>https://amazon.com/dp/B0FD49XQTG</t>
        </is>
      </c>
      <c r="N33" s="183">
        <f>HYPERLINK(Table1[[#This Row],[Column1]])</f>
        <v/>
      </c>
    </row>
    <row r="34" ht="34" customHeight="1" s="314">
      <c r="A34" s="90" t="inlineStr">
        <is>
          <t>Innova 5420 Power Circuit Tester for Automotive | 45° Swivel Head | Fuse, Relay, Battery, and Circuit Diagnostics | Voltage Tester, Multimeter, Relay Tester, Short Circuit Finder, 12V/24V</t>
        </is>
      </c>
      <c r="B34" s="90" t="inlineStr">
        <is>
          <t>B09ZQ3ZQV2</t>
        </is>
      </c>
      <c r="C34" s="94" t="inlineStr">
        <is>
          <t>5420</t>
        </is>
      </c>
      <c r="D34" s="90" t="inlineStr">
        <is>
          <t>3P</t>
        </is>
      </c>
      <c r="E34" s="90" t="inlineStr">
        <is>
          <t>Other</t>
        </is>
      </c>
      <c r="F34" s="347" t="n">
        <v>90.3060606060606</v>
      </c>
      <c r="G34" s="348" t="n">
        <v>35990.43846153846</v>
      </c>
      <c r="H34" s="349" t="n">
        <v>2980.1</v>
      </c>
      <c r="I34" s="98" t="n">
        <v>33</v>
      </c>
      <c r="J34" s="98" t="n">
        <v>33</v>
      </c>
      <c r="K34" s="98" t="n">
        <v>0</v>
      </c>
      <c r="L34" s="99" t="n">
        <v>0</v>
      </c>
      <c r="M34" s="99" t="inlineStr">
        <is>
          <t>https://www.amazon.com/dp/B09ZQ3ZQV2</t>
        </is>
      </c>
      <c r="N34" s="183">
        <f>HYPERLINK(Table1[[#This Row],[Column1]])</f>
        <v/>
      </c>
    </row>
    <row r="35" ht="34" customHeight="1" s="314">
      <c r="A35" s="90" t="inlineStr">
        <is>
          <t>Innova 3721 Battery and Charging System Monitor</t>
        </is>
      </c>
      <c r="B35" s="90" t="inlineStr">
        <is>
          <t>B000EVWDU0</t>
        </is>
      </c>
      <c r="C35" s="94" t="inlineStr">
        <is>
          <t>3721</t>
        </is>
      </c>
      <c r="D35" s="90" t="inlineStr">
        <is>
          <t>1P</t>
        </is>
      </c>
      <c r="E35" s="90" t="inlineStr">
        <is>
          <t>Other</t>
        </is>
      </c>
      <c r="F35" s="347" t="n">
        <v>23.34055555555556</v>
      </c>
      <c r="G35" s="348" t="n">
        <v>25369.38846153846</v>
      </c>
      <c r="H35" s="349" t="n">
        <v>2100.65</v>
      </c>
      <c r="I35" s="98" t="n">
        <v>90</v>
      </c>
      <c r="J35" s="98" t="n">
        <v>90</v>
      </c>
      <c r="K35" s="98" t="n">
        <v>0</v>
      </c>
      <c r="L35" s="99" t="n">
        <v>0</v>
      </c>
      <c r="M35" s="99" t="inlineStr">
        <is>
          <t>https://www.amazon.com/dp/B000EVWDU0</t>
        </is>
      </c>
      <c r="N35" s="183">
        <f>HYPERLINK(Table1[[#This Row],[Column1]])</f>
        <v/>
      </c>
    </row>
    <row r="36" ht="45" customHeight="1" s="314">
      <c r="A36" s="90" t="inlineStr">
        <is>
          <t>Innova 3595 Replacement Metal Inductive Pickup Lead Set</t>
        </is>
      </c>
      <c r="B36" s="90" t="inlineStr">
        <is>
          <t>B001QUB8KE</t>
        </is>
      </c>
      <c r="C36" s="94" t="inlineStr">
        <is>
          <t>3595</t>
        </is>
      </c>
      <c r="D36" s="90" t="inlineStr">
        <is>
          <t>1P</t>
        </is>
      </c>
      <c r="E36" s="90" t="inlineStr">
        <is>
          <t>Other</t>
        </is>
      </c>
      <c r="F36" s="347" t="n">
        <v>26.55512820512821</v>
      </c>
      <c r="G36" s="348" t="n">
        <v>25014.93076923077</v>
      </c>
      <c r="H36" s="349" t="n">
        <v>2071.3</v>
      </c>
      <c r="I36" s="98" t="n">
        <v>78</v>
      </c>
      <c r="J36" s="98" t="n">
        <v>78</v>
      </c>
      <c r="K36" s="98" t="n">
        <v>0</v>
      </c>
      <c r="L36" s="99" t="n">
        <v>0</v>
      </c>
      <c r="M36" s="99" t="inlineStr">
        <is>
          <t>https://www.amazon.com/dp/B001QUB8KE</t>
        </is>
      </c>
      <c r="N36" s="183">
        <f>HYPERLINK(Table1[[#This Row],[Column1]])</f>
        <v/>
      </c>
    </row>
    <row r="37" ht="34" customHeight="1" s="314">
      <c r="A37" s="90" t="inlineStr">
        <is>
          <t>Innova 3612 Compression Tester - 4 Piece Kit</t>
        </is>
      </c>
      <c r="B37" s="90" t="inlineStr">
        <is>
          <t>B000EVU89I</t>
        </is>
      </c>
      <c r="C37" s="94" t="inlineStr">
        <is>
          <t>3612</t>
        </is>
      </c>
      <c r="D37" s="90" t="inlineStr">
        <is>
          <t>1P</t>
        </is>
      </c>
      <c r="E37" s="90" t="inlineStr">
        <is>
          <t>Other</t>
        </is>
      </c>
      <c r="F37" s="347" t="n">
        <v>32.96580645161291</v>
      </c>
      <c r="G37" s="348" t="n">
        <v>24683.78153846153</v>
      </c>
      <c r="H37" s="349" t="n">
        <v>2043.88</v>
      </c>
      <c r="I37" s="98" t="n">
        <v>62</v>
      </c>
      <c r="J37" s="98" t="n">
        <v>62</v>
      </c>
      <c r="K37" s="98" t="n">
        <v>0</v>
      </c>
      <c r="L37" s="99" t="n">
        <v>0</v>
      </c>
      <c r="M37" s="99" t="inlineStr">
        <is>
          <t>https://www.amazon.com/dp/B000EVU89I</t>
        </is>
      </c>
      <c r="N37" s="183">
        <f>HYPERLINK(Table1[[#This Row],[Column1]])</f>
        <v/>
      </c>
    </row>
    <row r="38" ht="34" customHeight="1" s="314">
      <c r="A38" s="90" t="inlineStr">
        <is>
          <t>Innova 3614 Compression Tester Plus - 6 Piece Kit</t>
        </is>
      </c>
      <c r="B38" s="90" t="inlineStr">
        <is>
          <t>B000EVU8JS</t>
        </is>
      </c>
      <c r="C38" s="94" t="inlineStr">
        <is>
          <t>3614</t>
        </is>
      </c>
      <c r="D38" s="90" t="inlineStr">
        <is>
          <t>1P</t>
        </is>
      </c>
      <c r="E38" s="90" t="inlineStr">
        <is>
          <t>Other</t>
        </is>
      </c>
      <c r="F38" s="347" t="n">
        <v>36.51596153846154</v>
      </c>
      <c r="G38" s="348" t="n">
        <v>22932.02384615385</v>
      </c>
      <c r="H38" s="349" t="n">
        <v>1898.83</v>
      </c>
      <c r="I38" s="98" t="n">
        <v>52</v>
      </c>
      <c r="J38" s="98" t="n">
        <v>52</v>
      </c>
      <c r="K38" s="98" t="n">
        <v>0</v>
      </c>
      <c r="L38" s="99" t="n">
        <v>0</v>
      </c>
      <c r="M38" s="99" t="inlineStr">
        <is>
          <t>https://www.amazon.com/dp/B000EVU8JS</t>
        </is>
      </c>
      <c r="N38" s="183">
        <f>HYPERLINK(Table1[[#This Row],[Column1]])</f>
        <v/>
      </c>
    </row>
    <row r="39" ht="45" customHeight="1" s="314">
      <c r="A39" s="90" t="inlineStr">
        <is>
          <t>Innova 5512 OBD2 Scanner, ABS Brake Bleeding, Transmission Temp, TPMS, OBD1 Adapters Included, Repair App</t>
        </is>
      </c>
      <c r="B39" s="90" t="inlineStr">
        <is>
          <t>B09WPW4WQ4</t>
        </is>
      </c>
      <c r="C39" s="94" t="inlineStr">
        <is>
          <t>5512</t>
        </is>
      </c>
      <c r="D39" s="90" t="inlineStr">
        <is>
          <t>3P</t>
        </is>
      </c>
      <c r="E39" s="90" t="inlineStr">
        <is>
          <t>Handheld</t>
        </is>
      </c>
      <c r="F39" s="347" t="n">
        <v>299.99</v>
      </c>
      <c r="G39" s="348" t="n">
        <v>21691.06307692307</v>
      </c>
      <c r="H39" s="349" t="n">
        <v>1799.94</v>
      </c>
      <c r="I39" s="98" t="n">
        <v>66</v>
      </c>
      <c r="J39" s="98" t="n">
        <v>6</v>
      </c>
      <c r="K39" s="98" t="n">
        <v>32</v>
      </c>
      <c r="L39" s="99" t="n">
        <v>3.8</v>
      </c>
      <c r="M39" s="99" t="inlineStr">
        <is>
          <t>https://amazon.com/dp/B09WPW4WQ4</t>
        </is>
      </c>
      <c r="N39" s="183">
        <f>HYPERLINK(Table1[[#This Row],[Column1]])</f>
        <v/>
      </c>
    </row>
    <row r="40" ht="45" customHeight="1" s="314">
      <c r="A40" s="90" t="inlineStr">
        <is>
          <t>INNOVA 3160RS OBD2 Scanner, ABS Brake Bleeder, ABS SRS Engine Transmission Diagnoses, Airbag Light Reset, Car Battery Tester &amp; Alternator Tester, Battery Reset, Fix &amp; Parts Recommendations</t>
        </is>
      </c>
      <c r="B40" s="90" t="inlineStr">
        <is>
          <t>B084SVSFZY</t>
        </is>
      </c>
      <c r="C40" s="94" t="inlineStr">
        <is>
          <t>3160RS</t>
        </is>
      </c>
      <c r="D40" s="90" t="inlineStr">
        <is>
          <t>1P</t>
        </is>
      </c>
      <c r="E40" s="90" t="inlineStr">
        <is>
          <t>Handheld</t>
        </is>
      </c>
      <c r="F40" s="347" t="n">
        <v>262.295</v>
      </c>
      <c r="G40" s="348" t="n">
        <v>35742.58</v>
      </c>
      <c r="H40" s="349" t="n">
        <v>1573.77</v>
      </c>
      <c r="I40" s="98" t="n">
        <v>169</v>
      </c>
      <c r="J40" s="98" t="n">
        <v>6</v>
      </c>
      <c r="K40" s="98" t="n">
        <v>288</v>
      </c>
      <c r="L40" s="99" t="n">
        <v>4.1</v>
      </c>
      <c r="M40" s="99" t="inlineStr">
        <is>
          <t>https://amazon.com/dp/B084SVSFZY</t>
        </is>
      </c>
      <c r="N40" s="183">
        <f>HYPERLINK(Table1[[#This Row],[Column1]])</f>
        <v/>
      </c>
    </row>
    <row r="41" ht="34" customHeight="1" s="314">
      <c r="A41" s="90" t="inlineStr">
        <is>
          <t>INNOVA 3020RS Fast &amp; Easy-to-Use Check Engine Code Reader, OBD2 Scan tool for ABS Clear with Fix &amp; Part Recommendations, Maintenance Schedules, &amp; Free TSBs on iPhone &amp; Android</t>
        </is>
      </c>
      <c r="B41" s="90" t="inlineStr">
        <is>
          <t>B084SWJL4J</t>
        </is>
      </c>
      <c r="C41" s="94" t="inlineStr">
        <is>
          <t>3020RS</t>
        </is>
      </c>
      <c r="D41" s="90" t="inlineStr">
        <is>
          <t>3P</t>
        </is>
      </c>
      <c r="E41" s="90" t="inlineStr">
        <is>
          <t>Handheld</t>
        </is>
      </c>
      <c r="F41" s="347" t="n">
        <v>65.36333333333334</v>
      </c>
      <c r="G41" s="348" t="n">
        <v>78600.73999999999</v>
      </c>
      <c r="H41" s="349" t="n">
        <v>1372.63</v>
      </c>
      <c r="I41" s="98" t="n">
        <v>1191</v>
      </c>
      <c r="J41" s="98" t="n">
        <v>21</v>
      </c>
      <c r="K41" s="98" t="n">
        <v>2485</v>
      </c>
      <c r="L41" s="99" t="n">
        <v>4.3</v>
      </c>
      <c r="M41" s="99" t="inlineStr">
        <is>
          <t>https://amazon.com/dp/B084SWJL4J</t>
        </is>
      </c>
      <c r="N41" s="183">
        <f>HYPERLINK(Table1[[#This Row],[Column1]])</f>
        <v/>
      </c>
    </row>
    <row r="42" ht="45" customHeight="1" s="314">
      <c r="A42" s="90" t="inlineStr">
        <is>
          <t>Innova 5568 Pro Digital Timing Light Tool with Digital Advance, LED Display, Ignition Timing for 2 and 4 Cycle Engines, Automotive Diagnostic Tool for Cars and Trucks</t>
        </is>
      </c>
      <c r="B42" s="90" t="inlineStr">
        <is>
          <t>B000EVU8J8</t>
        </is>
      </c>
      <c r="C42" s="94" t="inlineStr">
        <is>
          <t>5568</t>
        </is>
      </c>
      <c r="D42" s="90" t="inlineStr">
        <is>
          <t>1P</t>
        </is>
      </c>
      <c r="E42" s="90" t="inlineStr">
        <is>
          <t>Other</t>
        </is>
      </c>
      <c r="F42" s="347" t="n">
        <v>131.6177777777778</v>
      </c>
      <c r="G42" s="348" t="n">
        <v>14305.84</v>
      </c>
      <c r="H42" s="349" t="n">
        <v>1184.56</v>
      </c>
      <c r="I42" s="98" t="n">
        <v>9</v>
      </c>
      <c r="J42" s="98" t="n">
        <v>9</v>
      </c>
      <c r="K42" s="98" t="n">
        <v>0</v>
      </c>
      <c r="L42" s="99" t="n">
        <v>0</v>
      </c>
      <c r="M42" s="99" t="inlineStr">
        <is>
          <t>https://www.amazon.com/dp/B000EVU8J8</t>
        </is>
      </c>
      <c r="N42" s="183">
        <f>HYPERLINK(Table1[[#This Row],[Column1]])</f>
        <v/>
      </c>
    </row>
    <row r="43" ht="34" customHeight="1" s="314">
      <c r="A43" s="90" t="inlineStr">
        <is>
          <t>Innova 3640 Professional Fuel Injection Pressure Tester</t>
        </is>
      </c>
      <c r="B43" s="90" t="inlineStr">
        <is>
          <t>B000EVU8NY</t>
        </is>
      </c>
      <c r="C43" s="94" t="inlineStr">
        <is>
          <t>3640</t>
        </is>
      </c>
      <c r="D43" s="90" t="inlineStr">
        <is>
          <t>1P</t>
        </is>
      </c>
      <c r="E43" s="90" t="inlineStr">
        <is>
          <t>Other</t>
        </is>
      </c>
      <c r="F43" s="347" t="n">
        <v>28.26666666666667</v>
      </c>
      <c r="G43" s="348" t="n">
        <v>11265.35384615384</v>
      </c>
      <c r="H43" s="349" t="n">
        <v>932.8</v>
      </c>
      <c r="I43" s="98" t="n">
        <v>33</v>
      </c>
      <c r="J43" s="98" t="n">
        <v>33</v>
      </c>
      <c r="K43" s="98" t="n">
        <v>0</v>
      </c>
      <c r="L43" s="99" t="n">
        <v>0</v>
      </c>
      <c r="M43" s="99" t="inlineStr">
        <is>
          <t>https://www.amazon.com/dp/B000EVU8NY</t>
        </is>
      </c>
      <c r="N43" s="183">
        <f>HYPERLINK(Table1[[#This Row],[Column1]])</f>
        <v/>
      </c>
    </row>
    <row r="44" ht="45" customHeight="1" s="314">
      <c r="A44" s="90" t="inlineStr">
        <is>
          <t>Innova 3360 Thermal Camera - Infrared Camera with Heat Vision - Identify Hot/Cold Spots -4° ~ 1112°F - Easy to Use Thermal Imager</t>
        </is>
      </c>
      <c r="B44" s="90" t="inlineStr">
        <is>
          <t>B0FDLVW4G8</t>
        </is>
      </c>
      <c r="C44" s="94" t="inlineStr">
        <is>
          <t>3360</t>
        </is>
      </c>
      <c r="D44" s="90" t="inlineStr">
        <is>
          <t>3P</t>
        </is>
      </c>
      <c r="E44" s="90" t="inlineStr">
        <is>
          <t>Other</t>
        </is>
      </c>
      <c r="F44" s="347" t="n">
        <v>95.54666666666667</v>
      </c>
      <c r="G44" s="348" t="n">
        <v>10385.18769230769</v>
      </c>
      <c r="H44" s="349" t="n">
        <v>859.92</v>
      </c>
      <c r="I44" s="98" t="n">
        <v>9</v>
      </c>
      <c r="J44" s="98" t="n">
        <v>9</v>
      </c>
      <c r="K44" s="98" t="n">
        <v>0</v>
      </c>
      <c r="L44" s="99" t="n">
        <v>0</v>
      </c>
      <c r="M44" s="99" t="inlineStr">
        <is>
          <t>https://www.amazon.com/dp/B0FDLVW4G8</t>
        </is>
      </c>
      <c r="N44" s="183">
        <f>HYPERLINK(Table1[[#This Row],[Column1]])</f>
        <v/>
      </c>
    </row>
    <row r="45" ht="34" customHeight="1" s="314">
      <c r="A45" s="90" t="inlineStr">
        <is>
          <t>Innova 3347 Digital Multimeter AMP Probe Red</t>
        </is>
      </c>
      <c r="B45" s="90" t="inlineStr">
        <is>
          <t>B0015S9SWW</t>
        </is>
      </c>
      <c r="C45" s="94" t="inlineStr">
        <is>
          <t>3347</t>
        </is>
      </c>
      <c r="D45" s="90" t="inlineStr">
        <is>
          <t>1P</t>
        </is>
      </c>
      <c r="E45" s="90" t="inlineStr">
        <is>
          <t>Other</t>
        </is>
      </c>
      <c r="F45" s="347" t="n">
        <v>82.026</v>
      </c>
      <c r="G45" s="348" t="n">
        <v>9906.21692307692</v>
      </c>
      <c r="H45" s="349" t="n">
        <v>820.26</v>
      </c>
      <c r="I45" s="98" t="n">
        <v>10</v>
      </c>
      <c r="J45" s="98" t="n">
        <v>10</v>
      </c>
      <c r="K45" s="98" t="n">
        <v>0</v>
      </c>
      <c r="L45" s="99" t="n">
        <v>0</v>
      </c>
      <c r="M45" s="99" t="inlineStr">
        <is>
          <t>https://www.amazon.com/dp/B0015S9SWW</t>
        </is>
      </c>
      <c r="N45" s="183">
        <f>HYPERLINK(Table1[[#This Row],[Column1]])</f>
        <v/>
      </c>
    </row>
    <row r="46" ht="34" customHeight="1" s="314">
      <c r="A46" s="90" t="inlineStr">
        <is>
          <t>Innova 3620 Vacuum/Carburetor Fuel Pressure Tester</t>
        </is>
      </c>
      <c r="B46" s="90" t="inlineStr">
        <is>
          <t>B000EW0KPY</t>
        </is>
      </c>
      <c r="C46" s="94" t="inlineStr">
        <is>
          <t>3620</t>
        </is>
      </c>
      <c r="D46" s="90" t="inlineStr">
        <is>
          <t>1P</t>
        </is>
      </c>
      <c r="E46" s="90" t="inlineStr">
        <is>
          <t>Other</t>
        </is>
      </c>
      <c r="F46" s="347" t="n">
        <v>32.99</v>
      </c>
      <c r="G46" s="348" t="n">
        <v>7171.518461538461</v>
      </c>
      <c r="H46" s="349" t="n">
        <v>593.8200000000001</v>
      </c>
      <c r="I46" s="98" t="n">
        <v>18</v>
      </c>
      <c r="J46" s="98" t="n">
        <v>18</v>
      </c>
      <c r="K46" s="98" t="n">
        <v>0</v>
      </c>
      <c r="L46" s="99" t="n">
        <v>0</v>
      </c>
      <c r="M46" s="99" t="inlineStr">
        <is>
          <t>https://www.amazon.com/dp/B000EW0KPY</t>
        </is>
      </c>
      <c r="N46" s="183">
        <f>HYPERLINK(Table1[[#This Row],[Column1]])</f>
        <v/>
      </c>
    </row>
    <row r="47" ht="30" customHeight="1" s="314">
      <c r="A47" s="90" t="inlineStr">
        <is>
          <t>Innova 3160g Pro OBD2 Scanner / Car Code Reader with Live data, ABS, SRS, Battery Reset, Service Light Reset, and Bluetooth</t>
        </is>
      </c>
      <c r="B47" s="90" t="inlineStr">
        <is>
          <t>B06XKX2KDJ</t>
        </is>
      </c>
      <c r="C47" s="94" t="inlineStr">
        <is>
          <t>3160g</t>
        </is>
      </c>
      <c r="D47" s="90" t="inlineStr">
        <is>
          <t>1P</t>
        </is>
      </c>
      <c r="E47" s="90" t="inlineStr">
        <is>
          <t>Handheld</t>
        </is>
      </c>
      <c r="F47" s="347" t="n">
        <v>254.6</v>
      </c>
      <c r="G47" s="348" t="n">
        <v>2692.292307692307</v>
      </c>
      <c r="H47" s="349" t="n">
        <v>254.6</v>
      </c>
      <c r="I47" s="98" t="n">
        <v>5</v>
      </c>
      <c r="J47" s="98" t="n">
        <v>1</v>
      </c>
      <c r="K47" s="98" t="n">
        <v>289</v>
      </c>
      <c r="L47" s="99" t="n">
        <v>4.3</v>
      </c>
      <c r="M47" s="99" t="inlineStr">
        <is>
          <t>https://amazon.com/dp/B06XKX2KDJ</t>
        </is>
      </c>
      <c r="N47" s="183">
        <f>HYPERLINK(Table1[[#This Row],[Column1]])</f>
        <v/>
      </c>
    </row>
    <row r="48" ht="34" customHeight="1" s="314">
      <c r="A48" s="90" t="inlineStr">
        <is>
          <t>Innova 3410 Test Light/Circuit Tester</t>
        </is>
      </c>
      <c r="B48" s="90" t="inlineStr">
        <is>
          <t>B0014DINF6</t>
        </is>
      </c>
      <c r="C48" s="94" t="inlineStr">
        <is>
          <t>3410</t>
        </is>
      </c>
      <c r="D48" s="90" t="inlineStr">
        <is>
          <t>1P</t>
        </is>
      </c>
      <c r="E48" s="90" t="inlineStr">
        <is>
          <t>Other</t>
        </is>
      </c>
      <c r="F48" s="347" t="n">
        <v>11.47470588235294</v>
      </c>
      <c r="G48" s="348" t="n">
        <v>2355.845384615384</v>
      </c>
      <c r="H48" s="349" t="n">
        <v>195.07</v>
      </c>
      <c r="I48" s="98" t="n">
        <v>17</v>
      </c>
      <c r="J48" s="98" t="n">
        <v>17</v>
      </c>
      <c r="K48" s="98" t="n">
        <v>0</v>
      </c>
      <c r="L48" s="99" t="n">
        <v>0</v>
      </c>
      <c r="M48" s="99" t="inlineStr">
        <is>
          <t>https://www.amazon.com/dp/B0014DINF6</t>
        </is>
      </c>
      <c r="N48" s="183">
        <f>HYPERLINK(Table1[[#This Row],[Column1]])</f>
        <v/>
      </c>
    </row>
    <row r="49" ht="34" customHeight="1" s="314">
      <c r="A49" s="90" t="inlineStr">
        <is>
          <t>Diagnostic Scan Tool Code Reader with ABS and Battery Backup for OBD2 Vehicles</t>
        </is>
      </c>
      <c r="B49" s="90" t="inlineStr">
        <is>
          <t>B000EVWDAK</t>
        </is>
      </c>
      <c r="C49" s="94" t="n"/>
      <c r="D49" s="90" t="inlineStr">
        <is>
          <t>1P</t>
        </is>
      </c>
      <c r="E49" s="90" t="inlineStr">
        <is>
          <t>Handheld</t>
        </is>
      </c>
      <c r="F49" s="347" t="n">
        <v>189.63</v>
      </c>
      <c r="G49" s="348" t="n">
        <v>562.05</v>
      </c>
      <c r="H49" s="349" t="n">
        <v>0</v>
      </c>
      <c r="I49" s="98" t="n">
        <v>3</v>
      </c>
      <c r="J49" s="98" t="n">
        <v>0</v>
      </c>
      <c r="K49" s="98" t="n">
        <v>1123</v>
      </c>
      <c r="L49" s="99" t="n">
        <v>4.5</v>
      </c>
      <c r="M49" s="99" t="inlineStr">
        <is>
          <t>https://amazon.com/dp/B000EVWDAK</t>
        </is>
      </c>
      <c r="N49" s="183">
        <f>HYPERLINK(Table1[[#This Row],[Column1]])</f>
        <v/>
      </c>
    </row>
    <row r="50" ht="30" customHeight="1" s="314">
      <c r="A50" s="90" t="inlineStr">
        <is>
          <t>Innova 5023 Pro CarScan Code Scanner - Professional OBD2 Scanner - Smog Test Scan Tool - Multilingual Code Reader</t>
        </is>
      </c>
      <c r="B50" s="90" t="inlineStr">
        <is>
          <t>B076N5V6SN</t>
        </is>
      </c>
      <c r="C50" s="94" t="inlineStr">
        <is>
          <t>5023</t>
        </is>
      </c>
      <c r="D50" s="90" t="inlineStr">
        <is>
          <t>1P</t>
        </is>
      </c>
      <c r="E50" s="90" t="inlineStr">
        <is>
          <t>Handheld</t>
        </is>
      </c>
      <c r="F50" s="347" t="n">
        <v>77.63</v>
      </c>
      <c r="G50" s="348" t="n">
        <v>-686.9515384615386</v>
      </c>
      <c r="H50" s="349" t="n">
        <v>-81.93000000000001</v>
      </c>
      <c r="I50" s="98" t="n">
        <v>-1</v>
      </c>
      <c r="J50" s="98" t="n">
        <v>-1</v>
      </c>
      <c r="K50" s="98" t="n">
        <v>48</v>
      </c>
      <c r="L50" s="99" t="n">
        <v>3.6</v>
      </c>
      <c r="M50" s="99" t="inlineStr">
        <is>
          <t>https://amazon.com/dp/B076N5V6SN</t>
        </is>
      </c>
      <c r="N50" s="183">
        <f>HYPERLINK(Table1[[#This Row],[Column1]])</f>
        <v/>
      </c>
    </row>
    <row r="51" ht="34" customFormat="1" customHeight="1" s="91">
      <c r="A51" s="90" t="n"/>
      <c r="B51" s="90" t="n"/>
      <c r="C51" s="94" t="n"/>
      <c r="D51" s="90" t="n"/>
      <c r="E51" s="90" t="n"/>
      <c r="F51" s="347" t="n"/>
      <c r="G51" s="348" t="n"/>
      <c r="H51" s="349" t="n"/>
      <c r="I51" s="98" t="n"/>
      <c r="J51" s="98" t="n"/>
      <c r="K51" s="98" t="n"/>
      <c r="L51" s="99" t="n"/>
      <c r="M51" s="99" t="n"/>
      <c r="N51" s="183">
        <f>HYPERLINK(Table1[[#This Row],[Column1]])</f>
        <v/>
      </c>
    </row>
    <row r="52" ht="17" customHeight="1" s="314">
      <c r="A52" s="91" t="inlineStr">
        <is>
          <t>Total</t>
        </is>
      </c>
      <c r="B52" s="91" t="n"/>
      <c r="C52" s="92" t="n"/>
      <c r="D52" s="91" t="n"/>
      <c r="E52" s="350" t="n"/>
      <c r="F52" s="350" t="n"/>
      <c r="G52" s="351">
        <f>SUM(G9:G51)</f>
        <v/>
      </c>
      <c r="H52" s="351">
        <f>SUM(H9:H51)</f>
        <v/>
      </c>
      <c r="I52" s="91" t="n"/>
      <c r="J52" s="91" t="n"/>
      <c r="K52" s="91" t="n"/>
      <c r="L52" s="93" t="n"/>
      <c r="M52" s="267" t="n"/>
      <c r="N52" s="91" t="n"/>
    </row>
    <row r="53">
      <c r="A53" s="90" t="n"/>
      <c r="B53" s="90" t="n"/>
      <c r="C53" s="94" t="n"/>
      <c r="D53" s="90" t="n"/>
      <c r="E53" s="347" t="n"/>
      <c r="F53" s="348" t="n"/>
      <c r="G53" s="348" t="n"/>
      <c r="H53" s="90" t="n"/>
      <c r="I53" s="90" t="n"/>
      <c r="J53" s="90" t="n"/>
      <c r="K53" s="99" t="n"/>
      <c r="L53" s="100" t="n"/>
    </row>
    <row r="54">
      <c r="A54" s="90" t="n"/>
      <c r="B54" s="90" t="n"/>
      <c r="C54" s="94" t="n"/>
      <c r="D54" s="90" t="n"/>
      <c r="E54" s="347" t="n"/>
      <c r="F54" s="348" t="n"/>
      <c r="G54" s="348" t="n"/>
      <c r="H54" s="90" t="n"/>
      <c r="I54" s="90" t="n"/>
      <c r="J54" s="90" t="n"/>
      <c r="K54" s="99" t="n"/>
      <c r="L54" s="100" t="n"/>
    </row>
    <row r="55">
      <c r="A55" s="307" t="inlineStr">
        <is>
          <t>Rank by Units</t>
        </is>
      </c>
    </row>
    <row r="56" ht="34" customHeight="1" s="314">
      <c r="A56" s="46" t="inlineStr">
        <is>
          <t>Product Name</t>
        </is>
      </c>
      <c r="B56" s="47" t="inlineStr">
        <is>
          <t>ASIN</t>
        </is>
      </c>
      <c r="C56" s="47" t="inlineStr">
        <is>
          <t>Item #</t>
        </is>
      </c>
      <c r="D56" s="47" t="inlineStr">
        <is>
          <t>1P/3P</t>
        </is>
      </c>
      <c r="E56" s="47" t="inlineStr">
        <is>
          <t>Type</t>
        </is>
      </c>
      <c r="F56" s="345" t="inlineStr">
        <is>
          <t>Avg Price</t>
        </is>
      </c>
      <c r="G56" s="49" t="inlineStr">
        <is>
          <t>Estimated 12mo Revenue</t>
        </is>
      </c>
      <c r="H56" s="50" t="inlineStr">
        <is>
          <t>Monthly Rev</t>
        </is>
      </c>
      <c r="I56" s="54" t="inlineStr">
        <is>
          <t>Estimated 12mo Units</t>
        </is>
      </c>
      <c r="J56" s="51" t="inlineStr">
        <is>
          <t>Monthly Unit Sales</t>
        </is>
      </c>
      <c r="K56" s="47" t="inlineStr">
        <is>
          <t># of Reviews</t>
        </is>
      </c>
      <c r="L56" s="52" t="inlineStr">
        <is>
          <t>Tool Rating</t>
        </is>
      </c>
      <c r="M56" s="52" t="inlineStr">
        <is>
          <t>Column1</t>
        </is>
      </c>
      <c r="N56" s="346" t="inlineStr">
        <is>
          <t>Link</t>
        </is>
      </c>
    </row>
    <row r="57" ht="45" customHeight="1" s="314">
      <c r="A57" s="90" t="inlineStr">
        <is>
          <t>Innova 5610 OBD2 Bidirectional Scan Tool - Understand Your Vehicle, Pinpoint What's Wrong, and Complete Your Repairs with Less Headache, Updates Included, US-Based Technical Support</t>
        </is>
      </c>
      <c r="B57" s="90" t="inlineStr">
        <is>
          <t>B07Z481NJM</t>
        </is>
      </c>
      <c r="C57" s="94" t="inlineStr">
        <is>
          <t>5610</t>
        </is>
      </c>
      <c r="D57" s="90" t="inlineStr">
        <is>
          <t>3P</t>
        </is>
      </c>
      <c r="E57" s="90" t="inlineStr">
        <is>
          <t>Handheld</t>
        </is>
      </c>
      <c r="F57" s="347" t="n">
        <v>292.6118611449452</v>
      </c>
      <c r="G57" s="348" t="n">
        <v>11645944.12</v>
      </c>
      <c r="H57" s="348" t="n">
        <v>1201171.69</v>
      </c>
      <c r="I57" s="98" t="n">
        <v>39046</v>
      </c>
      <c r="J57" s="101" t="n">
        <v>4105</v>
      </c>
      <c r="K57" s="98" t="n">
        <v>3435</v>
      </c>
      <c r="L57" s="99" t="n">
        <v>4.4</v>
      </c>
      <c r="M57" s="99" t="inlineStr">
        <is>
          <t>https://amazon.com/dp/B07Z481NJM</t>
        </is>
      </c>
      <c r="N57" s="183">
        <f>HYPERLINK(Table2[[#This Row],[Column1]])</f>
        <v/>
      </c>
    </row>
    <row r="58" ht="45" customHeight="1" s="314">
      <c r="A58" s="90" t="inlineStr">
        <is>
          <t>Innova 5210 OBD2 Scanner &amp; Engine Code Reader, Battery Tester, Live Data, Oil Reset, Car Diagnostic Tool for Most Vehicles, Bluetooth Compatible with America's Top Car Repair App</t>
        </is>
      </c>
      <c r="B58" s="90" t="inlineStr">
        <is>
          <t>B07Z46L5FG</t>
        </is>
      </c>
      <c r="C58" s="94" t="inlineStr">
        <is>
          <t>5210</t>
        </is>
      </c>
      <c r="D58" s="90" t="inlineStr">
        <is>
          <t>3P</t>
        </is>
      </c>
      <c r="E58" s="90" t="inlineStr">
        <is>
          <t>Handheld</t>
        </is>
      </c>
      <c r="F58" s="347" t="n">
        <v>87.48796262367168</v>
      </c>
      <c r="G58" s="348" t="n">
        <v>2540961.49</v>
      </c>
      <c r="H58" s="348" t="n">
        <v>238754.65</v>
      </c>
      <c r="I58" s="98" t="n">
        <v>28360</v>
      </c>
      <c r="J58" s="102" t="n">
        <v>2729</v>
      </c>
      <c r="K58" s="98" t="n">
        <v>3977</v>
      </c>
      <c r="L58" s="99" t="n">
        <v>4.5</v>
      </c>
      <c r="M58" s="99" t="inlineStr">
        <is>
          <t>https://amazon.com/dp/B07Z46L5FG</t>
        </is>
      </c>
      <c r="N58" s="183">
        <f>HYPERLINK(Table2[[#This Row],[Column1]])</f>
        <v/>
      </c>
    </row>
    <row r="59" ht="30" customHeight="1" s="314">
      <c r="A59" s="90" t="inlineStr">
        <is>
          <t>Innova 3568 Digital Timing Light</t>
        </is>
      </c>
      <c r="B59" s="90" t="inlineStr">
        <is>
          <t>B000EVYGV4</t>
        </is>
      </c>
      <c r="C59" s="94" t="inlineStr">
        <is>
          <t>3568</t>
        </is>
      </c>
      <c r="D59" s="90" t="inlineStr">
        <is>
          <t>1P</t>
        </is>
      </c>
      <c r="E59" s="90" t="inlineStr">
        <is>
          <t>Other</t>
        </is>
      </c>
      <c r="F59" s="347" t="n">
        <v>79.89569668246446</v>
      </c>
      <c r="G59" s="348" t="n">
        <v>1017963.363076923</v>
      </c>
      <c r="H59" s="348" t="n">
        <v>84289.96000000001</v>
      </c>
      <c r="I59" s="98" t="n">
        <v>1055</v>
      </c>
      <c r="J59" s="102" t="n">
        <v>1055</v>
      </c>
      <c r="K59" s="98" t="n">
        <v>0</v>
      </c>
      <c r="L59" s="99" t="n">
        <v>0</v>
      </c>
      <c r="M59" s="99" t="inlineStr">
        <is>
          <t>https://www.amazon.com/dp/B000EVYGV4</t>
        </is>
      </c>
      <c r="N59" s="183">
        <f>HYPERLINK(Table2[[#This Row],[Column1]])</f>
        <v/>
      </c>
    </row>
    <row r="60" ht="17" customHeight="1" s="314">
      <c r="A60" s="90" t="inlineStr">
        <is>
          <t>INNOVA 3145 Ford Digital OBD1 Code Reader</t>
        </is>
      </c>
      <c r="B60" s="90" t="inlineStr">
        <is>
          <t>B000EW0KHW</t>
        </is>
      </c>
      <c r="C60" s="94" t="inlineStr">
        <is>
          <t>3145</t>
        </is>
      </c>
      <c r="D60" s="90" t="inlineStr">
        <is>
          <t>1P</t>
        </is>
      </c>
      <c r="E60" s="90" t="inlineStr">
        <is>
          <t>Handheld</t>
        </is>
      </c>
      <c r="F60" s="347" t="n">
        <v>39.82766475644699</v>
      </c>
      <c r="G60" s="348" t="n">
        <v>335734.9592307693</v>
      </c>
      <c r="H60" s="348" t="n">
        <v>27799.71</v>
      </c>
      <c r="I60" s="98" t="n">
        <v>698</v>
      </c>
      <c r="J60" s="102" t="n">
        <v>698</v>
      </c>
      <c r="K60" s="98" t="n">
        <v>6858</v>
      </c>
      <c r="L60" s="99" t="n">
        <v>4.4</v>
      </c>
      <c r="M60" s="99" t="inlineStr">
        <is>
          <t>https://amazon.com/dp/B000EW0KHW</t>
        </is>
      </c>
      <c r="N60" s="183">
        <f>HYPERLINK(Table2[[#This Row],[Column1]])</f>
        <v/>
      </c>
    </row>
    <row r="61" ht="34" customHeight="1" s="314">
      <c r="A61" s="90" t="inlineStr">
        <is>
          <t>Innova 5410 All-System OBD2 Scanner Diagnostic Tool for Cars &amp; Trucks – Automotive Scan Tools for Engine, ABS, SRS &amp; Transmission, Bluetooth Compatible with America's Top Car Repair App</t>
        </is>
      </c>
      <c r="B61" s="90" t="inlineStr">
        <is>
          <t>B07ZL7CLYR</t>
        </is>
      </c>
      <c r="C61" s="94" t="inlineStr">
        <is>
          <t>5410</t>
        </is>
      </c>
      <c r="D61" s="90" t="inlineStr">
        <is>
          <t>3P</t>
        </is>
      </c>
      <c r="E61" s="90" t="inlineStr">
        <is>
          <t>Handheld</t>
        </is>
      </c>
      <c r="F61" s="347" t="n">
        <v>153.9972163120567</v>
      </c>
      <c r="G61" s="348" t="n">
        <v>1014363.7</v>
      </c>
      <c r="H61" s="348" t="n">
        <v>86854.42999999999</v>
      </c>
      <c r="I61" s="98" t="n">
        <v>6150</v>
      </c>
      <c r="J61" s="102" t="n">
        <v>564</v>
      </c>
      <c r="K61" s="98" t="n">
        <v>680</v>
      </c>
      <c r="L61" s="99" t="n">
        <v>4.4</v>
      </c>
      <c r="M61" s="99" t="inlineStr">
        <is>
          <t>https://amazon.com/dp/B07ZL7CLYR</t>
        </is>
      </c>
      <c r="N61" s="183">
        <f>HYPERLINK(Table2[[#This Row],[Column1]])</f>
        <v/>
      </c>
    </row>
    <row r="62" ht="45" customHeight="1" s="314">
      <c r="A62" s="90" t="inlineStr">
        <is>
          <t>INNOVA 3123 GM OBD1 Code Reader, Windows XP</t>
        </is>
      </c>
      <c r="B62" s="90" t="inlineStr">
        <is>
          <t>B000EVU8C0</t>
        </is>
      </c>
      <c r="C62" s="94" t="inlineStr">
        <is>
          <t>3123</t>
        </is>
      </c>
      <c r="D62" s="90" t="inlineStr">
        <is>
          <t>1P</t>
        </is>
      </c>
      <c r="E62" s="90" t="inlineStr">
        <is>
          <t>OBD1</t>
        </is>
      </c>
      <c r="F62" s="347" t="n">
        <v>14.99135559921415</v>
      </c>
      <c r="G62" s="348" t="n">
        <v>92154.16923076924</v>
      </c>
      <c r="H62" s="348" t="n">
        <v>7630.6</v>
      </c>
      <c r="I62" s="98" t="n">
        <v>509</v>
      </c>
      <c r="J62" s="102" t="n">
        <v>509</v>
      </c>
      <c r="K62" s="98" t="n">
        <v>6860</v>
      </c>
      <c r="L62" s="99" t="n">
        <v>4.4</v>
      </c>
      <c r="M62" s="99" t="inlineStr">
        <is>
          <t>https://amazon.com/dp/B000EVU8C0</t>
        </is>
      </c>
      <c r="N62" s="183">
        <f>HYPERLINK(Table2[[#This Row],[Column1]])</f>
        <v/>
      </c>
    </row>
    <row r="63" ht="17" customHeight="1" s="314">
      <c r="A63" s="90" t="inlineStr">
        <is>
          <t>Innova 3380 Automotive Borescope with Light, 2.7" Inspection Camera, 39" Extension, IP67 Waterproof Digital Scope</t>
        </is>
      </c>
      <c r="B63" s="90" t="inlineStr">
        <is>
          <t>B082JCSB4Z</t>
        </is>
      </c>
      <c r="C63" s="94" t="inlineStr">
        <is>
          <t>3380</t>
        </is>
      </c>
      <c r="D63" s="90" t="inlineStr">
        <is>
          <t>3P</t>
        </is>
      </c>
      <c r="E63" s="90" t="inlineStr">
        <is>
          <t>Other</t>
        </is>
      </c>
      <c r="F63" s="347" t="n">
        <v>82.5832541567696</v>
      </c>
      <c r="G63" s="348" t="n">
        <v>419885.0269230769</v>
      </c>
      <c r="H63" s="348" t="n">
        <v>34767.55</v>
      </c>
      <c r="I63" s="98" t="n">
        <v>421</v>
      </c>
      <c r="J63" s="102" t="n">
        <v>421</v>
      </c>
      <c r="K63" s="98" t="n">
        <v>0</v>
      </c>
      <c r="L63" s="99" t="n">
        <v>0</v>
      </c>
      <c r="M63" s="99" t="inlineStr">
        <is>
          <t>https://www.amazon.com/dp/B082JCSB4Z</t>
        </is>
      </c>
      <c r="N63" s="183">
        <f>HYPERLINK(Table2[[#This Row],[Column1]])</f>
        <v/>
      </c>
    </row>
    <row r="64" ht="45" customHeight="1" s="314">
      <c r="A64" s="90" t="inlineStr">
        <is>
          <t>INNOVA 3320 Auto-Ranging Digital Multimeter, Red &amp; Black</t>
        </is>
      </c>
      <c r="B64" s="90" t="inlineStr">
        <is>
          <t>B000EVYGZA</t>
        </is>
      </c>
      <c r="C64" s="94" t="inlineStr">
        <is>
          <t>3320</t>
        </is>
      </c>
      <c r="D64" s="90" t="inlineStr">
        <is>
          <t>1P+3P</t>
        </is>
      </c>
      <c r="E64" s="90" t="inlineStr">
        <is>
          <t>Other</t>
        </is>
      </c>
      <c r="F64" s="347" t="n">
        <v>35.61220779220779</v>
      </c>
      <c r="G64" s="348" t="n">
        <v>132466.4553846154</v>
      </c>
      <c r="H64" s="348" t="n">
        <v>10968.56</v>
      </c>
      <c r="I64" s="98" t="n">
        <v>308</v>
      </c>
      <c r="J64" s="102" t="n">
        <v>308</v>
      </c>
      <c r="K64" s="98" t="n">
        <v>0</v>
      </c>
      <c r="L64" s="99" t="n">
        <v>0</v>
      </c>
      <c r="M64" s="99" t="inlineStr">
        <is>
          <t>https://www.amazon.com/dp/B000EVYGZA</t>
        </is>
      </c>
      <c r="N64" s="183">
        <f>HYPERLINK(Table2[[#This Row],[Column1]])</f>
        <v/>
      </c>
    </row>
    <row r="65" ht="34" customHeight="1" s="314">
      <c r="A65" s="90" t="inlineStr">
        <is>
          <t>Innova 1000 Bluetooth OBD2 Scanner for iPhone &amp; Android - Predict Car Problems Before They Happen - No Subscriptions - Detect Check Engine, ABS, SRS Issues for Cars 1996+</t>
        </is>
      </c>
      <c r="B65" s="90" t="inlineStr">
        <is>
          <t>B0D32BNNQ9</t>
        </is>
      </c>
      <c r="C65" s="94" t="inlineStr">
        <is>
          <t>1000</t>
        </is>
      </c>
      <c r="D65" s="90" t="inlineStr">
        <is>
          <t>3P</t>
        </is>
      </c>
      <c r="E65" s="90" t="inlineStr">
        <is>
          <t>Dongle</t>
        </is>
      </c>
      <c r="F65" s="347" t="n">
        <v>89.44265232974911</v>
      </c>
      <c r="G65" s="348" t="n">
        <v>506840.65</v>
      </c>
      <c r="H65" s="348" t="n">
        <v>24954.5</v>
      </c>
      <c r="I65" s="98" t="n">
        <v>5510</v>
      </c>
      <c r="J65" s="102" t="n">
        <v>279</v>
      </c>
      <c r="K65" s="98" t="n">
        <v>407</v>
      </c>
      <c r="L65" s="99" t="n">
        <v>4.3</v>
      </c>
      <c r="M65" s="99" t="inlineStr">
        <is>
          <t>https://amazon.com/dp/B0D32BNNQ9</t>
        </is>
      </c>
      <c r="N65" s="183">
        <f>HYPERLINK(Table2[[#This Row],[Column1]])</f>
        <v/>
      </c>
    </row>
    <row r="66" ht="34" customHeight="1" s="314">
      <c r="A66" s="90" t="inlineStr">
        <is>
          <t>Innova SD35 OBD2 Scanner – ABS, SRS, TPMS &amp; Check Engine Code Reader, Live Data, All System Diagnostics, Compatible with Most Vehicles</t>
        </is>
      </c>
      <c r="B66" s="90" t="inlineStr">
        <is>
          <t>B0F254MVB5</t>
        </is>
      </c>
      <c r="C66" s="94" t="inlineStr">
        <is>
          <t>SD35</t>
        </is>
      </c>
      <c r="D66" s="90" t="inlineStr">
        <is>
          <t>3P</t>
        </is>
      </c>
      <c r="E66" s="90" t="inlineStr">
        <is>
          <t>Tablet</t>
        </is>
      </c>
      <c r="F66" s="347" t="n">
        <v>142.2215175097276</v>
      </c>
      <c r="G66" s="348" t="n">
        <v>1070841.26</v>
      </c>
      <c r="H66" s="348" t="n">
        <v>36550.93</v>
      </c>
      <c r="I66" s="98" t="n">
        <v>7985</v>
      </c>
      <c r="J66" s="102" t="n">
        <v>257</v>
      </c>
      <c r="K66" s="98" t="n">
        <v>336</v>
      </c>
      <c r="L66" s="99" t="n">
        <v>4.5</v>
      </c>
      <c r="M66" s="99" t="inlineStr">
        <is>
          <t>https://amazon.com/dp/B0F254MVB5</t>
        </is>
      </c>
      <c r="N66" s="183">
        <f>HYPERLINK(Table2[[#This Row],[Column1]])</f>
        <v/>
      </c>
    </row>
    <row r="67" ht="45" customHeight="1" s="314">
      <c r="A67" s="90" t="inlineStr">
        <is>
          <t>INNOVA 5310 OBD2 Scanner – ABS &amp; SRS Code Reader, Check Engine Light Diagnostic Tool with Battery Test, Oil Reset, Live Data – Works with Most OBDII Vehicles 1996 &amp; Newer</t>
        </is>
      </c>
      <c r="B67" s="90" t="inlineStr">
        <is>
          <t>B07ZL746BR</t>
        </is>
      </c>
      <c r="C67" s="94" t="inlineStr">
        <is>
          <t>5310</t>
        </is>
      </c>
      <c r="D67" s="90" t="inlineStr">
        <is>
          <t>3P</t>
        </is>
      </c>
      <c r="E67" s="90" t="inlineStr">
        <is>
          <t>Handheld</t>
        </is>
      </c>
      <c r="F67" s="347" t="n">
        <v>127.4812053571429</v>
      </c>
      <c r="G67" s="348" t="n">
        <v>326612.54</v>
      </c>
      <c r="H67" s="348" t="n">
        <v>28555.79</v>
      </c>
      <c r="I67" s="98" t="n">
        <v>2661</v>
      </c>
      <c r="J67" s="102" t="n">
        <v>224</v>
      </c>
      <c r="K67" s="98" t="n">
        <v>830</v>
      </c>
      <c r="L67" s="99" t="n">
        <v>4.5</v>
      </c>
      <c r="M67" s="99" t="inlineStr">
        <is>
          <t>https://amazon.com/dp/B07ZL746BR</t>
        </is>
      </c>
      <c r="N67" s="183">
        <f>HYPERLINK(Table2[[#This Row],[Column1]])</f>
        <v/>
      </c>
    </row>
    <row r="68" ht="45" customHeight="1" s="314">
      <c r="A68" s="90" t="inlineStr">
        <is>
          <t>Innova 3551 Inductive Timing Light</t>
        </is>
      </c>
      <c r="B68" s="90" t="inlineStr">
        <is>
          <t>B000EVYH72</t>
        </is>
      </c>
      <c r="C68" s="94" t="inlineStr">
        <is>
          <t>3551</t>
        </is>
      </c>
      <c r="D68" s="90" t="inlineStr">
        <is>
          <t>1P</t>
        </is>
      </c>
      <c r="E68" s="90" t="inlineStr">
        <is>
          <t>Other</t>
        </is>
      </c>
      <c r="F68" s="347" t="n">
        <v>38.83009661835749</v>
      </c>
      <c r="G68" s="348" t="n">
        <v>97072.25461538462</v>
      </c>
      <c r="H68" s="348" t="n">
        <v>8037.83</v>
      </c>
      <c r="I68" s="98" t="n">
        <v>207</v>
      </c>
      <c r="J68" s="102" t="n">
        <v>207</v>
      </c>
      <c r="K68" s="98" t="n">
        <v>0</v>
      </c>
      <c r="L68" s="99" t="n">
        <v>0</v>
      </c>
      <c r="M68" s="99" t="inlineStr">
        <is>
          <t>https://www.amazon.com/dp/B000EVYH72</t>
        </is>
      </c>
      <c r="N68" s="183">
        <f>HYPERLINK(Table2[[#This Row],[Column1]])</f>
        <v/>
      </c>
    </row>
    <row r="69" ht="34" customHeight="1" s="314">
      <c r="A69" s="90" t="inlineStr">
        <is>
          <t>Innova 3555 Advance Timing Light</t>
        </is>
      </c>
      <c r="B69" s="90" t="inlineStr">
        <is>
          <t>B000EVYH7W</t>
        </is>
      </c>
      <c r="C69" s="94" t="inlineStr">
        <is>
          <t>3555</t>
        </is>
      </c>
      <c r="D69" s="90" t="inlineStr">
        <is>
          <t>1P</t>
        </is>
      </c>
      <c r="E69" s="90" t="inlineStr">
        <is>
          <t>Other</t>
        </is>
      </c>
      <c r="F69" s="347" t="n">
        <v>55.06609756097561</v>
      </c>
      <c r="G69" s="348" t="n">
        <v>136330.95</v>
      </c>
      <c r="H69" s="348" t="n">
        <v>11288.55</v>
      </c>
      <c r="I69" s="98" t="n">
        <v>205</v>
      </c>
      <c r="J69" s="102" t="n">
        <v>205</v>
      </c>
      <c r="K69" s="98" t="n">
        <v>0</v>
      </c>
      <c r="L69" s="99" t="n">
        <v>0</v>
      </c>
      <c r="M69" s="99" t="inlineStr">
        <is>
          <t>https://www.amazon.com/dp/B000EVYH7W</t>
        </is>
      </c>
      <c r="N69" s="183">
        <f>HYPERLINK(Table2[[#This Row],[Column1]])</f>
        <v/>
      </c>
    </row>
    <row r="70" ht="34" customHeight="1" s="314">
      <c r="A70" s="90" t="inlineStr">
        <is>
          <t>Innova 3994 Soft Pouch</t>
        </is>
      </c>
      <c r="B70" s="90" t="inlineStr">
        <is>
          <t>B0D4R8Y6SY</t>
        </is>
      </c>
      <c r="C70" s="94" t="inlineStr">
        <is>
          <t>3994</t>
        </is>
      </c>
      <c r="D70" s="90" t="inlineStr">
        <is>
          <t>3P</t>
        </is>
      </c>
      <c r="E70" s="90" t="inlineStr">
        <is>
          <t>Other</t>
        </is>
      </c>
      <c r="F70" s="347" t="n">
        <v>19.22457894736842</v>
      </c>
      <c r="G70" s="348" t="n">
        <v>44113.01461538461</v>
      </c>
      <c r="H70" s="348" t="n">
        <v>3652.67</v>
      </c>
      <c r="I70" s="98" t="n">
        <v>190</v>
      </c>
      <c r="J70" s="102" t="n">
        <v>190</v>
      </c>
      <c r="K70" s="98" t="n">
        <v>0</v>
      </c>
      <c r="L70" s="99" t="n">
        <v>0</v>
      </c>
      <c r="M70" s="99" t="inlineStr">
        <is>
          <t>https://www.amazon.com/dp/B0D4R8Y6SY</t>
        </is>
      </c>
      <c r="N70" s="183">
        <f>HYPERLINK(Table2[[#This Row],[Column1]])</f>
        <v/>
      </c>
    </row>
    <row r="71" ht="34" customHeight="1" s="314">
      <c r="A71" s="90" t="inlineStr">
        <is>
          <t>Innova 3721 Battery and Charging System Monitor</t>
        </is>
      </c>
      <c r="B71" s="90" t="inlineStr">
        <is>
          <t>B000EVWDU0</t>
        </is>
      </c>
      <c r="C71" s="94" t="inlineStr">
        <is>
          <t>3721</t>
        </is>
      </c>
      <c r="D71" s="90" t="inlineStr">
        <is>
          <t>1P</t>
        </is>
      </c>
      <c r="E71" s="90" t="inlineStr">
        <is>
          <t>Other</t>
        </is>
      </c>
      <c r="F71" s="347" t="n">
        <v>23.34055555555556</v>
      </c>
      <c r="G71" s="348" t="n">
        <v>25369.38846153846</v>
      </c>
      <c r="H71" s="348" t="n">
        <v>2100.65</v>
      </c>
      <c r="I71" s="98" t="n">
        <v>90</v>
      </c>
      <c r="J71" s="102" t="n">
        <v>90</v>
      </c>
      <c r="K71" s="98" t="n">
        <v>0</v>
      </c>
      <c r="L71" s="99" t="n">
        <v>0</v>
      </c>
      <c r="M71" s="99" t="inlineStr">
        <is>
          <t>https://www.amazon.com/dp/B000EVWDU0</t>
        </is>
      </c>
      <c r="N71" s="183">
        <f>HYPERLINK(Table2[[#This Row],[Column1]])</f>
        <v/>
      </c>
    </row>
    <row r="72" ht="17" customHeight="1" s="314">
      <c r="A72" s="90" t="inlineStr">
        <is>
          <t>Innova 3129 OBD-1 Kit (Includes OBD1 Adapters &amp; Pouch) , Black</t>
        </is>
      </c>
      <c r="B72" s="90" t="inlineStr">
        <is>
          <t>B078BHTCK1</t>
        </is>
      </c>
      <c r="C72" s="94" t="inlineStr">
        <is>
          <t>3129</t>
        </is>
      </c>
      <c r="D72" s="90" t="inlineStr">
        <is>
          <t>1P+3P</t>
        </is>
      </c>
      <c r="E72" s="90" t="inlineStr">
        <is>
          <t>Cable/Adapter</t>
        </is>
      </c>
      <c r="F72" s="347" t="n">
        <v>106.7930120481928</v>
      </c>
      <c r="G72" s="348" t="n">
        <v>107047.6723076923</v>
      </c>
      <c r="H72" s="348" t="n">
        <v>8863.82</v>
      </c>
      <c r="I72" s="98" t="n">
        <v>83</v>
      </c>
      <c r="J72" s="102" t="n">
        <v>83</v>
      </c>
      <c r="K72" s="98" t="n">
        <v>200</v>
      </c>
      <c r="L72" s="99" t="n">
        <v>4.3</v>
      </c>
      <c r="M72" s="99" t="inlineStr">
        <is>
          <t>https://amazon.com/dp/B078BHTCK1</t>
        </is>
      </c>
      <c r="N72" s="183">
        <f>HYPERLINK(Table2[[#This Row],[Column1]])</f>
        <v/>
      </c>
    </row>
    <row r="73" ht="34" customHeight="1" s="314">
      <c r="A73" s="90" t="inlineStr">
        <is>
          <t>Innova 3340 Professional Automotive Digital Multimeter, Black</t>
        </is>
      </c>
      <c r="B73" s="90" t="inlineStr">
        <is>
          <t>B000KIMHRQ</t>
        </is>
      </c>
      <c r="C73" s="94" t="inlineStr">
        <is>
          <t>3340</t>
        </is>
      </c>
      <c r="D73" s="90" t="inlineStr">
        <is>
          <t>1P+3P</t>
        </is>
      </c>
      <c r="E73" s="90" t="inlineStr">
        <is>
          <t>Other</t>
        </is>
      </c>
      <c r="F73" s="347" t="n">
        <v>90.64324999999999</v>
      </c>
      <c r="G73" s="348" t="n">
        <v>87575.32461538461</v>
      </c>
      <c r="H73" s="348" t="n">
        <v>7251.46</v>
      </c>
      <c r="I73" s="98" t="n">
        <v>80</v>
      </c>
      <c r="J73" s="102" t="n">
        <v>80</v>
      </c>
      <c r="K73" s="98" t="n">
        <v>0</v>
      </c>
      <c r="L73" s="99" t="n">
        <v>0</v>
      </c>
      <c r="M73" s="99" t="inlineStr">
        <is>
          <t>https://www.amazon.com/dp/B000KIMHRQ</t>
        </is>
      </c>
      <c r="N73" s="183">
        <f>HYPERLINK(Table2[[#This Row],[Column1]])</f>
        <v/>
      </c>
    </row>
    <row r="74" ht="30" customHeight="1" s="314">
      <c r="A74" s="90" t="inlineStr">
        <is>
          <t>Innova 3149 Extension Cable for Ford Code Reader (Item 3145)</t>
        </is>
      </c>
      <c r="B74" s="90" t="inlineStr">
        <is>
          <t>B000EVYH36</t>
        </is>
      </c>
      <c r="C74" s="94" t="inlineStr">
        <is>
          <t>3149</t>
        </is>
      </c>
      <c r="D74" s="90" t="inlineStr">
        <is>
          <t>1P</t>
        </is>
      </c>
      <c r="E74" s="90" t="inlineStr">
        <is>
          <t>Cable/Adapter</t>
        </is>
      </c>
      <c r="F74" s="347" t="n">
        <v>39.75924999999999</v>
      </c>
      <c r="G74" s="348" t="n">
        <v>38413.55230769231</v>
      </c>
      <c r="H74" s="348" t="n">
        <v>3180.74</v>
      </c>
      <c r="I74" s="98" t="n">
        <v>80</v>
      </c>
      <c r="J74" s="102" t="n">
        <v>80</v>
      </c>
      <c r="K74" s="98" t="n">
        <v>1355</v>
      </c>
      <c r="L74" s="99" t="n">
        <v>4.7</v>
      </c>
      <c r="M74" s="99" t="inlineStr">
        <is>
          <t>https://amazon.com/dp/B000EVYH36</t>
        </is>
      </c>
      <c r="N74" s="183">
        <f>HYPERLINK(Table2[[#This Row],[Column1]])</f>
        <v/>
      </c>
    </row>
    <row r="75" ht="34" customHeight="1" s="314">
      <c r="A75" s="90" t="inlineStr">
        <is>
          <t>Innova 3595 Replacement Metal Inductive Pickup Lead Set</t>
        </is>
      </c>
      <c r="B75" s="90" t="inlineStr">
        <is>
          <t>B001QUB8KE</t>
        </is>
      </c>
      <c r="C75" s="94" t="inlineStr">
        <is>
          <t>3595</t>
        </is>
      </c>
      <c r="D75" s="90" t="inlineStr">
        <is>
          <t>1P</t>
        </is>
      </c>
      <c r="E75" s="90" t="inlineStr">
        <is>
          <t>Other</t>
        </is>
      </c>
      <c r="F75" s="347" t="n">
        <v>26.55512820512821</v>
      </c>
      <c r="G75" s="348" t="n">
        <v>25014.93076923077</v>
      </c>
      <c r="H75" s="348" t="n">
        <v>2071.3</v>
      </c>
      <c r="I75" s="98" t="n">
        <v>78</v>
      </c>
      <c r="J75" s="102" t="n">
        <v>78</v>
      </c>
      <c r="K75" s="98" t="n">
        <v>0</v>
      </c>
      <c r="L75" s="99" t="n">
        <v>0</v>
      </c>
      <c r="M75" s="99" t="inlineStr">
        <is>
          <t>https://www.amazon.com/dp/B001QUB8KE</t>
        </is>
      </c>
      <c r="N75" s="183">
        <f>HYPERLINK(Table2[[#This Row],[Column1]])</f>
        <v/>
      </c>
    </row>
    <row r="76" ht="17" customHeight="1" s="314">
      <c r="A76" s="90" t="inlineStr">
        <is>
          <t>INNOVA 3040RS, OBD2 Scanner, Live Data Streamer, Battery/Alt Tester, Reset Check Engine Light/Brake Light/Oil Light, Free Mechanic Recommended Fix &amp; Parts &amp; Est Repair Cost, Free Updates</t>
        </is>
      </c>
      <c r="B76" s="90" t="inlineStr">
        <is>
          <t>B084SVS383</t>
        </is>
      </c>
      <c r="C76" s="94" t="inlineStr">
        <is>
          <t>3040RS</t>
        </is>
      </c>
      <c r="D76" s="90" t="inlineStr">
        <is>
          <t>1P</t>
        </is>
      </c>
      <c r="E76" s="90" t="inlineStr">
        <is>
          <t>Handheld</t>
        </is>
      </c>
      <c r="F76" s="347" t="n">
        <v>104.99</v>
      </c>
      <c r="G76" s="348" t="n">
        <v>117640.11</v>
      </c>
      <c r="H76" s="348" t="n">
        <v>6824.35</v>
      </c>
      <c r="I76" s="98" t="n">
        <v>1185</v>
      </c>
      <c r="J76" s="102" t="n">
        <v>65</v>
      </c>
      <c r="K76" s="98" t="n">
        <v>606</v>
      </c>
      <c r="L76" s="99" t="n">
        <v>4.4</v>
      </c>
      <c r="M76" s="99" t="inlineStr">
        <is>
          <t>https://amazon.com/dp/B084SVS383</t>
        </is>
      </c>
      <c r="N76" s="183">
        <f>HYPERLINK(Table2[[#This Row],[Column1]])</f>
        <v/>
      </c>
    </row>
    <row r="77" ht="45" customHeight="1" s="314">
      <c r="A77" s="90" t="inlineStr">
        <is>
          <t>INNOVA 5110 Check Engine Code Reader - Super Simple Car Scanner for All Levels - Works on Most 1996 &amp; Newer OBDII Cars</t>
        </is>
      </c>
      <c r="B77" s="90" t="inlineStr">
        <is>
          <t>B07Z46KNLR</t>
        </is>
      </c>
      <c r="C77" s="94" t="inlineStr">
        <is>
          <t>5110</t>
        </is>
      </c>
      <c r="D77" s="90" t="inlineStr">
        <is>
          <t>3P</t>
        </is>
      </c>
      <c r="E77" s="90" t="inlineStr">
        <is>
          <t>Handheld</t>
        </is>
      </c>
      <c r="F77" s="347" t="n">
        <v>65.72888888888889</v>
      </c>
      <c r="G77" s="348" t="n">
        <v>76589.42999999999</v>
      </c>
      <c r="H77" s="348" t="n">
        <v>4140.92</v>
      </c>
      <c r="I77" s="98" t="n">
        <v>1160</v>
      </c>
      <c r="J77" s="102" t="n">
        <v>63</v>
      </c>
      <c r="K77" s="98" t="n">
        <v>1029</v>
      </c>
      <c r="L77" s="99" t="n">
        <v>4.3</v>
      </c>
      <c r="M77" s="99" t="inlineStr">
        <is>
          <t>https://amazon.com/dp/B07Z46KNLR</t>
        </is>
      </c>
      <c r="N77" s="183">
        <f>HYPERLINK(Table2[[#This Row],[Column1]])</f>
        <v/>
      </c>
    </row>
    <row r="78" ht="34" customHeight="1" s="314">
      <c r="A78" s="90" t="inlineStr">
        <is>
          <t>Innova 3612 Compression Tester - 4 Piece Kit</t>
        </is>
      </c>
      <c r="B78" s="90" t="inlineStr">
        <is>
          <t>B000EVU89I</t>
        </is>
      </c>
      <c r="C78" s="94" t="inlineStr">
        <is>
          <t>3612</t>
        </is>
      </c>
      <c r="D78" s="90" t="inlineStr">
        <is>
          <t>1P</t>
        </is>
      </c>
      <c r="E78" s="90" t="inlineStr">
        <is>
          <t>Other</t>
        </is>
      </c>
      <c r="F78" s="347" t="n">
        <v>32.96580645161291</v>
      </c>
      <c r="G78" s="348" t="n">
        <v>24683.78153846153</v>
      </c>
      <c r="H78" s="348" t="n">
        <v>2043.88</v>
      </c>
      <c r="I78" s="98" t="n">
        <v>62</v>
      </c>
      <c r="J78" s="102" t="n">
        <v>62</v>
      </c>
      <c r="K78" s="98" t="n">
        <v>0</v>
      </c>
      <c r="L78" s="99" t="n">
        <v>0</v>
      </c>
      <c r="M78" s="99" t="inlineStr">
        <is>
          <t>https://www.amazon.com/dp/B000EVU89I</t>
        </is>
      </c>
      <c r="N78" s="183">
        <f>HYPERLINK(Table2[[#This Row],[Column1]])</f>
        <v/>
      </c>
    </row>
    <row r="79" ht="34" customHeight="1" s="314">
      <c r="A79" s="90" t="inlineStr">
        <is>
          <t>Innova 3614 Compression Tester Plus - 6 Piece Kit</t>
        </is>
      </c>
      <c r="B79" s="90" t="inlineStr">
        <is>
          <t>B000EVU8JS</t>
        </is>
      </c>
      <c r="C79" s="94" t="inlineStr">
        <is>
          <t>3614</t>
        </is>
      </c>
      <c r="D79" s="90" t="inlineStr">
        <is>
          <t>1P</t>
        </is>
      </c>
      <c r="E79" s="90" t="inlineStr">
        <is>
          <t>Other</t>
        </is>
      </c>
      <c r="F79" s="347" t="n">
        <v>36.51596153846154</v>
      </c>
      <c r="G79" s="348" t="n">
        <v>22932.02384615385</v>
      </c>
      <c r="H79" s="348" t="n">
        <v>1898.83</v>
      </c>
      <c r="I79" s="98" t="n">
        <v>52</v>
      </c>
      <c r="J79" s="102" t="n">
        <v>52</v>
      </c>
      <c r="K79" s="98" t="n">
        <v>0</v>
      </c>
      <c r="L79" s="99" t="n">
        <v>0</v>
      </c>
      <c r="M79" s="99" t="inlineStr">
        <is>
          <t>https://www.amazon.com/dp/B000EVU8JS</t>
        </is>
      </c>
      <c r="N79" s="183">
        <f>HYPERLINK(Table2[[#This Row],[Column1]])</f>
        <v/>
      </c>
    </row>
    <row r="80" ht="45" customHeight="1" s="314">
      <c r="A80" s="90" t="inlineStr">
        <is>
          <t>INNOVA 3100RS, OBD2 Scanner, ABS SRS Airbag Scan Tool with Airbag Light &amp; Oil Light Reset, Stream Graph &amp; Record Live Data, Get Suggested Repair &amp; Parts on iPhone or Android</t>
        </is>
      </c>
      <c r="B80" s="90" t="inlineStr">
        <is>
          <t>B084SW4K8J</t>
        </is>
      </c>
      <c r="C80" s="94" t="inlineStr">
        <is>
          <t>3100RS</t>
        </is>
      </c>
      <c r="D80" s="90" t="inlineStr">
        <is>
          <t>1P+3P</t>
        </is>
      </c>
      <c r="E80" s="90" t="inlineStr">
        <is>
          <t>Handheld</t>
        </is>
      </c>
      <c r="F80" s="347" t="n">
        <v>140.0402</v>
      </c>
      <c r="G80" s="348" t="n">
        <v>88653.43999999999</v>
      </c>
      <c r="H80" s="348" t="n">
        <v>7002.01</v>
      </c>
      <c r="I80" s="98" t="n">
        <v>640</v>
      </c>
      <c r="J80" s="102" t="n">
        <v>50</v>
      </c>
      <c r="K80" s="98" t="n">
        <v>533</v>
      </c>
      <c r="L80" s="99" t="n">
        <v>4.4</v>
      </c>
      <c r="M80" s="99" t="inlineStr">
        <is>
          <t>https://amazon.com/dp/B084SW4K8J</t>
        </is>
      </c>
      <c r="N80" s="183">
        <f>HYPERLINK(Table2[[#This Row],[Column1]])</f>
        <v/>
      </c>
    </row>
    <row r="81" ht="45" customHeight="1" s="314">
      <c r="A81" s="90" t="inlineStr">
        <is>
          <t>Innova SDS43 OBD2 Scanner Diagnostic Tool - Bidirectional Tablet Scanner for Engine, ABS, SRS, Transmission - Compatible with Most Vehicles</t>
        </is>
      </c>
      <c r="B81" s="90" t="inlineStr">
        <is>
          <t>B0F4M2MZYN</t>
        </is>
      </c>
      <c r="C81" s="94" t="inlineStr">
        <is>
          <t>SDS43</t>
        </is>
      </c>
      <c r="D81" s="90" t="inlineStr">
        <is>
          <t>3P</t>
        </is>
      </c>
      <c r="E81" s="90" t="inlineStr">
        <is>
          <t>Tablet</t>
        </is>
      </c>
      <c r="F81" s="347" t="n">
        <v>280.19875</v>
      </c>
      <c r="G81" s="348" t="n">
        <v>171634.31</v>
      </c>
      <c r="H81" s="348" t="n">
        <v>13449.54</v>
      </c>
      <c r="I81" s="98" t="n">
        <v>651</v>
      </c>
      <c r="J81" s="102" t="n">
        <v>48</v>
      </c>
      <c r="K81" s="98" t="n">
        <v>62</v>
      </c>
      <c r="L81" s="99" t="n">
        <v>4</v>
      </c>
      <c r="M81" s="99" t="inlineStr">
        <is>
          <t>https://amazon.com/dp/B0F4M2MZYN</t>
        </is>
      </c>
      <c r="N81" s="183">
        <f>HYPERLINK(Table2[[#This Row],[Column1]])</f>
        <v/>
      </c>
    </row>
    <row r="82" ht="45" customHeight="1" s="314">
      <c r="A82" s="90" t="inlineStr">
        <is>
          <t>INNOVA 5510 OBD2 Scanner, Scan Tool for ABS, All System Scanner, Caliper Service, Brake Pad Life, Read/Erase ABS/SRS Codes, Reset Oil Light, Live Data, Updates Included</t>
        </is>
      </c>
      <c r="B82" s="90" t="inlineStr">
        <is>
          <t>B07Z48NKF1</t>
        </is>
      </c>
      <c r="C82" s="94" t="inlineStr">
        <is>
          <t>5510</t>
        </is>
      </c>
      <c r="D82" s="90" t="inlineStr">
        <is>
          <t>3P</t>
        </is>
      </c>
      <c r="E82" s="90" t="inlineStr">
        <is>
          <t>Handheld</t>
        </is>
      </c>
      <c r="F82" s="347" t="n">
        <v>224.99</v>
      </c>
      <c r="G82" s="348" t="n">
        <v>79422.56</v>
      </c>
      <c r="H82" s="348" t="n">
        <v>9899.559999999999</v>
      </c>
      <c r="I82" s="98" t="n">
        <v>358</v>
      </c>
      <c r="J82" s="102" t="n">
        <v>44</v>
      </c>
      <c r="K82" s="98" t="n">
        <v>292</v>
      </c>
      <c r="L82" s="99" t="n">
        <v>4.1</v>
      </c>
      <c r="M82" s="99" t="inlineStr">
        <is>
          <t>https://amazon.com/dp/B07Z48NKF1</t>
        </is>
      </c>
      <c r="N82" s="183">
        <f>HYPERLINK(Table2[[#This Row],[Column1]])</f>
        <v/>
      </c>
    </row>
    <row r="83" ht="34" customHeight="1" s="314">
      <c r="A83" s="90" t="inlineStr">
        <is>
          <t>Innova 5420 Power Circuit Tester for Automotive | 45° Swivel Head | Fuse, Relay, Battery, and Circuit Diagnostics | Voltage Tester, Multimeter, Relay Tester, Short Circuit Finder, 12V/24V</t>
        </is>
      </c>
      <c r="B83" s="90" t="inlineStr">
        <is>
          <t>B09ZQ3ZQV2</t>
        </is>
      </c>
      <c r="C83" s="94" t="inlineStr">
        <is>
          <t>5420</t>
        </is>
      </c>
      <c r="D83" s="90" t="inlineStr">
        <is>
          <t>3P</t>
        </is>
      </c>
      <c r="E83" s="90" t="inlineStr">
        <is>
          <t>Other</t>
        </is>
      </c>
      <c r="F83" s="347" t="n">
        <v>90.3060606060606</v>
      </c>
      <c r="G83" s="348" t="n">
        <v>35990.43846153846</v>
      </c>
      <c r="H83" s="348" t="n">
        <v>2980.1</v>
      </c>
      <c r="I83" s="98" t="n">
        <v>33</v>
      </c>
      <c r="J83" s="101" t="n">
        <v>33</v>
      </c>
      <c r="K83" s="98" t="n">
        <v>0</v>
      </c>
      <c r="L83" s="99" t="n">
        <v>0</v>
      </c>
      <c r="M83" s="99" t="inlineStr">
        <is>
          <t>https://www.amazon.com/dp/B09ZQ3ZQV2</t>
        </is>
      </c>
      <c r="N83" s="183">
        <f>HYPERLINK(Table2[[#This Row],[Column1]])</f>
        <v/>
      </c>
    </row>
    <row r="84" ht="45" customHeight="1" s="314">
      <c r="A84" s="90" t="inlineStr">
        <is>
          <t>Innova 3640 Professional Fuel Injection Pressure Tester</t>
        </is>
      </c>
      <c r="B84" s="90" t="inlineStr">
        <is>
          <t>B000EVU8NY</t>
        </is>
      </c>
      <c r="C84" s="94" t="inlineStr">
        <is>
          <t>3640</t>
        </is>
      </c>
      <c r="D84" s="90" t="inlineStr">
        <is>
          <t>1P</t>
        </is>
      </c>
      <c r="E84" s="90" t="inlineStr">
        <is>
          <t>Other</t>
        </is>
      </c>
      <c r="F84" s="347" t="n">
        <v>28.26666666666667</v>
      </c>
      <c r="G84" s="348" t="n">
        <v>11265.35384615384</v>
      </c>
      <c r="H84" s="348" t="n">
        <v>932.8</v>
      </c>
      <c r="I84" s="98" t="n">
        <v>33</v>
      </c>
      <c r="J84" s="102" t="n">
        <v>33</v>
      </c>
      <c r="K84" s="98" t="n">
        <v>0</v>
      </c>
      <c r="L84" s="99" t="n">
        <v>0</v>
      </c>
      <c r="M84" s="99" t="inlineStr">
        <is>
          <t>https://www.amazon.com/dp/B000EVU8NY</t>
        </is>
      </c>
      <c r="N84" s="183">
        <f>HYPERLINK(Table2[[#This Row],[Column1]])</f>
        <v/>
      </c>
    </row>
    <row r="85" ht="45" customHeight="1" s="314">
      <c r="A85" s="90" t="inlineStr">
        <is>
          <t>Innova 3128 HD Adapter Kit - Made for Heavy-Duty Trucks - Compatible with Innova 5610 - Includes 4 Heavy-Duty OBD Adapters with a Pouch Bag</t>
        </is>
      </c>
      <c r="B85" s="90" t="inlineStr">
        <is>
          <t>B0FD49XQTG</t>
        </is>
      </c>
      <c r="C85" s="94" t="inlineStr">
        <is>
          <t>3128</t>
        </is>
      </c>
      <c r="D85" s="90" t="inlineStr">
        <is>
          <t>3P</t>
        </is>
      </c>
      <c r="E85" s="90" t="inlineStr">
        <is>
          <t>Cable/Adapter</t>
        </is>
      </c>
      <c r="F85" s="347" t="n">
        <v>93.93181818181819</v>
      </c>
      <c r="G85" s="348" t="n">
        <v>26628.22846153846</v>
      </c>
      <c r="H85" s="348" t="n">
        <v>3099.75</v>
      </c>
      <c r="I85" s="98" t="n">
        <v>125</v>
      </c>
      <c r="J85" s="102" t="n">
        <v>33</v>
      </c>
      <c r="K85" s="98" t="n">
        <v>3</v>
      </c>
      <c r="L85" s="99" t="n">
        <v>5</v>
      </c>
      <c r="M85" s="99" t="inlineStr">
        <is>
          <t>https://amazon.com/dp/B0FD49XQTG</t>
        </is>
      </c>
      <c r="N85" s="183">
        <f>HYPERLINK(Table2[[#This Row],[Column1]])</f>
        <v/>
      </c>
    </row>
    <row r="86" ht="34" customHeight="1" s="314">
      <c r="A86" s="90" t="inlineStr">
        <is>
          <t>INNOVA 5160RS, OBD2 Bidirectional Scan Tool, OE-Level All System Diagnostics, Reset Oil Light/Battery/EPB/SAS/DPF, Mechanic Recommended Fixes &amp; Parts, TSBs, 1yr Warranty, Free Updates</t>
        </is>
      </c>
      <c r="B86" s="90" t="inlineStr">
        <is>
          <t>B071VYLP32</t>
        </is>
      </c>
      <c r="C86" s="94" t="inlineStr">
        <is>
          <t>5160RS</t>
        </is>
      </c>
      <c r="D86" s="90" t="inlineStr">
        <is>
          <t>1P</t>
        </is>
      </c>
      <c r="E86" s="90" t="inlineStr">
        <is>
          <t>Handheld</t>
        </is>
      </c>
      <c r="F86" s="347" t="n">
        <v>317.482962962963</v>
      </c>
      <c r="G86" s="348" t="n">
        <v>137375.98</v>
      </c>
      <c r="H86" s="348" t="n">
        <v>8572.040000000001</v>
      </c>
      <c r="I86" s="98" t="n">
        <v>434</v>
      </c>
      <c r="J86" s="102" t="n">
        <v>27</v>
      </c>
      <c r="K86" s="98" t="n">
        <v>300</v>
      </c>
      <c r="L86" s="99" t="n">
        <v>4.2</v>
      </c>
      <c r="M86" s="99" t="inlineStr">
        <is>
          <t>https://amazon.com/dp/B071VYLP32</t>
        </is>
      </c>
      <c r="N86" s="183">
        <f>HYPERLINK(Table2[[#This Row],[Column1]])</f>
        <v/>
      </c>
    </row>
    <row r="87" ht="34" customHeight="1" s="314">
      <c r="A87" s="90" t="inlineStr">
        <is>
          <t>INNOVA 3020RS Fast &amp; Easy-to-Use Check Engine Code Reader, OBD2 Scan tool for ABS Clear with Fix &amp; Part Recommendations, Maintenance Schedules, &amp; Free TSBs on iPhone &amp; Android</t>
        </is>
      </c>
      <c r="B87" s="90" t="inlineStr">
        <is>
          <t>B084SWJL4J</t>
        </is>
      </c>
      <c r="C87" s="94" t="inlineStr">
        <is>
          <t>3020RS</t>
        </is>
      </c>
      <c r="D87" s="90" t="inlineStr">
        <is>
          <t>3P</t>
        </is>
      </c>
      <c r="E87" s="90" t="inlineStr">
        <is>
          <t>Handheld</t>
        </is>
      </c>
      <c r="F87" s="347" t="n">
        <v>65.36333333333334</v>
      </c>
      <c r="G87" s="348" t="n">
        <v>78600.73999999999</v>
      </c>
      <c r="H87" s="348" t="n">
        <v>1372.63</v>
      </c>
      <c r="I87" s="98" t="n">
        <v>1191</v>
      </c>
      <c r="J87" s="102" t="n">
        <v>21</v>
      </c>
      <c r="K87" s="98" t="n">
        <v>2485</v>
      </c>
      <c r="L87" s="99" t="n">
        <v>4.3</v>
      </c>
      <c r="M87" s="99" t="inlineStr">
        <is>
          <t>https://amazon.com/dp/B084SWJL4J</t>
        </is>
      </c>
      <c r="N87" s="183">
        <f>HYPERLINK(Table2[[#This Row],[Column1]])</f>
        <v/>
      </c>
    </row>
    <row r="88" ht="34" customHeight="1" s="314">
      <c r="A88" s="90" t="inlineStr">
        <is>
          <t>Innova 3620 Vacuum/Carburetor Fuel Pressure Tester</t>
        </is>
      </c>
      <c r="B88" s="90" t="inlineStr">
        <is>
          <t>B000EW0KPY</t>
        </is>
      </c>
      <c r="C88" s="94" t="inlineStr">
        <is>
          <t>3620</t>
        </is>
      </c>
      <c r="D88" s="90" t="inlineStr">
        <is>
          <t>1P</t>
        </is>
      </c>
      <c r="E88" s="90" t="inlineStr">
        <is>
          <t>Other</t>
        </is>
      </c>
      <c r="F88" s="347" t="n">
        <v>32.99</v>
      </c>
      <c r="G88" s="348" t="n">
        <v>7171.518461538461</v>
      </c>
      <c r="H88" s="348" t="n">
        <v>593.8200000000001</v>
      </c>
      <c r="I88" s="98" t="n">
        <v>18</v>
      </c>
      <c r="J88" s="102" t="n">
        <v>18</v>
      </c>
      <c r="K88" s="98" t="n">
        <v>0</v>
      </c>
      <c r="L88" s="99" t="n">
        <v>0</v>
      </c>
      <c r="M88" s="99" t="inlineStr">
        <is>
          <t>https://www.amazon.com/dp/B000EW0KPY</t>
        </is>
      </c>
      <c r="N88" s="183">
        <f>HYPERLINK(Table2[[#This Row],[Column1]])</f>
        <v/>
      </c>
    </row>
    <row r="89" ht="45" customHeight="1" s="314">
      <c r="A89" s="90" t="inlineStr">
        <is>
          <t>Innova 3410 Test Light/Circuit Tester</t>
        </is>
      </c>
      <c r="B89" s="90" t="inlineStr">
        <is>
          <t>B0014DINF6</t>
        </is>
      </c>
      <c r="C89" s="94" t="inlineStr">
        <is>
          <t>3410</t>
        </is>
      </c>
      <c r="D89" s="90" t="inlineStr">
        <is>
          <t>1P</t>
        </is>
      </c>
      <c r="E89" s="90" t="inlineStr">
        <is>
          <t>Other</t>
        </is>
      </c>
      <c r="F89" s="347" t="n">
        <v>11.47470588235294</v>
      </c>
      <c r="G89" s="348" t="n">
        <v>2355.845384615384</v>
      </c>
      <c r="H89" s="348" t="n">
        <v>195.07</v>
      </c>
      <c r="I89" s="98" t="n">
        <v>17</v>
      </c>
      <c r="J89" s="102" t="n">
        <v>17</v>
      </c>
      <c r="K89" s="98" t="n">
        <v>0</v>
      </c>
      <c r="L89" s="99" t="n">
        <v>0</v>
      </c>
      <c r="M89" s="99" t="inlineStr">
        <is>
          <t>https://www.amazon.com/dp/B0014DINF6</t>
        </is>
      </c>
      <c r="N89" s="183">
        <f>HYPERLINK(Table2[[#This Row],[Column1]])</f>
        <v/>
      </c>
    </row>
    <row r="90" ht="30" customHeight="1" s="314">
      <c r="A90" s="90" t="inlineStr">
        <is>
          <t>INNOVA 3170RS OBD1 &amp; OBD2 Scanner, ABS Bleeder Scan Tool, OBD2 Diagnostic, Caliper Service, Brake Pad Life, Read/Erase ABS/SRS Codes, Reset Oil Light, Live Data, Updates Included</t>
        </is>
      </c>
      <c r="B90" s="90" t="inlineStr">
        <is>
          <t>B08FZ46X2M</t>
        </is>
      </c>
      <c r="C90" s="94" t="inlineStr">
        <is>
          <t>3170RS</t>
        </is>
      </c>
      <c r="D90" s="90" t="inlineStr">
        <is>
          <t>3P</t>
        </is>
      </c>
      <c r="E90" s="90" t="inlineStr">
        <is>
          <t>Handheld</t>
        </is>
      </c>
      <c r="F90" s="347" t="n">
        <v>296.5284615384616</v>
      </c>
      <c r="G90" s="348" t="n">
        <v>67811.843334</v>
      </c>
      <c r="H90" s="348" t="n">
        <v>3854.87</v>
      </c>
      <c r="I90" s="98" t="n">
        <v>228</v>
      </c>
      <c r="J90" s="102" t="n">
        <v>13</v>
      </c>
      <c r="K90" s="98" t="n">
        <v>157</v>
      </c>
      <c r="L90" s="99" t="n">
        <v>3.9</v>
      </c>
      <c r="M90" s="99" t="inlineStr">
        <is>
          <t>https://amazon.com/dp/B08FZ46X2M</t>
        </is>
      </c>
      <c r="N90" s="183">
        <f>HYPERLINK(Table2[[#This Row],[Column1]])</f>
        <v/>
      </c>
    </row>
    <row r="91" ht="45" customHeight="1" s="314">
      <c r="A91" s="90" t="inlineStr">
        <is>
          <t>Innova 3347 Digital Multimeter AMP Probe Red</t>
        </is>
      </c>
      <c r="B91" s="90" t="inlineStr">
        <is>
          <t>B0015S9SWW</t>
        </is>
      </c>
      <c r="C91" s="94" t="inlineStr">
        <is>
          <t>3347</t>
        </is>
      </c>
      <c r="D91" s="90" t="inlineStr">
        <is>
          <t>1P</t>
        </is>
      </c>
      <c r="E91" s="90" t="inlineStr">
        <is>
          <t>Other</t>
        </is>
      </c>
      <c r="F91" s="347" t="n">
        <v>82.026</v>
      </c>
      <c r="G91" s="348" t="n">
        <v>9906.21692307692</v>
      </c>
      <c r="H91" s="348" t="n">
        <v>820.26</v>
      </c>
      <c r="I91" s="98" t="n">
        <v>10</v>
      </c>
      <c r="J91" s="102" t="n">
        <v>10</v>
      </c>
      <c r="K91" s="98" t="n">
        <v>0</v>
      </c>
      <c r="L91" s="99" t="n">
        <v>0</v>
      </c>
      <c r="M91" s="99" t="inlineStr">
        <is>
          <t>https://www.amazon.com/dp/B0015S9SWW</t>
        </is>
      </c>
      <c r="N91" s="183">
        <f>HYPERLINK(Table2[[#This Row],[Column1]])</f>
        <v/>
      </c>
    </row>
    <row r="92" ht="45" customHeight="1" s="314">
      <c r="A92" s="90" t="inlineStr">
        <is>
          <t>Innova 5568 Pro Digital Timing Light Tool with Digital Advance, LED Display, Ignition Timing for 2 and 4 Cycle Engines, Automotive Diagnostic Tool for Cars and Trucks</t>
        </is>
      </c>
      <c r="B92" s="90" t="inlineStr">
        <is>
          <t>B000EVU8J8</t>
        </is>
      </c>
      <c r="C92" s="94" t="inlineStr">
        <is>
          <t>5568</t>
        </is>
      </c>
      <c r="D92" s="90" t="inlineStr">
        <is>
          <t>1P</t>
        </is>
      </c>
      <c r="E92" s="90" t="inlineStr">
        <is>
          <t>Other</t>
        </is>
      </c>
      <c r="F92" s="347" t="n">
        <v>131.6177777777778</v>
      </c>
      <c r="G92" s="348" t="n">
        <v>14305.84</v>
      </c>
      <c r="H92" s="348" t="n">
        <v>1184.56</v>
      </c>
      <c r="I92" s="98" t="n">
        <v>9</v>
      </c>
      <c r="J92" s="102" t="n">
        <v>9</v>
      </c>
      <c r="K92" s="98" t="n">
        <v>0</v>
      </c>
      <c r="L92" s="99" t="n">
        <v>0</v>
      </c>
      <c r="M92" s="99" t="inlineStr">
        <is>
          <t>https://www.amazon.com/dp/B000EVU8J8</t>
        </is>
      </c>
      <c r="N92" s="183">
        <f>HYPERLINK(Table2[[#This Row],[Column1]])</f>
        <v/>
      </c>
    </row>
    <row r="93" ht="45" customHeight="1" s="314">
      <c r="A93" s="90" t="inlineStr">
        <is>
          <t>Innova 3360 Thermal Camera - Infrared Camera with Heat Vision - Identify Hot/Cold Spots -4° ~ 1112°F - Easy to Use Thermal Imager</t>
        </is>
      </c>
      <c r="B93" s="90" t="inlineStr">
        <is>
          <t>B0FDLVW4G8</t>
        </is>
      </c>
      <c r="C93" s="94" t="inlineStr">
        <is>
          <t>3360</t>
        </is>
      </c>
      <c r="D93" s="90" t="inlineStr">
        <is>
          <t>3P</t>
        </is>
      </c>
      <c r="E93" s="90" t="inlineStr">
        <is>
          <t>Other</t>
        </is>
      </c>
      <c r="F93" s="347" t="n">
        <v>95.54666666666667</v>
      </c>
      <c r="G93" s="348" t="n">
        <v>10385.18769230769</v>
      </c>
      <c r="H93" s="348" t="n">
        <v>859.92</v>
      </c>
      <c r="I93" s="98" t="n">
        <v>9</v>
      </c>
      <c r="J93" s="102" t="n">
        <v>9</v>
      </c>
      <c r="K93" s="98" t="n">
        <v>0</v>
      </c>
      <c r="L93" s="99" t="n">
        <v>0</v>
      </c>
      <c r="M93" s="99" t="inlineStr">
        <is>
          <t>https://www.amazon.com/dp/B0FDLVW4G8</t>
        </is>
      </c>
      <c r="N93" s="183">
        <f>HYPERLINK(Table2[[#This Row],[Column1]])</f>
        <v/>
      </c>
    </row>
    <row r="94" ht="45" customHeight="1" s="314">
      <c r="A94" s="90" t="inlineStr">
        <is>
          <t>INNOVA 3160RS OBD2 Scanner, ABS Brake Bleeder, ABS SRS Engine Transmission Diagnoses, Airbag Light Reset, Car Battery Tester &amp; Alternator Tester, Battery Reset, Fix &amp; Parts Recommendations</t>
        </is>
      </c>
      <c r="B94" s="90" t="inlineStr">
        <is>
          <t>B084SVSFZY</t>
        </is>
      </c>
      <c r="C94" s="94" t="inlineStr">
        <is>
          <t>3160RS</t>
        </is>
      </c>
      <c r="D94" s="90" t="inlineStr">
        <is>
          <t>1P</t>
        </is>
      </c>
      <c r="E94" s="90" t="inlineStr">
        <is>
          <t>Handheld</t>
        </is>
      </c>
      <c r="F94" s="347" t="n">
        <v>262.295</v>
      </c>
      <c r="G94" s="348" t="n">
        <v>35742.58</v>
      </c>
      <c r="H94" s="348" t="n">
        <v>1573.77</v>
      </c>
      <c r="I94" s="98" t="n">
        <v>169</v>
      </c>
      <c r="J94" s="102" t="n">
        <v>6</v>
      </c>
      <c r="K94" s="98" t="n">
        <v>288</v>
      </c>
      <c r="L94" s="99" t="n">
        <v>4.1</v>
      </c>
      <c r="M94" s="99" t="inlineStr">
        <is>
          <t>https://amazon.com/dp/B084SVSFZY</t>
        </is>
      </c>
      <c r="N94" s="183">
        <f>HYPERLINK(Table2[[#This Row],[Column1]])</f>
        <v/>
      </c>
    </row>
    <row r="95" ht="34" customHeight="1" s="314">
      <c r="A95" s="90" t="inlineStr">
        <is>
          <t>Innova 5512 OBD2 Scanner, ABS Brake Bleeding, Transmission Temp, TPMS, OBD1 Adapters Included, Repair App</t>
        </is>
      </c>
      <c r="B95" s="90" t="inlineStr">
        <is>
          <t>B09WPW4WQ4</t>
        </is>
      </c>
      <c r="C95" s="94" t="inlineStr">
        <is>
          <t>5512</t>
        </is>
      </c>
      <c r="D95" s="90" t="inlineStr">
        <is>
          <t>3P</t>
        </is>
      </c>
      <c r="E95" s="90" t="inlineStr">
        <is>
          <t>Handheld</t>
        </is>
      </c>
      <c r="F95" s="347" t="n">
        <v>299.99</v>
      </c>
      <c r="G95" s="348" t="n">
        <v>21691.06307692307</v>
      </c>
      <c r="H95" s="348" t="n">
        <v>1799.94</v>
      </c>
      <c r="I95" s="98" t="n">
        <v>66</v>
      </c>
      <c r="J95" s="102" t="n">
        <v>6</v>
      </c>
      <c r="K95" s="98" t="n">
        <v>32</v>
      </c>
      <c r="L95" s="99" t="n">
        <v>3.8</v>
      </c>
      <c r="M95" s="99" t="inlineStr">
        <is>
          <t>https://amazon.com/dp/B09WPW4WQ4</t>
        </is>
      </c>
      <c r="N95" s="183">
        <f>HYPERLINK(Table2[[#This Row],[Column1]])</f>
        <v/>
      </c>
    </row>
    <row r="96" ht="34" customHeight="1" s="314">
      <c r="A96" s="90" t="inlineStr">
        <is>
          <t>Innova 3160g Pro OBD2 Scanner / Car Code Reader with Live data, ABS, SRS, Battery Reset, Service Light Reset, and Bluetooth</t>
        </is>
      </c>
      <c r="B96" s="90" t="inlineStr">
        <is>
          <t>B06XKX2KDJ</t>
        </is>
      </c>
      <c r="C96" s="94" t="inlineStr">
        <is>
          <t>3160g</t>
        </is>
      </c>
      <c r="D96" s="90" t="inlineStr">
        <is>
          <t>1P</t>
        </is>
      </c>
      <c r="E96" s="90" t="inlineStr">
        <is>
          <t>Handheld</t>
        </is>
      </c>
      <c r="F96" s="347" t="n">
        <v>254.6</v>
      </c>
      <c r="G96" s="348" t="n">
        <v>2692.292307692307</v>
      </c>
      <c r="H96" s="348" t="n">
        <v>254.6</v>
      </c>
      <c r="I96" s="98" t="n">
        <v>5</v>
      </c>
      <c r="J96" s="102" t="n">
        <v>1</v>
      </c>
      <c r="K96" s="98" t="n">
        <v>289</v>
      </c>
      <c r="L96" s="99" t="n">
        <v>4.3</v>
      </c>
      <c r="M96" s="99" t="inlineStr">
        <is>
          <t>https://amazon.com/dp/B06XKX2KDJ</t>
        </is>
      </c>
      <c r="N96" s="183">
        <f>HYPERLINK(Table2[[#This Row],[Column1]])</f>
        <v/>
      </c>
    </row>
    <row r="97" ht="30" customHeight="1" s="314">
      <c r="A97" s="90" t="inlineStr">
        <is>
          <t>Diagnostic Scan Tool Code Reader with ABS and Battery Backup for OBD2 Vehicles</t>
        </is>
      </c>
      <c r="B97" s="90" t="inlineStr">
        <is>
          <t>B000EVWDAK</t>
        </is>
      </c>
      <c r="C97" s="94" t="n"/>
      <c r="D97" s="90" t="inlineStr">
        <is>
          <t>1P</t>
        </is>
      </c>
      <c r="E97" s="90" t="inlineStr">
        <is>
          <t>Handheld</t>
        </is>
      </c>
      <c r="F97" s="347" t="n">
        <v>189.63</v>
      </c>
      <c r="G97" s="348" t="n">
        <v>562.05</v>
      </c>
      <c r="H97" s="348" t="n">
        <v>0</v>
      </c>
      <c r="I97" s="98" t="n">
        <v>3</v>
      </c>
      <c r="J97" s="102" t="n">
        <v>0</v>
      </c>
      <c r="K97" s="98" t="n">
        <v>1123</v>
      </c>
      <c r="L97" s="99" t="n">
        <v>4.5</v>
      </c>
      <c r="M97" s="99" t="inlineStr">
        <is>
          <t>https://amazon.com/dp/B000EVWDAK</t>
        </is>
      </c>
      <c r="N97" s="183">
        <f>HYPERLINK(Table2[[#This Row],[Column1]])</f>
        <v/>
      </c>
    </row>
    <row r="98" ht="34" customFormat="1" customHeight="1" s="91">
      <c r="A98" s="90" t="inlineStr">
        <is>
          <t>Innova 5023 Pro CarScan Code Scanner - Professional OBD2 Scanner - Smog Test Scan Tool - Multilingual Code Reader</t>
        </is>
      </c>
      <c r="B98" s="90" t="inlineStr">
        <is>
          <t>B076N5V6SN</t>
        </is>
      </c>
      <c r="C98" s="94" t="inlineStr">
        <is>
          <t>5023</t>
        </is>
      </c>
      <c r="D98" s="90" t="inlineStr">
        <is>
          <t>1P</t>
        </is>
      </c>
      <c r="E98" s="90" t="inlineStr">
        <is>
          <t>Handheld</t>
        </is>
      </c>
      <c r="F98" s="347" t="n">
        <v>77.63</v>
      </c>
      <c r="G98" s="348" t="n">
        <v>-686.9515384615386</v>
      </c>
      <c r="H98" s="348" t="n">
        <v>-81.93000000000001</v>
      </c>
      <c r="I98" s="98" t="n">
        <v>-1</v>
      </c>
      <c r="J98" s="102" t="n">
        <v>-1</v>
      </c>
      <c r="K98" s="98" t="n">
        <v>48</v>
      </c>
      <c r="L98" s="99" t="n">
        <v>3.6</v>
      </c>
      <c r="M98" s="99" t="inlineStr">
        <is>
          <t>https://amazon.com/dp/B076N5V6SN</t>
        </is>
      </c>
      <c r="N98" s="183">
        <f>HYPERLINK(Table2[[#This Row],[Column1]])</f>
        <v/>
      </c>
    </row>
    <row r="99" ht="30" customHeight="1" s="314">
      <c r="A99" s="90" t="n"/>
      <c r="B99" s="90" t="n"/>
      <c r="C99" s="94" t="n"/>
      <c r="D99" s="90" t="n"/>
      <c r="E99" s="90" t="n"/>
      <c r="F99" s="347" t="n"/>
      <c r="G99" s="348" t="n"/>
      <c r="H99" s="348" t="n"/>
      <c r="I99" s="98" t="n"/>
      <c r="J99" s="102" t="n"/>
      <c r="K99" s="98" t="n"/>
      <c r="L99" s="99" t="n"/>
      <c r="M99" s="99" t="n"/>
      <c r="N99" s="183">
        <f>HYPERLINK(Table2[[#This Row],[Column1]])</f>
        <v/>
      </c>
    </row>
    <row r="100" ht="17" customHeight="1" s="314">
      <c r="A100" s="91" t="inlineStr">
        <is>
          <t>Total</t>
        </is>
      </c>
      <c r="B100" s="91" t="n"/>
      <c r="C100" s="92" t="n"/>
      <c r="D100" s="91" t="n"/>
      <c r="E100" s="91" t="n"/>
      <c r="F100" s="91" t="n"/>
      <c r="G100" s="91" t="n"/>
      <c r="H100" s="91" t="n"/>
      <c r="I100" s="311">
        <f>SUM(I57:I99)</f>
        <v/>
      </c>
      <c r="J100" s="311">
        <f>SUM(J57:J99)</f>
        <v/>
      </c>
      <c r="K100" s="91" t="n"/>
      <c r="L100" s="93" t="n"/>
      <c r="M100" s="91" t="n"/>
      <c r="N100" s="91" t="n"/>
    </row>
  </sheetData>
  <mergeCells count="3">
    <mergeCell ref="A7:N7"/>
    <mergeCell ref="A1:N5"/>
    <mergeCell ref="A55:N55"/>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N64"/>
  <sheetViews>
    <sheetView workbookViewId="0">
      <selection activeCell="P13" sqref="P13"/>
    </sheetView>
  </sheetViews>
  <sheetFormatPr baseColWidth="10" defaultColWidth="11.1640625" defaultRowHeight="16"/>
  <cols>
    <col width="50.6640625" customWidth="1" style="89" min="1" max="1"/>
    <col width="12.6640625" customWidth="1" style="89" min="2" max="2"/>
    <col width="8.1640625"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2.6640625" bestFit="1" customWidth="1" style="89" min="12" max="12"/>
    <col hidden="1" width="26.83203125" customWidth="1" style="89" min="13" max="13"/>
    <col width="35.6640625" customWidth="1" style="89" min="14" max="14"/>
    <col width="11.1640625" customWidth="1" style="89" min="15" max="16384"/>
  </cols>
  <sheetData>
    <row r="1">
      <c r="A1" s="317" t="inlineStr">
        <is>
          <t>Innova 1P Monthly Summary</t>
        </is>
      </c>
    </row>
    <row r="2"/>
    <row r="3"/>
    <row r="4"/>
    <row r="5"/>
    <row r="6">
      <c r="A6" s="90" t="n"/>
      <c r="B6" s="91" t="n"/>
      <c r="C6" s="92" t="n"/>
      <c r="D6" s="91" t="n"/>
      <c r="E6" s="91" t="n"/>
      <c r="F6" s="90" t="n"/>
      <c r="G6" s="91" t="n"/>
      <c r="H6" s="91" t="n"/>
      <c r="I6" s="91" t="n"/>
      <c r="J6" s="91" t="n"/>
      <c r="K6" s="93" t="n"/>
      <c r="L6" s="91" t="n"/>
    </row>
    <row r="7">
      <c r="A7" s="307" t="inlineStr">
        <is>
          <t>Rank by Revenue</t>
        </is>
      </c>
    </row>
    <row r="8" ht="34" customHeight="1" s="314">
      <c r="A8" s="46" t="inlineStr">
        <is>
          <t>Product Name</t>
        </is>
      </c>
      <c r="B8" s="47" t="inlineStr">
        <is>
          <t>ASIN</t>
        </is>
      </c>
      <c r="C8" s="47" t="inlineStr">
        <is>
          <t>Item #</t>
        </is>
      </c>
      <c r="D8" s="47" t="inlineStr">
        <is>
          <t>1P/3P</t>
        </is>
      </c>
      <c r="E8" s="47" t="inlineStr">
        <is>
          <t>Type</t>
        </is>
      </c>
      <c r="F8" s="345"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6" t="inlineStr">
        <is>
          <t>Link</t>
        </is>
      </c>
    </row>
    <row r="9" ht="34" customHeight="1" s="314">
      <c r="A9" s="90" t="inlineStr">
        <is>
          <t>Innova 3568 Digital Timing Light</t>
        </is>
      </c>
      <c r="B9" s="90" t="inlineStr">
        <is>
          <t>B000EVYGV4</t>
        </is>
      </c>
      <c r="C9" s="94" t="inlineStr">
        <is>
          <t>3568</t>
        </is>
      </c>
      <c r="D9" s="90" t="inlineStr">
        <is>
          <t>1P</t>
        </is>
      </c>
      <c r="E9" s="90" t="inlineStr">
        <is>
          <t>Other</t>
        </is>
      </c>
      <c r="F9" s="347" t="n">
        <v>79.89569668246446</v>
      </c>
      <c r="G9" s="348" t="n">
        <v>1017963.363076923</v>
      </c>
      <c r="H9" s="349" t="n">
        <v>84289.96000000001</v>
      </c>
      <c r="I9" s="98" t="n">
        <v>1055</v>
      </c>
      <c r="J9" s="98" t="n">
        <v>1055</v>
      </c>
      <c r="K9" s="98" t="n">
        <v>0</v>
      </c>
      <c r="L9" s="99" t="n">
        <v>0</v>
      </c>
      <c r="M9" s="99" t="inlineStr">
        <is>
          <t>https://www.amazon.com/dp/B000EVYGV4</t>
        </is>
      </c>
      <c r="N9" s="183">
        <f>HYPERLINK(M9)</f>
        <v/>
      </c>
    </row>
    <row r="10" ht="45" customHeight="1" s="314">
      <c r="A10" s="90" t="inlineStr">
        <is>
          <t>INNOVA 3145 Ford Digital OBD1 Code Reader</t>
        </is>
      </c>
      <c r="B10" s="90" t="inlineStr">
        <is>
          <t>B000EW0KHW</t>
        </is>
      </c>
      <c r="C10" s="94" t="inlineStr">
        <is>
          <t>3145</t>
        </is>
      </c>
      <c r="D10" s="90" t="inlineStr">
        <is>
          <t>1P</t>
        </is>
      </c>
      <c r="E10" s="90" t="inlineStr">
        <is>
          <t>Handheld</t>
        </is>
      </c>
      <c r="F10" s="347" t="n">
        <v>39.82766475644699</v>
      </c>
      <c r="G10" s="348" t="n">
        <v>335734.9592307693</v>
      </c>
      <c r="H10" s="349" t="n">
        <v>27799.71</v>
      </c>
      <c r="I10" s="98" t="n">
        <v>698</v>
      </c>
      <c r="J10" s="98" t="n">
        <v>698</v>
      </c>
      <c r="K10" s="98" t="n">
        <v>6858</v>
      </c>
      <c r="L10" s="99" t="n">
        <v>4.4</v>
      </c>
      <c r="M10" s="99" t="inlineStr">
        <is>
          <t>https://amazon.com/dp/B000EW0KHW</t>
        </is>
      </c>
      <c r="N10" s="182">
        <f>HYPERLINK(M10)</f>
        <v/>
      </c>
    </row>
    <row r="11" ht="30" customHeight="1" s="314">
      <c r="A11" s="90" t="inlineStr">
        <is>
          <t>Innova 3555 Advance Timing Light</t>
        </is>
      </c>
      <c r="B11" s="90" t="inlineStr">
        <is>
          <t>B000EVYH7W</t>
        </is>
      </c>
      <c r="C11" s="94" t="inlineStr">
        <is>
          <t>3555</t>
        </is>
      </c>
      <c r="D11" s="90" t="inlineStr">
        <is>
          <t>1P</t>
        </is>
      </c>
      <c r="E11" s="90" t="inlineStr">
        <is>
          <t>Other</t>
        </is>
      </c>
      <c r="F11" s="347" t="n">
        <v>55.06609756097561</v>
      </c>
      <c r="G11" s="348" t="n">
        <v>136330.95</v>
      </c>
      <c r="H11" s="349" t="n">
        <v>11288.55</v>
      </c>
      <c r="I11" s="98" t="n">
        <v>205</v>
      </c>
      <c r="J11" s="98" t="n">
        <v>205</v>
      </c>
      <c r="K11" s="98" t="n">
        <v>0</v>
      </c>
      <c r="L11" s="99" t="n">
        <v>0</v>
      </c>
      <c r="M11" s="99" t="inlineStr">
        <is>
          <t>https://www.amazon.com/dp/B000EVYH7W</t>
        </is>
      </c>
      <c r="N11" s="182">
        <f>HYPERLINK(M11)</f>
        <v/>
      </c>
    </row>
    <row r="12" ht="30" customHeight="1" s="314">
      <c r="A12" s="90" t="inlineStr">
        <is>
          <t>INNOVA 3320 Auto-Ranging Digital Multimeter, Red &amp; Black</t>
        </is>
      </c>
      <c r="B12" s="90" t="inlineStr">
        <is>
          <t>B000EVYGZA</t>
        </is>
      </c>
      <c r="C12" s="94" t="inlineStr">
        <is>
          <t>3320</t>
        </is>
      </c>
      <c r="D12" s="90" t="inlineStr">
        <is>
          <t>1P</t>
        </is>
      </c>
      <c r="E12" s="90" t="inlineStr">
        <is>
          <t>Other</t>
        </is>
      </c>
      <c r="F12" s="347" t="n">
        <v>35.65082758620689</v>
      </c>
      <c r="G12" s="348" t="n">
        <v>132466.4553846154</v>
      </c>
      <c r="H12" s="349" t="n">
        <v>10338.74</v>
      </c>
      <c r="I12" s="98" t="n">
        <v>308</v>
      </c>
      <c r="J12" s="98" t="n">
        <v>290</v>
      </c>
      <c r="K12" s="98" t="n">
        <v>0</v>
      </c>
      <c r="L12" s="99" t="n">
        <v>0</v>
      </c>
      <c r="M12" s="99" t="inlineStr">
        <is>
          <t>https://www.amazon.com/dp/B000EVYGZA</t>
        </is>
      </c>
      <c r="N12" s="182">
        <f>HYPERLINK(M12)</f>
        <v/>
      </c>
    </row>
    <row r="13" ht="34" customHeight="1" s="314">
      <c r="A13" s="90" t="inlineStr">
        <is>
          <t>INNOVA 5160RS, OBD2 Bidirectional Scan Tool, OE-Level All System Diagnostics, Reset Oil Light/Battery/EPB/SAS/DPF, Mechanic Recommended Fixes &amp; Parts, TSBs, 1yr Warranty, Free Updates</t>
        </is>
      </c>
      <c r="B13" s="90" t="inlineStr">
        <is>
          <t>B071VYLP32</t>
        </is>
      </c>
      <c r="C13" s="94" t="inlineStr">
        <is>
          <t>5160RS</t>
        </is>
      </c>
      <c r="D13" s="90" t="inlineStr">
        <is>
          <t>1P</t>
        </is>
      </c>
      <c r="E13" s="90" t="inlineStr">
        <is>
          <t>Handheld</t>
        </is>
      </c>
      <c r="F13" s="347" t="n">
        <v>317.482962962963</v>
      </c>
      <c r="G13" s="348" t="n">
        <v>137375.98</v>
      </c>
      <c r="H13" s="349" t="n">
        <v>8572.040000000001</v>
      </c>
      <c r="I13" s="98" t="n">
        <v>434</v>
      </c>
      <c r="J13" s="98" t="n">
        <v>27</v>
      </c>
      <c r="K13" s="98" t="n">
        <v>300</v>
      </c>
      <c r="L13" s="99" t="n">
        <v>4.2</v>
      </c>
      <c r="M13" s="99" t="inlineStr">
        <is>
          <t>https://amazon.com/dp/B071VYLP32</t>
        </is>
      </c>
      <c r="N13" s="182">
        <f>HYPERLINK(M13)</f>
        <v/>
      </c>
    </row>
    <row r="14" ht="45" customHeight="1" s="314">
      <c r="A14" s="90" t="inlineStr">
        <is>
          <t>Innova 3551 Inductive Timing Light</t>
        </is>
      </c>
      <c r="B14" s="90" t="inlineStr">
        <is>
          <t>B000EVYH72</t>
        </is>
      </c>
      <c r="C14" s="94" t="inlineStr">
        <is>
          <t>3551</t>
        </is>
      </c>
      <c r="D14" s="90" t="inlineStr">
        <is>
          <t>1P</t>
        </is>
      </c>
      <c r="E14" s="90" t="inlineStr">
        <is>
          <t>Other</t>
        </is>
      </c>
      <c r="F14" s="347" t="n">
        <v>38.83009661835749</v>
      </c>
      <c r="G14" s="348" t="n">
        <v>97072.25461538462</v>
      </c>
      <c r="H14" s="349" t="n">
        <v>8037.83</v>
      </c>
      <c r="I14" s="98" t="n">
        <v>207</v>
      </c>
      <c r="J14" s="98" t="n">
        <v>207</v>
      </c>
      <c r="K14" s="98" t="n">
        <v>0</v>
      </c>
      <c r="L14" s="99" t="n">
        <v>0</v>
      </c>
      <c r="M14" s="99" t="inlineStr">
        <is>
          <t>https://www.amazon.com/dp/B000EVYH72</t>
        </is>
      </c>
      <c r="N14" s="182">
        <f>HYPERLINK(M14)</f>
        <v/>
      </c>
    </row>
    <row r="15" ht="30" customHeight="1" s="314">
      <c r="A15" s="90" t="inlineStr">
        <is>
          <t>INNOVA 3123 GM OBD1 Code Reader, Windows XP</t>
        </is>
      </c>
      <c r="B15" s="90" t="inlineStr">
        <is>
          <t>B000EVU8C0</t>
        </is>
      </c>
      <c r="C15" s="94" t="inlineStr">
        <is>
          <t>3123</t>
        </is>
      </c>
      <c r="D15" s="90" t="inlineStr">
        <is>
          <t>1P</t>
        </is>
      </c>
      <c r="E15" s="90" t="inlineStr">
        <is>
          <t>OBD1</t>
        </is>
      </c>
      <c r="F15" s="347" t="n">
        <v>14.99135559921415</v>
      </c>
      <c r="G15" s="348" t="n">
        <v>92154.16923076924</v>
      </c>
      <c r="H15" s="349" t="n">
        <v>7630.6</v>
      </c>
      <c r="I15" s="98" t="n">
        <v>509</v>
      </c>
      <c r="J15" s="98" t="n">
        <v>509</v>
      </c>
      <c r="K15" s="98" t="n">
        <v>6860</v>
      </c>
      <c r="L15" s="99" t="n">
        <v>4.4</v>
      </c>
      <c r="M15" s="99" t="inlineStr">
        <is>
          <t>https://amazon.com/dp/B000EVU8C0</t>
        </is>
      </c>
      <c r="N15" s="182">
        <f>HYPERLINK(M15)</f>
        <v/>
      </c>
    </row>
    <row r="16" ht="45" customHeight="1" s="314">
      <c r="A16" s="90" t="inlineStr">
        <is>
          <t>Innova 3340 Professional Automotive Digital Multimeter, Black</t>
        </is>
      </c>
      <c r="B16" s="90" t="inlineStr">
        <is>
          <t>B000KIMHRQ</t>
        </is>
      </c>
      <c r="C16" s="94" t="inlineStr">
        <is>
          <t>3340</t>
        </is>
      </c>
      <c r="D16" s="90" t="inlineStr">
        <is>
          <t>1P</t>
        </is>
      </c>
      <c r="E16" s="90" t="inlineStr">
        <is>
          <t>Other</t>
        </is>
      </c>
      <c r="F16" s="347" t="n">
        <v>90.27909090909091</v>
      </c>
      <c r="G16" s="348" t="n">
        <v>87575.32461538461</v>
      </c>
      <c r="H16" s="349" t="n">
        <v>6951.49</v>
      </c>
      <c r="I16" s="98" t="n">
        <v>80</v>
      </c>
      <c r="J16" s="98" t="n">
        <v>77</v>
      </c>
      <c r="K16" s="98" t="n">
        <v>0</v>
      </c>
      <c r="L16" s="99" t="n">
        <v>0</v>
      </c>
      <c r="M16" s="99" t="inlineStr">
        <is>
          <t>https://www.amazon.com/dp/B000KIMHRQ</t>
        </is>
      </c>
      <c r="N16" s="182">
        <f>HYPERLINK(M16)</f>
        <v/>
      </c>
    </row>
    <row r="17" ht="34" customHeight="1" s="314">
      <c r="A17" s="90" t="inlineStr">
        <is>
          <t>INNOVA 3100RS, OBD2 Scanner, ABS SRS Airbag Scan Tool with Airbag Light &amp; Oil Light Reset, Stream Graph &amp; Record Live Data, Get Suggested Repair &amp; Parts on iPhone or Android</t>
        </is>
      </c>
      <c r="B17" s="90" t="inlineStr">
        <is>
          <t>B084SW4K8J</t>
        </is>
      </c>
      <c r="C17" s="94" t="inlineStr">
        <is>
          <t>3100RS</t>
        </is>
      </c>
      <c r="D17" s="90" t="inlineStr">
        <is>
          <t>1P</t>
        </is>
      </c>
      <c r="E17" s="90" t="inlineStr">
        <is>
          <t>Handheld</t>
        </is>
      </c>
      <c r="F17" s="347" t="n">
        <v>139.99</v>
      </c>
      <c r="G17" s="348" t="n">
        <v>88653.43999999999</v>
      </c>
      <c r="H17" s="349" t="n">
        <v>6859.51</v>
      </c>
      <c r="I17" s="98" t="n">
        <v>640</v>
      </c>
      <c r="J17" s="98" t="n">
        <v>49</v>
      </c>
      <c r="K17" s="98" t="n">
        <v>533</v>
      </c>
      <c r="L17" s="99" t="n">
        <v>4.4</v>
      </c>
      <c r="M17" s="99" t="inlineStr">
        <is>
          <t>https://amazon.com/dp/B084SW4K8J</t>
        </is>
      </c>
      <c r="N17" s="182">
        <f>HYPERLINK(M17)</f>
        <v/>
      </c>
    </row>
    <row r="18" ht="34" customHeight="1" s="314">
      <c r="A18" s="90" t="inlineStr">
        <is>
          <t>INNOVA 3040RS, OBD2 Scanner, Live Data Streamer, Battery/Alt Tester, Reset Check Engine Light/Brake Light/Oil Light, Free Mechanic Recommended Fix &amp; Parts &amp; Est Repair Cost, Free Updates</t>
        </is>
      </c>
      <c r="B18" s="90" t="inlineStr">
        <is>
          <t>B084SVS383</t>
        </is>
      </c>
      <c r="C18" s="94" t="inlineStr">
        <is>
          <t>3040RS</t>
        </is>
      </c>
      <c r="D18" s="90" t="inlineStr">
        <is>
          <t>1P</t>
        </is>
      </c>
      <c r="E18" s="90" t="inlineStr">
        <is>
          <t>Handheld</t>
        </is>
      </c>
      <c r="F18" s="347" t="n">
        <v>104.99</v>
      </c>
      <c r="G18" s="348" t="n">
        <v>117640.11</v>
      </c>
      <c r="H18" s="349" t="n">
        <v>6824.35</v>
      </c>
      <c r="I18" s="98" t="n">
        <v>1185</v>
      </c>
      <c r="J18" s="98" t="n">
        <v>65</v>
      </c>
      <c r="K18" s="98" t="n">
        <v>606</v>
      </c>
      <c r="L18" s="99" t="n">
        <v>4.4</v>
      </c>
      <c r="M18" s="99" t="inlineStr">
        <is>
          <t>https://amazon.com/dp/B084SVS383</t>
        </is>
      </c>
      <c r="N18" s="182">
        <f>HYPERLINK(M18)</f>
        <v/>
      </c>
    </row>
    <row r="19" ht="45" customHeight="1" s="314">
      <c r="A19" s="90" t="inlineStr">
        <is>
          <t>Innova 3129 OBD-1 Kit (Includes OBD1 Adapters &amp; Pouch) , Black</t>
        </is>
      </c>
      <c r="B19" s="90" t="inlineStr">
        <is>
          <t>B078BHTCK1</t>
        </is>
      </c>
      <c r="C19" s="94" t="inlineStr">
        <is>
          <t>3129</t>
        </is>
      </c>
      <c r="D19" s="90" t="inlineStr">
        <is>
          <t>1P</t>
        </is>
      </c>
      <c r="E19" s="90" t="inlineStr">
        <is>
          <t>Cable/Adapter</t>
        </is>
      </c>
      <c r="F19" s="347" t="n">
        <v>107.4973214285714</v>
      </c>
      <c r="G19" s="348" t="n">
        <v>107047.6723076923</v>
      </c>
      <c r="H19" s="349" t="n">
        <v>6019.85</v>
      </c>
      <c r="I19" s="98" t="n">
        <v>83</v>
      </c>
      <c r="J19" s="98" t="n">
        <v>56</v>
      </c>
      <c r="K19" s="98" t="n">
        <v>200</v>
      </c>
      <c r="L19" s="99" t="n">
        <v>4.3</v>
      </c>
      <c r="M19" s="99" t="inlineStr">
        <is>
          <t>https://amazon.com/dp/B078BHTCK1</t>
        </is>
      </c>
      <c r="N19" s="182">
        <f>HYPERLINK(M19)</f>
        <v/>
      </c>
    </row>
    <row r="20" ht="30" customHeight="1" s="314">
      <c r="A20" s="90" t="inlineStr">
        <is>
          <t>Innova 3149 Extension Cable for Ford Code Reader (Item 3145)</t>
        </is>
      </c>
      <c r="B20" s="90" t="inlineStr">
        <is>
          <t>B000EVYH36</t>
        </is>
      </c>
      <c r="C20" s="94" t="inlineStr">
        <is>
          <t>3149</t>
        </is>
      </c>
      <c r="D20" s="90" t="inlineStr">
        <is>
          <t>1P</t>
        </is>
      </c>
      <c r="E20" s="90" t="inlineStr">
        <is>
          <t>Cable/Adapter</t>
        </is>
      </c>
      <c r="F20" s="347" t="n">
        <v>39.75924999999999</v>
      </c>
      <c r="G20" s="348" t="n">
        <v>38413.55230769231</v>
      </c>
      <c r="H20" s="349" t="n">
        <v>3180.74</v>
      </c>
      <c r="I20" s="98" t="n">
        <v>80</v>
      </c>
      <c r="J20" s="98" t="n">
        <v>80</v>
      </c>
      <c r="K20" s="98" t="n">
        <v>1355</v>
      </c>
      <c r="L20" s="99" t="n">
        <v>4.7</v>
      </c>
      <c r="M20" s="99" t="inlineStr">
        <is>
          <t>https://amazon.com/dp/B000EVYH36</t>
        </is>
      </c>
      <c r="N20" s="182">
        <f>HYPERLINK(M20)</f>
        <v/>
      </c>
    </row>
    <row r="21" ht="34" customHeight="1" s="314">
      <c r="A21" s="90" t="inlineStr">
        <is>
          <t>Innova 3721 Battery and Charging System Monitor</t>
        </is>
      </c>
      <c r="B21" s="90" t="inlineStr">
        <is>
          <t>B000EVWDU0</t>
        </is>
      </c>
      <c r="C21" s="94" t="inlineStr">
        <is>
          <t>3721</t>
        </is>
      </c>
      <c r="D21" s="90" t="inlineStr">
        <is>
          <t>1P</t>
        </is>
      </c>
      <c r="E21" s="90" t="inlineStr">
        <is>
          <t>Other</t>
        </is>
      </c>
      <c r="F21" s="347" t="n">
        <v>23.34055555555556</v>
      </c>
      <c r="G21" s="348" t="n">
        <v>25369.38846153846</v>
      </c>
      <c r="H21" s="349" t="n">
        <v>2100.65</v>
      </c>
      <c r="I21" s="98" t="n">
        <v>90</v>
      </c>
      <c r="J21" s="98" t="n">
        <v>90</v>
      </c>
      <c r="K21" s="98" t="n">
        <v>0</v>
      </c>
      <c r="L21" s="99" t="n">
        <v>0</v>
      </c>
      <c r="M21" s="99" t="inlineStr">
        <is>
          <t>https://www.amazon.com/dp/B000EVWDU0</t>
        </is>
      </c>
      <c r="N21" s="182">
        <f>HYPERLINK(M21)</f>
        <v/>
      </c>
    </row>
    <row r="22" ht="30" customHeight="1" s="314">
      <c r="A22" s="90" t="inlineStr">
        <is>
          <t>Innova 3595 Replacement Metal Inductive Pickup Lead Set</t>
        </is>
      </c>
      <c r="B22" s="90" t="inlineStr">
        <is>
          <t>B001QUB8KE</t>
        </is>
      </c>
      <c r="C22" s="94" t="inlineStr">
        <is>
          <t>3595</t>
        </is>
      </c>
      <c r="D22" s="90" t="inlineStr">
        <is>
          <t>1P</t>
        </is>
      </c>
      <c r="E22" s="90" t="inlineStr">
        <is>
          <t>Other</t>
        </is>
      </c>
      <c r="F22" s="347" t="n">
        <v>26.55512820512821</v>
      </c>
      <c r="G22" s="348" t="n">
        <v>25014.93076923077</v>
      </c>
      <c r="H22" s="349" t="n">
        <v>2071.3</v>
      </c>
      <c r="I22" s="98" t="n">
        <v>78</v>
      </c>
      <c r="J22" s="98" t="n">
        <v>78</v>
      </c>
      <c r="K22" s="98" t="n">
        <v>0</v>
      </c>
      <c r="L22" s="99" t="n">
        <v>0</v>
      </c>
      <c r="M22" s="99" t="inlineStr">
        <is>
          <t>https://www.amazon.com/dp/B001QUB8KE</t>
        </is>
      </c>
      <c r="N22" s="182">
        <f>HYPERLINK(M22)</f>
        <v/>
      </c>
    </row>
    <row r="23" ht="34" customHeight="1" s="314">
      <c r="A23" s="90" t="inlineStr">
        <is>
          <t>Innova 3612 Compression Tester - 4 Piece Kit</t>
        </is>
      </c>
      <c r="B23" s="90" t="inlineStr">
        <is>
          <t>B000EVU89I</t>
        </is>
      </c>
      <c r="C23" s="94" t="inlineStr">
        <is>
          <t>3612</t>
        </is>
      </c>
      <c r="D23" s="90" t="inlineStr">
        <is>
          <t>1P</t>
        </is>
      </c>
      <c r="E23" s="90" t="inlineStr">
        <is>
          <t>Other</t>
        </is>
      </c>
      <c r="F23" s="347" t="n">
        <v>32.96580645161291</v>
      </c>
      <c r="G23" s="348" t="n">
        <v>24683.78153846153</v>
      </c>
      <c r="H23" s="349" t="n">
        <v>2043.88</v>
      </c>
      <c r="I23" s="98" t="n">
        <v>62</v>
      </c>
      <c r="J23" s="98" t="n">
        <v>62</v>
      </c>
      <c r="K23" s="98" t="n">
        <v>0</v>
      </c>
      <c r="L23" s="99" t="n">
        <v>0</v>
      </c>
      <c r="M23" s="99" t="inlineStr">
        <is>
          <t>https://www.amazon.com/dp/B000EVU89I</t>
        </is>
      </c>
      <c r="N23" s="182">
        <f>HYPERLINK(M23)</f>
        <v/>
      </c>
    </row>
    <row r="24" ht="34" customHeight="1" s="314">
      <c r="A24" s="90" t="inlineStr">
        <is>
          <t>Innova 3614 Compression Tester Plus - 6 Piece Kit</t>
        </is>
      </c>
      <c r="B24" s="90" t="inlineStr">
        <is>
          <t>B000EVU8JS</t>
        </is>
      </c>
      <c r="C24" s="94" t="inlineStr">
        <is>
          <t>3614</t>
        </is>
      </c>
      <c r="D24" s="90" t="inlineStr">
        <is>
          <t>1P</t>
        </is>
      </c>
      <c r="E24" s="90" t="inlineStr">
        <is>
          <t>Other</t>
        </is>
      </c>
      <c r="F24" s="347" t="n">
        <v>36.51596153846154</v>
      </c>
      <c r="G24" s="348" t="n">
        <v>22932.02384615385</v>
      </c>
      <c r="H24" s="349" t="n">
        <v>1898.83</v>
      </c>
      <c r="I24" s="98" t="n">
        <v>52</v>
      </c>
      <c r="J24" s="98" t="n">
        <v>52</v>
      </c>
      <c r="K24" s="98" t="n">
        <v>0</v>
      </c>
      <c r="L24" s="99" t="n">
        <v>0</v>
      </c>
      <c r="M24" s="99" t="inlineStr">
        <is>
          <t>https://www.amazon.com/dp/B000EVU8JS</t>
        </is>
      </c>
      <c r="N24" s="182">
        <f>HYPERLINK(M24)</f>
        <v/>
      </c>
    </row>
    <row r="25" ht="45" customHeight="1" s="314">
      <c r="A25" s="90" t="inlineStr">
        <is>
          <t>INNOVA 3160RS OBD2 Scanner, ABS Brake Bleeder, ABS SRS Engine Transmission Diagnoses, Airbag Light Reset, Car Battery Tester &amp; Alternator Tester, Battery Reset, Fix &amp; Parts Recommendations</t>
        </is>
      </c>
      <c r="B25" s="90" t="inlineStr">
        <is>
          <t>B084SVSFZY</t>
        </is>
      </c>
      <c r="C25" s="94" t="inlineStr">
        <is>
          <t>3160RS</t>
        </is>
      </c>
      <c r="D25" s="90" t="inlineStr">
        <is>
          <t>1P</t>
        </is>
      </c>
      <c r="E25" s="90" t="inlineStr">
        <is>
          <t>Handheld</t>
        </is>
      </c>
      <c r="F25" s="347" t="n">
        <v>262.295</v>
      </c>
      <c r="G25" s="348" t="n">
        <v>35742.58</v>
      </c>
      <c r="H25" s="349" t="n">
        <v>1573.77</v>
      </c>
      <c r="I25" s="98" t="n">
        <v>169</v>
      </c>
      <c r="J25" s="98" t="n">
        <v>6</v>
      </c>
      <c r="K25" s="98" t="n">
        <v>288</v>
      </c>
      <c r="L25" s="99" t="n">
        <v>4.1</v>
      </c>
      <c r="M25" s="99" t="inlineStr">
        <is>
          <t>https://amazon.com/dp/B084SVSFZY</t>
        </is>
      </c>
      <c r="N25" s="182">
        <f>HYPERLINK(M25)</f>
        <v/>
      </c>
    </row>
    <row r="26" ht="30" customHeight="1" s="314">
      <c r="A26" s="90" t="inlineStr">
        <is>
          <t>Innova 5568 Pro Digital Timing Light Tool with Digital Advance, LED Display, Ignition Timing for 2 and 4 Cycle Engines, Automotive Diagnostic Tool for Cars and Trucks</t>
        </is>
      </c>
      <c r="B26" s="90" t="inlineStr">
        <is>
          <t>B000EVU8J8</t>
        </is>
      </c>
      <c r="C26" s="94" t="inlineStr">
        <is>
          <t>5568</t>
        </is>
      </c>
      <c r="D26" s="90" t="inlineStr">
        <is>
          <t>1P</t>
        </is>
      </c>
      <c r="E26" s="90" t="inlineStr">
        <is>
          <t>Other</t>
        </is>
      </c>
      <c r="F26" s="347" t="n">
        <v>131.6177777777778</v>
      </c>
      <c r="G26" s="348" t="n">
        <v>14305.84</v>
      </c>
      <c r="H26" s="349" t="n">
        <v>1184.56</v>
      </c>
      <c r="I26" s="98" t="n">
        <v>9</v>
      </c>
      <c r="J26" s="98" t="n">
        <v>9</v>
      </c>
      <c r="K26" s="98" t="n">
        <v>0</v>
      </c>
      <c r="L26" s="99" t="n">
        <v>0</v>
      </c>
      <c r="M26" s="99" t="inlineStr">
        <is>
          <t>https://www.amazon.com/dp/B000EVU8J8</t>
        </is>
      </c>
      <c r="N26" s="182">
        <f>HYPERLINK(M26)</f>
        <v/>
      </c>
    </row>
    <row r="27" ht="34" customHeight="1" s="314">
      <c r="A27" s="90" t="inlineStr">
        <is>
          <t>Innova 3640 Professional Fuel Injection Pressure Tester</t>
        </is>
      </c>
      <c r="B27" s="90" t="inlineStr">
        <is>
          <t>B000EVU8NY</t>
        </is>
      </c>
      <c r="C27" s="94" t="inlineStr">
        <is>
          <t>3640</t>
        </is>
      </c>
      <c r="D27" s="90" t="inlineStr">
        <is>
          <t>1P</t>
        </is>
      </c>
      <c r="E27" s="90" t="inlineStr">
        <is>
          <t>Other</t>
        </is>
      </c>
      <c r="F27" s="347" t="n">
        <v>28.26666666666667</v>
      </c>
      <c r="G27" s="348" t="n">
        <v>11265.35384615384</v>
      </c>
      <c r="H27" s="349" t="n">
        <v>932.8</v>
      </c>
      <c r="I27" s="98" t="n">
        <v>33</v>
      </c>
      <c r="J27" s="98" t="n">
        <v>33</v>
      </c>
      <c r="K27" s="98" t="n">
        <v>0</v>
      </c>
      <c r="L27" s="99" t="n">
        <v>0</v>
      </c>
      <c r="M27" s="99" t="inlineStr">
        <is>
          <t>https://www.amazon.com/dp/B000EVU8NY</t>
        </is>
      </c>
      <c r="N27" s="182">
        <f>HYPERLINK(M27)</f>
        <v/>
      </c>
    </row>
    <row r="28" ht="34" customHeight="1" s="314">
      <c r="A28" s="90" t="inlineStr">
        <is>
          <t>Innova 3347 Digital Multimeter AMP Probe Red</t>
        </is>
      </c>
      <c r="B28" s="90" t="inlineStr">
        <is>
          <t>B0015S9SWW</t>
        </is>
      </c>
      <c r="C28" s="94" t="inlineStr">
        <is>
          <t>3347</t>
        </is>
      </c>
      <c r="D28" s="90" t="inlineStr">
        <is>
          <t>1P</t>
        </is>
      </c>
      <c r="E28" s="90" t="inlineStr">
        <is>
          <t>Other</t>
        </is>
      </c>
      <c r="F28" s="347" t="n">
        <v>82.026</v>
      </c>
      <c r="G28" s="348" t="n">
        <v>9906.21692307692</v>
      </c>
      <c r="H28" s="349" t="n">
        <v>820.26</v>
      </c>
      <c r="I28" s="98" t="n">
        <v>10</v>
      </c>
      <c r="J28" s="98" t="n">
        <v>10</v>
      </c>
      <c r="K28" s="98" t="n">
        <v>0</v>
      </c>
      <c r="L28" s="99" t="n">
        <v>0</v>
      </c>
      <c r="M28" s="99" t="inlineStr">
        <is>
          <t>https://www.amazon.com/dp/B0015S9SWW</t>
        </is>
      </c>
      <c r="N28" s="182">
        <f>HYPERLINK(M28)</f>
        <v/>
      </c>
    </row>
    <row r="29" ht="34" customHeight="1" s="314">
      <c r="A29" s="90" t="inlineStr">
        <is>
          <t>Innova 3620 Vacuum/Carburetor Fuel Pressure Tester</t>
        </is>
      </c>
      <c r="B29" s="90" t="inlineStr">
        <is>
          <t>B000EW0KPY</t>
        </is>
      </c>
      <c r="C29" s="94" t="inlineStr">
        <is>
          <t>3620</t>
        </is>
      </c>
      <c r="D29" s="90" t="inlineStr">
        <is>
          <t>1P</t>
        </is>
      </c>
      <c r="E29" s="90" t="inlineStr">
        <is>
          <t>Other</t>
        </is>
      </c>
      <c r="F29" s="347" t="n">
        <v>32.99</v>
      </c>
      <c r="G29" s="348" t="n">
        <v>7171.518461538461</v>
      </c>
      <c r="H29" s="349" t="n">
        <v>593.8200000000001</v>
      </c>
      <c r="I29" s="98" t="n">
        <v>18</v>
      </c>
      <c r="J29" s="98" t="n">
        <v>18</v>
      </c>
      <c r="K29" s="98" t="n">
        <v>0</v>
      </c>
      <c r="L29" s="99" t="n">
        <v>0</v>
      </c>
      <c r="M29" s="99" t="inlineStr">
        <is>
          <t>https://www.amazon.com/dp/B000EW0KPY</t>
        </is>
      </c>
      <c r="N29" s="182">
        <f>HYPERLINK(M29)</f>
        <v/>
      </c>
    </row>
    <row r="30" ht="30" customHeight="1" s="314">
      <c r="A30" s="90" t="inlineStr">
        <is>
          <t>Innova 3160g Pro OBD2 Scanner / Car Code Reader with Live data, ABS, SRS, Battery Reset, Service Light Reset, and Bluetooth</t>
        </is>
      </c>
      <c r="B30" s="90" t="inlineStr">
        <is>
          <t>B06XKX2KDJ</t>
        </is>
      </c>
      <c r="C30" s="94" t="inlineStr">
        <is>
          <t>3160g</t>
        </is>
      </c>
      <c r="D30" s="90" t="inlineStr">
        <is>
          <t>1P</t>
        </is>
      </c>
      <c r="E30" s="90" t="inlineStr">
        <is>
          <t>Handheld</t>
        </is>
      </c>
      <c r="F30" s="347" t="n">
        <v>254.6</v>
      </c>
      <c r="G30" s="348" t="n">
        <v>2692.292307692307</v>
      </c>
      <c r="H30" s="349" t="n">
        <v>254.6</v>
      </c>
      <c r="I30" s="98" t="n">
        <v>5</v>
      </c>
      <c r="J30" s="98" t="n">
        <v>1</v>
      </c>
      <c r="K30" s="98" t="n">
        <v>289</v>
      </c>
      <c r="L30" s="99" t="n">
        <v>4.3</v>
      </c>
      <c r="M30" s="99" t="inlineStr">
        <is>
          <t>https://amazon.com/dp/B06XKX2KDJ</t>
        </is>
      </c>
      <c r="N30" s="270">
        <f>HYPERLINK(M30)</f>
        <v/>
      </c>
    </row>
    <row r="31" ht="30" customHeight="1" s="314">
      <c r="A31" s="90" t="inlineStr">
        <is>
          <t>Innova 3410 Test Light/Circuit Tester</t>
        </is>
      </c>
      <c r="B31" s="90" t="inlineStr">
        <is>
          <t>B0014DINF6</t>
        </is>
      </c>
      <c r="C31" s="94" t="inlineStr">
        <is>
          <t>3410</t>
        </is>
      </c>
      <c r="D31" s="90" t="inlineStr">
        <is>
          <t>1P</t>
        </is>
      </c>
      <c r="E31" s="90" t="inlineStr">
        <is>
          <t>Other</t>
        </is>
      </c>
      <c r="F31" s="347" t="n">
        <v>11.47470588235294</v>
      </c>
      <c r="G31" s="348" t="n">
        <v>2355.845384615384</v>
      </c>
      <c r="H31" s="349" t="n">
        <v>195.07</v>
      </c>
      <c r="I31" s="98" t="n">
        <v>17</v>
      </c>
      <c r="J31" s="98" t="n">
        <v>17</v>
      </c>
      <c r="K31" s="98" t="n">
        <v>0</v>
      </c>
      <c r="L31" s="99" t="n">
        <v>0</v>
      </c>
      <c r="M31" s="99" t="inlineStr">
        <is>
          <t>https://www.amazon.com/dp/B0014DINF6</t>
        </is>
      </c>
      <c r="N31" s="270">
        <f>HYPERLINK(M31)</f>
        <v/>
      </c>
    </row>
    <row r="32" ht="30" customHeight="1" s="314">
      <c r="A32" s="90" t="inlineStr">
        <is>
          <t>Diagnostic Scan Tool Code Reader with ABS and Battery Backup for OBD2 Vehicles</t>
        </is>
      </c>
      <c r="B32" s="90" t="inlineStr">
        <is>
          <t>B000EVWDAK</t>
        </is>
      </c>
      <c r="C32" s="94" t="n"/>
      <c r="D32" s="90" t="inlineStr">
        <is>
          <t>1P</t>
        </is>
      </c>
      <c r="E32" s="90" t="inlineStr">
        <is>
          <t>Handheld</t>
        </is>
      </c>
      <c r="F32" s="347" t="n">
        <v>189.63</v>
      </c>
      <c r="G32" s="348" t="n">
        <v>562.05</v>
      </c>
      <c r="H32" s="349" t="n">
        <v>0</v>
      </c>
      <c r="I32" s="98" t="n">
        <v>3</v>
      </c>
      <c r="J32" s="98" t="n">
        <v>0</v>
      </c>
      <c r="K32" s="98" t="n">
        <v>1123</v>
      </c>
      <c r="L32" s="99" t="n">
        <v>4.5</v>
      </c>
      <c r="M32" s="99" t="inlineStr">
        <is>
          <t>https://amazon.com/dp/B000EVWDAK</t>
        </is>
      </c>
      <c r="N32" s="270">
        <f>HYPERLINK(M32)</f>
        <v/>
      </c>
    </row>
    <row r="33" ht="30" customFormat="1" customHeight="1" s="91">
      <c r="A33" s="90" t="inlineStr">
        <is>
          <t>Innova 5023 Pro CarScan Code Scanner - Professional OBD2 Scanner - Smog Test Scan Tool - Multilingual Code Reader</t>
        </is>
      </c>
      <c r="B33" s="90" t="inlineStr">
        <is>
          <t>B076N5V6SN</t>
        </is>
      </c>
      <c r="C33" s="94" t="inlineStr">
        <is>
          <t>5023</t>
        </is>
      </c>
      <c r="D33" s="90" t="inlineStr">
        <is>
          <t>1P</t>
        </is>
      </c>
      <c r="E33" s="90" t="inlineStr">
        <is>
          <t>Handheld</t>
        </is>
      </c>
      <c r="F33" s="347" t="n">
        <v>77.63</v>
      </c>
      <c r="G33" s="348" t="n">
        <v>-686.9515384615386</v>
      </c>
      <c r="H33" s="349" t="n">
        <v>-81.93000000000001</v>
      </c>
      <c r="I33" s="98" t="n">
        <v>-1</v>
      </c>
      <c r="J33" s="98" t="n">
        <v>-1</v>
      </c>
      <c r="K33" s="98" t="n">
        <v>48</v>
      </c>
      <c r="L33" s="99" t="n">
        <v>3.6</v>
      </c>
      <c r="M33" s="99" t="inlineStr">
        <is>
          <t>https://amazon.com/dp/B076N5V6SN</t>
        </is>
      </c>
      <c r="N33" s="270">
        <f>HYPERLINK(M33)</f>
        <v/>
      </c>
    </row>
    <row r="34" ht="17" customHeight="1" s="314">
      <c r="A34" s="91" t="inlineStr">
        <is>
          <t>Total</t>
        </is>
      </c>
      <c r="B34" s="91" t="n"/>
      <c r="C34" s="92" t="n"/>
      <c r="D34" s="91" t="n"/>
      <c r="E34" s="350" t="n"/>
      <c r="F34" s="350" t="n"/>
      <c r="G34" s="351">
        <f>SUM(G9:G33)</f>
        <v/>
      </c>
      <c r="H34" s="351">
        <f>SUM(H9:H33)</f>
        <v/>
      </c>
      <c r="I34" s="91" t="n"/>
      <c r="J34" s="91" t="n"/>
      <c r="K34" s="91" t="n"/>
      <c r="L34" s="93" t="n"/>
      <c r="M34" s="267" t="n"/>
      <c r="N34" s="91" t="n"/>
    </row>
    <row r="37">
      <c r="A37" s="307" t="inlineStr">
        <is>
          <t>Rank by Units</t>
        </is>
      </c>
    </row>
    <row r="38" ht="34" customHeight="1" s="314">
      <c r="A38" s="46" t="inlineStr">
        <is>
          <t>Product Name</t>
        </is>
      </c>
      <c r="B38" s="47" t="inlineStr">
        <is>
          <t>ASIN</t>
        </is>
      </c>
      <c r="C38" s="47" t="inlineStr">
        <is>
          <t>Item #</t>
        </is>
      </c>
      <c r="D38" s="47" t="inlineStr">
        <is>
          <t>1P/3P</t>
        </is>
      </c>
      <c r="E38" s="47" t="inlineStr">
        <is>
          <t>Type</t>
        </is>
      </c>
      <c r="F38" s="345" t="inlineStr">
        <is>
          <t>Avg Price</t>
        </is>
      </c>
      <c r="G38" s="49" t="inlineStr">
        <is>
          <t>Estimated 12mo Revenue</t>
        </is>
      </c>
      <c r="H38" s="50" t="inlineStr">
        <is>
          <t>Monthly Rev</t>
        </is>
      </c>
      <c r="I38" s="54" t="inlineStr">
        <is>
          <t>Estimated 12mo Units</t>
        </is>
      </c>
      <c r="J38" s="51" t="inlineStr">
        <is>
          <t>Monthly Unit Sales</t>
        </is>
      </c>
      <c r="K38" s="47" t="inlineStr">
        <is>
          <t># of Reviews</t>
        </is>
      </c>
      <c r="L38" s="52" t="inlineStr">
        <is>
          <t>Tool Rating</t>
        </is>
      </c>
      <c r="M38" s="52" t="inlineStr">
        <is>
          <t>Column1</t>
        </is>
      </c>
      <c r="N38" s="346" t="inlineStr">
        <is>
          <t>Link</t>
        </is>
      </c>
    </row>
    <row r="39" ht="30" customHeight="1" s="314">
      <c r="A39" s="90" t="inlineStr">
        <is>
          <t>Innova 3568 Digital Timing Light</t>
        </is>
      </c>
      <c r="B39" s="90" t="inlineStr">
        <is>
          <t>B000EVYGV4</t>
        </is>
      </c>
      <c r="C39" s="94" t="inlineStr">
        <is>
          <t>3568</t>
        </is>
      </c>
      <c r="D39" s="90" t="inlineStr">
        <is>
          <t>1P</t>
        </is>
      </c>
      <c r="E39" s="90" t="inlineStr">
        <is>
          <t>Other</t>
        </is>
      </c>
      <c r="F39" s="347" t="n">
        <v>79.89569668246446</v>
      </c>
      <c r="G39" s="348" t="n">
        <v>1017963.363076923</v>
      </c>
      <c r="H39" s="348" t="n">
        <v>84289.96000000001</v>
      </c>
      <c r="I39" s="98" t="n">
        <v>1055</v>
      </c>
      <c r="J39" s="102" t="n">
        <v>1055</v>
      </c>
      <c r="K39" s="98" t="n">
        <v>0</v>
      </c>
      <c r="L39" s="99" t="n">
        <v>0</v>
      </c>
      <c r="M39" s="99" t="inlineStr">
        <is>
          <t>https://www.amazon.com/dp/B000EVYGV4</t>
        </is>
      </c>
      <c r="N39" s="183">
        <f>HYPERLINK(M39)</f>
        <v/>
      </c>
    </row>
    <row r="40" ht="34" customHeight="1" s="314">
      <c r="A40" s="90" t="inlineStr">
        <is>
          <t>INNOVA 3145 Ford Digital OBD1 Code Reader</t>
        </is>
      </c>
      <c r="B40" s="90" t="inlineStr">
        <is>
          <t>B000EW0KHW</t>
        </is>
      </c>
      <c r="C40" s="94" t="inlineStr">
        <is>
          <t>3145</t>
        </is>
      </c>
      <c r="D40" s="90" t="inlineStr">
        <is>
          <t>1P</t>
        </is>
      </c>
      <c r="E40" s="90" t="inlineStr">
        <is>
          <t>Handheld</t>
        </is>
      </c>
      <c r="F40" s="347" t="n">
        <v>39.82766475644699</v>
      </c>
      <c r="G40" s="348" t="n">
        <v>335734.9592307693</v>
      </c>
      <c r="H40" s="348" t="n">
        <v>27799.71</v>
      </c>
      <c r="I40" s="98" t="n">
        <v>698</v>
      </c>
      <c r="J40" s="102" t="n">
        <v>698</v>
      </c>
      <c r="K40" s="98" t="n">
        <v>6858</v>
      </c>
      <c r="L40" s="99" t="n">
        <v>4.4</v>
      </c>
      <c r="M40" s="99" t="inlineStr">
        <is>
          <t>https://amazon.com/dp/B000EW0KHW</t>
        </is>
      </c>
      <c r="N40" s="183">
        <f>HYPERLINK(M40)</f>
        <v/>
      </c>
    </row>
    <row r="41" ht="30" customHeight="1" s="314">
      <c r="A41" s="90" t="inlineStr">
        <is>
          <t>INNOVA 3123 GM OBD1 Code Reader, Windows XP</t>
        </is>
      </c>
      <c r="B41" s="90" t="inlineStr">
        <is>
          <t>B000EVU8C0</t>
        </is>
      </c>
      <c r="C41" s="94" t="inlineStr">
        <is>
          <t>3123</t>
        </is>
      </c>
      <c r="D41" s="90" t="inlineStr">
        <is>
          <t>1P</t>
        </is>
      </c>
      <c r="E41" s="90" t="inlineStr">
        <is>
          <t>OBD1</t>
        </is>
      </c>
      <c r="F41" s="347" t="n">
        <v>14.99135559921415</v>
      </c>
      <c r="G41" s="348" t="n">
        <v>92154.16923076924</v>
      </c>
      <c r="H41" s="348" t="n">
        <v>7630.6</v>
      </c>
      <c r="I41" s="98" t="n">
        <v>509</v>
      </c>
      <c r="J41" s="102" t="n">
        <v>509</v>
      </c>
      <c r="K41" s="98" t="n">
        <v>6860</v>
      </c>
      <c r="L41" s="99" t="n">
        <v>4.4</v>
      </c>
      <c r="M41" s="99" t="inlineStr">
        <is>
          <t>https://amazon.com/dp/B000EVU8C0</t>
        </is>
      </c>
      <c r="N41" s="183">
        <f>HYPERLINK(M41)</f>
        <v/>
      </c>
    </row>
    <row r="42" ht="45" customHeight="1" s="314">
      <c r="A42" s="90" t="inlineStr">
        <is>
          <t>INNOVA 3320 Auto-Ranging Digital Multimeter, Red &amp; Black</t>
        </is>
      </c>
      <c r="B42" s="90" t="inlineStr">
        <is>
          <t>B000EVYGZA</t>
        </is>
      </c>
      <c r="C42" s="94" t="inlineStr">
        <is>
          <t>3320</t>
        </is>
      </c>
      <c r="D42" s="90" t="inlineStr">
        <is>
          <t>1P</t>
        </is>
      </c>
      <c r="E42" s="90" t="inlineStr">
        <is>
          <t>Other</t>
        </is>
      </c>
      <c r="F42" s="347" t="n">
        <v>35.65082758620689</v>
      </c>
      <c r="G42" s="348" t="n">
        <v>132466.4553846154</v>
      </c>
      <c r="H42" s="348" t="n">
        <v>10338.74</v>
      </c>
      <c r="I42" s="98" t="n">
        <v>308</v>
      </c>
      <c r="J42" s="102" t="n">
        <v>290</v>
      </c>
      <c r="K42" s="98" t="n">
        <v>0</v>
      </c>
      <c r="L42" s="99" t="n">
        <v>0</v>
      </c>
      <c r="M42" s="99" t="inlineStr">
        <is>
          <t>https://www.amazon.com/dp/B000EVYGZA</t>
        </is>
      </c>
      <c r="N42" s="183">
        <f>HYPERLINK(M42)</f>
        <v/>
      </c>
    </row>
    <row r="43" ht="34" customHeight="1" s="314">
      <c r="A43" s="90" t="inlineStr">
        <is>
          <t>Innova 3551 Inductive Timing Light</t>
        </is>
      </c>
      <c r="B43" s="90" t="inlineStr">
        <is>
          <t>B000EVYH72</t>
        </is>
      </c>
      <c r="C43" s="94" t="inlineStr">
        <is>
          <t>3551</t>
        </is>
      </c>
      <c r="D43" s="90" t="inlineStr">
        <is>
          <t>1P</t>
        </is>
      </c>
      <c r="E43" s="90" t="inlineStr">
        <is>
          <t>Other</t>
        </is>
      </c>
      <c r="F43" s="347" t="n">
        <v>38.83009661835749</v>
      </c>
      <c r="G43" s="348" t="n">
        <v>97072.25461538462</v>
      </c>
      <c r="H43" s="348" t="n">
        <v>8037.83</v>
      </c>
      <c r="I43" s="98" t="n">
        <v>207</v>
      </c>
      <c r="J43" s="102" t="n">
        <v>207</v>
      </c>
      <c r="K43" s="98" t="n">
        <v>0</v>
      </c>
      <c r="L43" s="99" t="n">
        <v>0</v>
      </c>
      <c r="M43" s="99" t="inlineStr">
        <is>
          <t>https://www.amazon.com/dp/B000EVYH72</t>
        </is>
      </c>
      <c r="N43" s="183">
        <f>HYPERLINK(M43)</f>
        <v/>
      </c>
    </row>
    <row r="44" ht="34" customHeight="1" s="314">
      <c r="A44" s="90" t="inlineStr">
        <is>
          <t>Innova 3555 Advance Timing Light</t>
        </is>
      </c>
      <c r="B44" s="90" t="inlineStr">
        <is>
          <t>B000EVYH7W</t>
        </is>
      </c>
      <c r="C44" s="94" t="inlineStr">
        <is>
          <t>3555</t>
        </is>
      </c>
      <c r="D44" s="90" t="inlineStr">
        <is>
          <t>1P</t>
        </is>
      </c>
      <c r="E44" s="90" t="inlineStr">
        <is>
          <t>Other</t>
        </is>
      </c>
      <c r="F44" s="347" t="n">
        <v>55.06609756097561</v>
      </c>
      <c r="G44" s="348" t="n">
        <v>136330.95</v>
      </c>
      <c r="H44" s="348" t="n">
        <v>11288.55</v>
      </c>
      <c r="I44" s="98" t="n">
        <v>205</v>
      </c>
      <c r="J44" s="102" t="n">
        <v>205</v>
      </c>
      <c r="K44" s="98" t="n">
        <v>0</v>
      </c>
      <c r="L44" s="99" t="n">
        <v>0</v>
      </c>
      <c r="M44" s="99" t="inlineStr">
        <is>
          <t>https://www.amazon.com/dp/B000EVYH7W</t>
        </is>
      </c>
      <c r="N44" s="183">
        <f>HYPERLINK(M44)</f>
        <v/>
      </c>
    </row>
    <row r="45" ht="34" customHeight="1" s="314">
      <c r="A45" s="90" t="inlineStr">
        <is>
          <t>Innova 3721 Battery and Charging System Monitor</t>
        </is>
      </c>
      <c r="B45" s="90" t="inlineStr">
        <is>
          <t>B000EVWDU0</t>
        </is>
      </c>
      <c r="C45" s="94" t="inlineStr">
        <is>
          <t>3721</t>
        </is>
      </c>
      <c r="D45" s="90" t="inlineStr">
        <is>
          <t>1P</t>
        </is>
      </c>
      <c r="E45" s="90" t="inlineStr">
        <is>
          <t>Other</t>
        </is>
      </c>
      <c r="F45" s="347" t="n">
        <v>23.34055555555556</v>
      </c>
      <c r="G45" s="348" t="n">
        <v>25369.38846153846</v>
      </c>
      <c r="H45" s="348" t="n">
        <v>2100.65</v>
      </c>
      <c r="I45" s="98" t="n">
        <v>90</v>
      </c>
      <c r="J45" s="102" t="n">
        <v>90</v>
      </c>
      <c r="K45" s="98" t="n">
        <v>0</v>
      </c>
      <c r="L45" s="99" t="n">
        <v>0</v>
      </c>
      <c r="M45" s="99" t="inlineStr">
        <is>
          <t>https://www.amazon.com/dp/B000EVWDU0</t>
        </is>
      </c>
      <c r="N45" s="183">
        <f>HYPERLINK(M45)</f>
        <v/>
      </c>
    </row>
    <row r="46" ht="34" customHeight="1" s="314">
      <c r="A46" s="90" t="inlineStr">
        <is>
          <t>Innova 3149 Extension Cable for Ford Code Reader (Item 3145)</t>
        </is>
      </c>
      <c r="B46" s="90" t="inlineStr">
        <is>
          <t>B000EVYH36</t>
        </is>
      </c>
      <c r="C46" s="94" t="inlineStr">
        <is>
          <t>3149</t>
        </is>
      </c>
      <c r="D46" s="90" t="inlineStr">
        <is>
          <t>1P</t>
        </is>
      </c>
      <c r="E46" s="90" t="inlineStr">
        <is>
          <t>Cable/Adapter</t>
        </is>
      </c>
      <c r="F46" s="347" t="n">
        <v>39.75924999999999</v>
      </c>
      <c r="G46" s="348" t="n">
        <v>38413.55230769231</v>
      </c>
      <c r="H46" s="348" t="n">
        <v>3180.74</v>
      </c>
      <c r="I46" s="98" t="n">
        <v>80</v>
      </c>
      <c r="J46" s="102" t="n">
        <v>80</v>
      </c>
      <c r="K46" s="98" t="n">
        <v>1355</v>
      </c>
      <c r="L46" s="99" t="n">
        <v>4.7</v>
      </c>
      <c r="M46" s="99" t="inlineStr">
        <is>
          <t>https://amazon.com/dp/B000EVYH36</t>
        </is>
      </c>
      <c r="N46" s="183">
        <f>HYPERLINK(M46)</f>
        <v/>
      </c>
    </row>
    <row r="47" ht="34" customHeight="1" s="314">
      <c r="A47" s="90" t="inlineStr">
        <is>
          <t>Innova 3595 Replacement Metal Inductive Pickup Lead Set</t>
        </is>
      </c>
      <c r="B47" s="90" t="inlineStr">
        <is>
          <t>B001QUB8KE</t>
        </is>
      </c>
      <c r="C47" s="94" t="inlineStr">
        <is>
          <t>3595</t>
        </is>
      </c>
      <c r="D47" s="90" t="inlineStr">
        <is>
          <t>1P</t>
        </is>
      </c>
      <c r="E47" s="90" t="inlineStr">
        <is>
          <t>Other</t>
        </is>
      </c>
      <c r="F47" s="347" t="n">
        <v>26.55512820512821</v>
      </c>
      <c r="G47" s="348" t="n">
        <v>25014.93076923077</v>
      </c>
      <c r="H47" s="348" t="n">
        <v>2071.3</v>
      </c>
      <c r="I47" s="98" t="n">
        <v>78</v>
      </c>
      <c r="J47" s="102" t="n">
        <v>78</v>
      </c>
      <c r="K47" s="98" t="n">
        <v>0</v>
      </c>
      <c r="L47" s="99" t="n">
        <v>0</v>
      </c>
      <c r="M47" s="99" t="inlineStr">
        <is>
          <t>https://www.amazon.com/dp/B001QUB8KE</t>
        </is>
      </c>
      <c r="N47" s="183">
        <f>HYPERLINK(M47)</f>
        <v/>
      </c>
    </row>
    <row r="48" ht="30" customHeight="1" s="314">
      <c r="A48" s="90" t="inlineStr">
        <is>
          <t>Innova 3340 Professional Automotive Digital Multimeter, Black</t>
        </is>
      </c>
      <c r="B48" s="90" t="inlineStr">
        <is>
          <t>B000KIMHRQ</t>
        </is>
      </c>
      <c r="C48" s="94" t="inlineStr">
        <is>
          <t>3340</t>
        </is>
      </c>
      <c r="D48" s="90" t="inlineStr">
        <is>
          <t>1P</t>
        </is>
      </c>
      <c r="E48" s="90" t="inlineStr">
        <is>
          <t>Other</t>
        </is>
      </c>
      <c r="F48" s="347" t="n">
        <v>90.27909090909091</v>
      </c>
      <c r="G48" s="348" t="n">
        <v>87575.32461538461</v>
      </c>
      <c r="H48" s="348" t="n">
        <v>6951.49</v>
      </c>
      <c r="I48" s="98" t="n">
        <v>80</v>
      </c>
      <c r="J48" s="102" t="n">
        <v>77</v>
      </c>
      <c r="K48" s="98" t="n">
        <v>0</v>
      </c>
      <c r="L48" s="99" t="n">
        <v>0</v>
      </c>
      <c r="M48" s="99" t="inlineStr">
        <is>
          <t>https://www.amazon.com/dp/B000KIMHRQ</t>
        </is>
      </c>
      <c r="N48" s="183">
        <f>HYPERLINK(M48)</f>
        <v/>
      </c>
    </row>
    <row r="49" ht="34" customHeight="1" s="314">
      <c r="A49" s="90" t="inlineStr">
        <is>
          <t>INNOVA 3040RS, OBD2 Scanner, Live Data Streamer, Battery/Alt Tester, Reset Check Engine Light/Brake Light/Oil Light, Free Mechanic Recommended Fix &amp; Parts &amp; Est Repair Cost, Free Updates</t>
        </is>
      </c>
      <c r="B49" s="90" t="inlineStr">
        <is>
          <t>B084SVS383</t>
        </is>
      </c>
      <c r="C49" s="94" t="inlineStr">
        <is>
          <t>3040RS</t>
        </is>
      </c>
      <c r="D49" s="90" t="inlineStr">
        <is>
          <t>1P</t>
        </is>
      </c>
      <c r="E49" s="90" t="inlineStr">
        <is>
          <t>Handheld</t>
        </is>
      </c>
      <c r="F49" s="347" t="n">
        <v>104.99</v>
      </c>
      <c r="G49" s="348" t="n">
        <v>117640.11</v>
      </c>
      <c r="H49" s="348" t="n">
        <v>6824.35</v>
      </c>
      <c r="I49" s="98" t="n">
        <v>1185</v>
      </c>
      <c r="J49" s="102" t="n">
        <v>65</v>
      </c>
      <c r="K49" s="98" t="n">
        <v>606</v>
      </c>
      <c r="L49" s="99" t="n">
        <v>4.4</v>
      </c>
      <c r="M49" s="99" t="inlineStr">
        <is>
          <t>https://amazon.com/dp/B084SVS383</t>
        </is>
      </c>
      <c r="N49" s="183">
        <f>HYPERLINK(M49)</f>
        <v/>
      </c>
    </row>
    <row r="50" ht="45" customHeight="1" s="314">
      <c r="A50" s="90" t="inlineStr">
        <is>
          <t>Innova 3612 Compression Tester - 4 Piece Kit</t>
        </is>
      </c>
      <c r="B50" s="90" t="inlineStr">
        <is>
          <t>B000EVU89I</t>
        </is>
      </c>
      <c r="C50" s="94" t="inlineStr">
        <is>
          <t>3612</t>
        </is>
      </c>
      <c r="D50" s="90" t="inlineStr">
        <is>
          <t>1P</t>
        </is>
      </c>
      <c r="E50" s="90" t="inlineStr">
        <is>
          <t>Other</t>
        </is>
      </c>
      <c r="F50" s="347" t="n">
        <v>32.96580645161291</v>
      </c>
      <c r="G50" s="348" t="n">
        <v>24683.78153846153</v>
      </c>
      <c r="H50" s="348" t="n">
        <v>2043.88</v>
      </c>
      <c r="I50" s="98" t="n">
        <v>62</v>
      </c>
      <c r="J50" s="102" t="n">
        <v>62</v>
      </c>
      <c r="K50" s="98" t="n">
        <v>0</v>
      </c>
      <c r="L50" s="99" t="n">
        <v>0</v>
      </c>
      <c r="M50" s="99" t="inlineStr">
        <is>
          <t>https://www.amazon.com/dp/B000EVU89I</t>
        </is>
      </c>
      <c r="N50" s="183">
        <f>HYPERLINK(M50)</f>
        <v/>
      </c>
    </row>
    <row r="51" ht="34" customHeight="1" s="314">
      <c r="A51" s="90" t="inlineStr">
        <is>
          <t>Innova 3129 OBD-1 Kit (Includes OBD1 Adapters &amp; Pouch) , Black</t>
        </is>
      </c>
      <c r="B51" s="90" t="inlineStr">
        <is>
          <t>B078BHTCK1</t>
        </is>
      </c>
      <c r="C51" s="94" t="inlineStr">
        <is>
          <t>3129</t>
        </is>
      </c>
      <c r="D51" s="90" t="inlineStr">
        <is>
          <t>1P</t>
        </is>
      </c>
      <c r="E51" s="90" t="inlineStr">
        <is>
          <t>Cable/Adapter</t>
        </is>
      </c>
      <c r="F51" s="347" t="n">
        <v>107.4973214285714</v>
      </c>
      <c r="G51" s="348" t="n">
        <v>107047.6723076923</v>
      </c>
      <c r="H51" s="348" t="n">
        <v>6019.85</v>
      </c>
      <c r="I51" s="98" t="n">
        <v>83</v>
      </c>
      <c r="J51" s="102" t="n">
        <v>56</v>
      </c>
      <c r="K51" s="98" t="n">
        <v>200</v>
      </c>
      <c r="L51" s="99" t="n">
        <v>4.3</v>
      </c>
      <c r="M51" s="99" t="inlineStr">
        <is>
          <t>https://amazon.com/dp/B078BHTCK1</t>
        </is>
      </c>
      <c r="N51" s="183">
        <f>HYPERLINK(M51)</f>
        <v/>
      </c>
    </row>
    <row r="52" ht="45" customHeight="1" s="314">
      <c r="A52" s="90" t="inlineStr">
        <is>
          <t>Innova 3614 Compression Tester Plus - 6 Piece Kit</t>
        </is>
      </c>
      <c r="B52" s="90" t="inlineStr">
        <is>
          <t>B000EVU8JS</t>
        </is>
      </c>
      <c r="C52" s="94" t="inlineStr">
        <is>
          <t>3614</t>
        </is>
      </c>
      <c r="D52" s="90" t="inlineStr">
        <is>
          <t>1P</t>
        </is>
      </c>
      <c r="E52" s="90" t="inlineStr">
        <is>
          <t>Other</t>
        </is>
      </c>
      <c r="F52" s="347" t="n">
        <v>36.51596153846154</v>
      </c>
      <c r="G52" s="348" t="n">
        <v>22932.02384615385</v>
      </c>
      <c r="H52" s="348" t="n">
        <v>1898.83</v>
      </c>
      <c r="I52" s="98" t="n">
        <v>52</v>
      </c>
      <c r="J52" s="102" t="n">
        <v>52</v>
      </c>
      <c r="K52" s="98" t="n">
        <v>0</v>
      </c>
      <c r="L52" s="99" t="n">
        <v>0</v>
      </c>
      <c r="M52" s="99" t="inlineStr">
        <is>
          <t>https://www.amazon.com/dp/B000EVU8JS</t>
        </is>
      </c>
      <c r="N52" s="183">
        <f>HYPERLINK(M52)</f>
        <v/>
      </c>
    </row>
    <row r="53" ht="30" customHeight="1" s="314">
      <c r="A53" s="90" t="inlineStr">
        <is>
          <t>INNOVA 3100RS, OBD2 Scanner, ABS SRS Airbag Scan Tool with Airbag Light &amp; Oil Light Reset, Stream Graph &amp; Record Live Data, Get Suggested Repair &amp; Parts on iPhone or Android</t>
        </is>
      </c>
      <c r="B53" s="90" t="inlineStr">
        <is>
          <t>B084SW4K8J</t>
        </is>
      </c>
      <c r="C53" s="94" t="inlineStr">
        <is>
          <t>3100RS</t>
        </is>
      </c>
      <c r="D53" s="90" t="inlineStr">
        <is>
          <t>1P</t>
        </is>
      </c>
      <c r="E53" s="90" t="inlineStr">
        <is>
          <t>Handheld</t>
        </is>
      </c>
      <c r="F53" s="347" t="n">
        <v>139.99</v>
      </c>
      <c r="G53" s="348" t="n">
        <v>88653.43999999999</v>
      </c>
      <c r="H53" s="348" t="n">
        <v>6859.51</v>
      </c>
      <c r="I53" s="98" t="n">
        <v>640</v>
      </c>
      <c r="J53" s="102" t="n">
        <v>49</v>
      </c>
      <c r="K53" s="98" t="n">
        <v>533</v>
      </c>
      <c r="L53" s="99" t="n">
        <v>4.4</v>
      </c>
      <c r="M53" s="99" t="inlineStr">
        <is>
          <t>https://amazon.com/dp/B084SW4K8J</t>
        </is>
      </c>
      <c r="N53" s="183">
        <f>HYPERLINK(M53)</f>
        <v/>
      </c>
    </row>
    <row r="54" ht="45" customHeight="1" s="314">
      <c r="A54" s="90" t="inlineStr">
        <is>
          <t>Innova 3640 Professional Fuel Injection Pressure Tester</t>
        </is>
      </c>
      <c r="B54" s="90" t="inlineStr">
        <is>
          <t>B000EVU8NY</t>
        </is>
      </c>
      <c r="C54" s="94" t="inlineStr">
        <is>
          <t>3640</t>
        </is>
      </c>
      <c r="D54" s="90" t="inlineStr">
        <is>
          <t>1P</t>
        </is>
      </c>
      <c r="E54" s="90" t="inlineStr">
        <is>
          <t>Other</t>
        </is>
      </c>
      <c r="F54" s="347" t="n">
        <v>28.26666666666667</v>
      </c>
      <c r="G54" s="348" t="n">
        <v>11265.35384615384</v>
      </c>
      <c r="H54" s="348" t="n">
        <v>932.8</v>
      </c>
      <c r="I54" s="98" t="n">
        <v>33</v>
      </c>
      <c r="J54" s="102" t="n">
        <v>33</v>
      </c>
      <c r="K54" s="98" t="n">
        <v>0</v>
      </c>
      <c r="L54" s="99" t="n">
        <v>0</v>
      </c>
      <c r="M54" s="99" t="inlineStr">
        <is>
          <t>https://www.amazon.com/dp/B000EVU8NY</t>
        </is>
      </c>
      <c r="N54" s="183">
        <f>HYPERLINK(M54)</f>
        <v/>
      </c>
    </row>
    <row r="55" ht="34" customHeight="1" s="314">
      <c r="A55" s="90" t="inlineStr">
        <is>
          <t>INNOVA 5160RS, OBD2 Bidirectional Scan Tool, OE-Level All System Diagnostics, Reset Oil Light/Battery/EPB/SAS/DPF, Mechanic Recommended Fixes &amp; Parts, TSBs, 1yr Warranty, Free Updates</t>
        </is>
      </c>
      <c r="B55" s="90" t="inlineStr">
        <is>
          <t>B071VYLP32</t>
        </is>
      </c>
      <c r="C55" s="94" t="inlineStr">
        <is>
          <t>5160RS</t>
        </is>
      </c>
      <c r="D55" s="90" t="inlineStr">
        <is>
          <t>1P</t>
        </is>
      </c>
      <c r="E55" s="90" t="inlineStr">
        <is>
          <t>Handheld</t>
        </is>
      </c>
      <c r="F55" s="347" t="n">
        <v>317.482962962963</v>
      </c>
      <c r="G55" s="348" t="n">
        <v>137375.98</v>
      </c>
      <c r="H55" s="348" t="n">
        <v>8572.040000000001</v>
      </c>
      <c r="I55" s="98" t="n">
        <v>434</v>
      </c>
      <c r="J55" s="102" t="n">
        <v>27</v>
      </c>
      <c r="K55" s="98" t="n">
        <v>300</v>
      </c>
      <c r="L55" s="99" t="n">
        <v>4.2</v>
      </c>
      <c r="M55" s="99" t="inlineStr">
        <is>
          <t>https://amazon.com/dp/B071VYLP32</t>
        </is>
      </c>
      <c r="N55" s="183">
        <f>HYPERLINK(M55)</f>
        <v/>
      </c>
    </row>
    <row r="56" ht="34" customHeight="1" s="314">
      <c r="A56" s="90" t="inlineStr">
        <is>
          <t>Innova 3620 Vacuum/Carburetor Fuel Pressure Tester</t>
        </is>
      </c>
      <c r="B56" s="90" t="inlineStr">
        <is>
          <t>B000EW0KPY</t>
        </is>
      </c>
      <c r="C56" s="94" t="inlineStr">
        <is>
          <t>3620</t>
        </is>
      </c>
      <c r="D56" s="90" t="inlineStr">
        <is>
          <t>1P</t>
        </is>
      </c>
      <c r="E56" s="90" t="inlineStr">
        <is>
          <t>Other</t>
        </is>
      </c>
      <c r="F56" s="347" t="n">
        <v>32.99</v>
      </c>
      <c r="G56" s="348" t="n">
        <v>7171.518461538461</v>
      </c>
      <c r="H56" s="348" t="n">
        <v>593.8200000000001</v>
      </c>
      <c r="I56" s="98" t="n">
        <v>18</v>
      </c>
      <c r="J56" s="102" t="n">
        <v>18</v>
      </c>
      <c r="K56" s="98" t="n">
        <v>0</v>
      </c>
      <c r="L56" s="99" t="n">
        <v>0</v>
      </c>
      <c r="M56" s="99" t="inlineStr">
        <is>
          <t>https://www.amazon.com/dp/B000EW0KPY</t>
        </is>
      </c>
      <c r="N56" s="183">
        <f>HYPERLINK(M56)</f>
        <v/>
      </c>
    </row>
    <row r="57" ht="34" customHeight="1" s="314">
      <c r="A57" s="90" t="inlineStr">
        <is>
          <t>Innova 3410 Test Light/Circuit Tester</t>
        </is>
      </c>
      <c r="B57" s="90" t="inlineStr">
        <is>
          <t>B0014DINF6</t>
        </is>
      </c>
      <c r="C57" s="94" t="inlineStr">
        <is>
          <t>3410</t>
        </is>
      </c>
      <c r="D57" s="90" t="inlineStr">
        <is>
          <t>1P</t>
        </is>
      </c>
      <c r="E57" s="90" t="inlineStr">
        <is>
          <t>Other</t>
        </is>
      </c>
      <c r="F57" s="347" t="n">
        <v>11.47470588235294</v>
      </c>
      <c r="G57" s="348" t="n">
        <v>2355.845384615384</v>
      </c>
      <c r="H57" s="348" t="n">
        <v>195.07</v>
      </c>
      <c r="I57" s="98" t="n">
        <v>17</v>
      </c>
      <c r="J57" s="102" t="n">
        <v>17</v>
      </c>
      <c r="K57" s="98" t="n">
        <v>0</v>
      </c>
      <c r="L57" s="99" t="n">
        <v>0</v>
      </c>
      <c r="M57" s="99" t="inlineStr">
        <is>
          <t>https://www.amazon.com/dp/B0014DINF6</t>
        </is>
      </c>
      <c r="N57" s="183">
        <f>HYPERLINK(M57)</f>
        <v/>
      </c>
    </row>
    <row r="58" ht="34" customHeight="1" s="314">
      <c r="A58" s="90" t="inlineStr">
        <is>
          <t>Innova 3347 Digital Multimeter AMP Probe Red</t>
        </is>
      </c>
      <c r="B58" s="90" t="inlineStr">
        <is>
          <t>B0015S9SWW</t>
        </is>
      </c>
      <c r="C58" s="94" t="inlineStr">
        <is>
          <t>3347</t>
        </is>
      </c>
      <c r="D58" s="90" t="inlineStr">
        <is>
          <t>1P</t>
        </is>
      </c>
      <c r="E58" s="90" t="inlineStr">
        <is>
          <t>Other</t>
        </is>
      </c>
      <c r="F58" s="347" t="n">
        <v>82.026</v>
      </c>
      <c r="G58" s="348" t="n">
        <v>9906.21692307692</v>
      </c>
      <c r="H58" s="348" t="n">
        <v>820.26</v>
      </c>
      <c r="I58" s="98" t="n">
        <v>10</v>
      </c>
      <c r="J58" s="102" t="n">
        <v>10</v>
      </c>
      <c r="K58" s="98" t="n">
        <v>0</v>
      </c>
      <c r="L58" s="99" t="n">
        <v>0</v>
      </c>
      <c r="M58" s="99" t="inlineStr">
        <is>
          <t>https://www.amazon.com/dp/B0015S9SWW</t>
        </is>
      </c>
      <c r="N58" s="183">
        <f>HYPERLINK(M58)</f>
        <v/>
      </c>
    </row>
    <row r="59" ht="34" customHeight="1" s="314">
      <c r="A59" s="90" t="inlineStr">
        <is>
          <t>Innova 5568 Pro Digital Timing Light Tool with Digital Advance, LED Display, Ignition Timing for 2 and 4 Cycle Engines, Automotive Diagnostic Tool for Cars and Trucks</t>
        </is>
      </c>
      <c r="B59" s="90" t="inlineStr">
        <is>
          <t>B000EVU8J8</t>
        </is>
      </c>
      <c r="C59" s="94" t="inlineStr">
        <is>
          <t>5568</t>
        </is>
      </c>
      <c r="D59" s="90" t="inlineStr">
        <is>
          <t>1P</t>
        </is>
      </c>
      <c r="E59" s="90" t="inlineStr">
        <is>
          <t>Other</t>
        </is>
      </c>
      <c r="F59" s="347" t="n">
        <v>131.6177777777778</v>
      </c>
      <c r="G59" s="348" t="n">
        <v>14305.84</v>
      </c>
      <c r="H59" s="348" t="n">
        <v>1184.56</v>
      </c>
      <c r="I59" s="98" t="n">
        <v>9</v>
      </c>
      <c r="J59" s="102" t="n">
        <v>9</v>
      </c>
      <c r="K59" s="98" t="n">
        <v>0</v>
      </c>
      <c r="L59" s="99" t="n">
        <v>0</v>
      </c>
      <c r="M59" s="99" t="inlineStr">
        <is>
          <t>https://www.amazon.com/dp/B000EVU8J8</t>
        </is>
      </c>
      <c r="N59" s="183">
        <f>HYPERLINK(M59)</f>
        <v/>
      </c>
    </row>
    <row r="60" ht="45" customHeight="1" s="314">
      <c r="A60" s="90" t="inlineStr">
        <is>
          <t>INNOVA 3160RS OBD2 Scanner, ABS Brake Bleeder, ABS SRS Engine Transmission Diagnoses, Airbag Light Reset, Car Battery Tester &amp; Alternator Tester, Battery Reset, Fix &amp; Parts Recommendations</t>
        </is>
      </c>
      <c r="B60" s="90" t="inlineStr">
        <is>
          <t>B084SVSFZY</t>
        </is>
      </c>
      <c r="C60" s="94" t="inlineStr">
        <is>
          <t>3160RS</t>
        </is>
      </c>
      <c r="D60" s="90" t="inlineStr">
        <is>
          <t>1P</t>
        </is>
      </c>
      <c r="E60" s="90" t="inlineStr">
        <is>
          <t>Handheld</t>
        </is>
      </c>
      <c r="F60" s="347" t="n">
        <v>262.295</v>
      </c>
      <c r="G60" s="348" t="n">
        <v>35742.58</v>
      </c>
      <c r="H60" s="348" t="n">
        <v>1573.77</v>
      </c>
      <c r="I60" s="98" t="n">
        <v>169</v>
      </c>
      <c r="J60" s="102" t="n">
        <v>6</v>
      </c>
      <c r="K60" s="98" t="n">
        <v>288</v>
      </c>
      <c r="L60" s="99" t="n">
        <v>4.1</v>
      </c>
      <c r="M60" s="99" t="inlineStr">
        <is>
          <t>https://amazon.com/dp/B084SVSFZY</t>
        </is>
      </c>
      <c r="N60" s="265">
        <f>HYPERLINK(M60)</f>
        <v/>
      </c>
    </row>
    <row r="61" ht="30" customHeight="1" s="314">
      <c r="A61" s="90" t="inlineStr">
        <is>
          <t>Innova 3160g Pro OBD2 Scanner / Car Code Reader with Live data, ABS, SRS, Battery Reset, Service Light Reset, and Bluetooth</t>
        </is>
      </c>
      <c r="B61" s="90" t="inlineStr">
        <is>
          <t>B06XKX2KDJ</t>
        </is>
      </c>
      <c r="C61" s="94" t="inlineStr">
        <is>
          <t>3160g</t>
        </is>
      </c>
      <c r="D61" s="90" t="inlineStr">
        <is>
          <t>1P</t>
        </is>
      </c>
      <c r="E61" s="90" t="inlineStr">
        <is>
          <t>Handheld</t>
        </is>
      </c>
      <c r="F61" s="347" t="n">
        <v>254.6</v>
      </c>
      <c r="G61" s="348" t="n">
        <v>2692.292307692307</v>
      </c>
      <c r="H61" s="348" t="n">
        <v>254.6</v>
      </c>
      <c r="I61" s="98" t="n">
        <v>5</v>
      </c>
      <c r="J61" s="102" t="n">
        <v>1</v>
      </c>
      <c r="K61" s="98" t="n">
        <v>289</v>
      </c>
      <c r="L61" s="99" t="n">
        <v>4.3</v>
      </c>
      <c r="M61" s="99" t="inlineStr">
        <is>
          <t>https://amazon.com/dp/B06XKX2KDJ</t>
        </is>
      </c>
      <c r="N61" s="265">
        <f>HYPERLINK(M61)</f>
        <v/>
      </c>
    </row>
    <row r="62" ht="34" customFormat="1" customHeight="1" s="91">
      <c r="A62" s="90" t="inlineStr">
        <is>
          <t>Diagnostic Scan Tool Code Reader with ABS and Battery Backup for OBD2 Vehicles</t>
        </is>
      </c>
      <c r="B62" s="90" t="inlineStr">
        <is>
          <t>B000EVWDAK</t>
        </is>
      </c>
      <c r="C62" s="94" t="n"/>
      <c r="D62" s="90" t="inlineStr">
        <is>
          <t>1P</t>
        </is>
      </c>
      <c r="E62" s="90" t="inlineStr">
        <is>
          <t>Handheld</t>
        </is>
      </c>
      <c r="F62" s="347" t="n">
        <v>189.63</v>
      </c>
      <c r="G62" s="348" t="n">
        <v>562.05</v>
      </c>
      <c r="H62" s="348" t="n">
        <v>0</v>
      </c>
      <c r="I62" s="98" t="n">
        <v>3</v>
      </c>
      <c r="J62" s="102" t="n">
        <v>0</v>
      </c>
      <c r="K62" s="98" t="n">
        <v>1123</v>
      </c>
      <c r="L62" s="99" t="n">
        <v>4.5</v>
      </c>
      <c r="M62" s="99" t="inlineStr">
        <is>
          <t>https://amazon.com/dp/B000EVWDAK</t>
        </is>
      </c>
      <c r="N62" s="265">
        <f>HYPERLINK(M62)</f>
        <v/>
      </c>
    </row>
    <row r="63" ht="30" customHeight="1" s="314">
      <c r="A63" s="90" t="inlineStr">
        <is>
          <t>Innova 5023 Pro CarScan Code Scanner - Professional OBD2 Scanner - Smog Test Scan Tool - Multilingual Code Reader</t>
        </is>
      </c>
      <c r="B63" s="90" t="inlineStr">
        <is>
          <t>B076N5V6SN</t>
        </is>
      </c>
      <c r="C63" s="94" t="inlineStr">
        <is>
          <t>5023</t>
        </is>
      </c>
      <c r="D63" s="90" t="inlineStr">
        <is>
          <t>1P</t>
        </is>
      </c>
      <c r="E63" s="90" t="inlineStr">
        <is>
          <t>Handheld</t>
        </is>
      </c>
      <c r="F63" s="347" t="n">
        <v>77.63</v>
      </c>
      <c r="G63" s="348" t="n">
        <v>-686.9515384615386</v>
      </c>
      <c r="H63" s="348" t="n">
        <v>-81.93000000000001</v>
      </c>
      <c r="I63" s="98" t="n">
        <v>-1</v>
      </c>
      <c r="J63" s="102" t="n">
        <v>-1</v>
      </c>
      <c r="K63" s="98" t="n">
        <v>48</v>
      </c>
      <c r="L63" s="99" t="n">
        <v>3.6</v>
      </c>
      <c r="M63" s="99" t="inlineStr">
        <is>
          <t>https://amazon.com/dp/B076N5V6SN</t>
        </is>
      </c>
      <c r="N63" s="265">
        <f>HYPERLINK(M63)</f>
        <v/>
      </c>
    </row>
    <row r="64" ht="17" customHeight="1" s="314">
      <c r="A64" s="91" t="inlineStr">
        <is>
          <t>Total</t>
        </is>
      </c>
      <c r="B64" s="91" t="n"/>
      <c r="C64" s="92" t="n"/>
      <c r="D64" s="91" t="n"/>
      <c r="E64" s="91" t="n"/>
      <c r="F64" s="91" t="n"/>
      <c r="G64" s="91" t="n"/>
      <c r="H64" s="91" t="n"/>
      <c r="I64" s="311">
        <f>SUM(I39:I63)</f>
        <v/>
      </c>
      <c r="J64" s="311">
        <f>SUM(J39:J63)</f>
        <v/>
      </c>
      <c r="K64" s="91" t="n"/>
      <c r="L64" s="93" t="n"/>
      <c r="M64" s="91" t="n"/>
      <c r="N64" s="91" t="n"/>
    </row>
  </sheetData>
  <mergeCells count="3">
    <mergeCell ref="A7:N7"/>
    <mergeCell ref="A37:N37"/>
    <mergeCell ref="A1:N5"/>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N56"/>
  <sheetViews>
    <sheetView workbookViewId="0">
      <selection activeCell="Q40" sqref="Q40"/>
    </sheetView>
  </sheetViews>
  <sheetFormatPr baseColWidth="10" defaultColWidth="11.1640625" defaultRowHeight="16"/>
  <cols>
    <col width="50.6640625" customWidth="1" style="89" min="1" max="1"/>
    <col width="12.6640625" customWidth="1" style="89" min="2" max="2"/>
    <col width="8.1640625" bestFit="1" customWidth="1" style="103" min="3" max="3"/>
    <col width="8" bestFit="1" customWidth="1" style="89" min="4" max="4"/>
    <col width="12.6640625" customWidth="1" style="89" min="5" max="5"/>
    <col width="10.83203125" bestFit="1" customWidth="1" style="89" min="6" max="6"/>
    <col width="17.1640625" bestFit="1" customWidth="1" style="89" min="7" max="7"/>
    <col width="17.6640625" bestFit="1" customWidth="1" style="89" min="8" max="8"/>
    <col width="17.1640625" bestFit="1" customWidth="1" style="89" min="9" max="9"/>
    <col width="14.5" bestFit="1" customWidth="1" style="89" min="10" max="10"/>
    <col width="13.5" bestFit="1" customWidth="1" style="104" min="11" max="11"/>
    <col width="12.6640625" bestFit="1" customWidth="1" style="89" min="12" max="12"/>
    <col hidden="1" width="28.33203125" customWidth="1" style="89" min="13" max="13"/>
    <col width="35.6640625" customWidth="1" style="89" min="14" max="14"/>
    <col width="11.1640625" customWidth="1" style="89" min="15" max="16384"/>
  </cols>
  <sheetData>
    <row r="1">
      <c r="A1" s="317" t="inlineStr">
        <is>
          <t>Innova 3P Monthly Summary</t>
        </is>
      </c>
    </row>
    <row r="2"/>
    <row r="3"/>
    <row r="4"/>
    <row r="5"/>
    <row r="6">
      <c r="A6" s="90" t="n"/>
      <c r="B6" s="91" t="n"/>
      <c r="C6" s="92" t="n"/>
      <c r="D6" s="91" t="n"/>
      <c r="E6" s="91" t="n"/>
      <c r="F6" s="90" t="n"/>
      <c r="G6" s="91" t="n"/>
      <c r="H6" s="91" t="n"/>
      <c r="I6" s="91" t="n"/>
      <c r="J6" s="91" t="n"/>
      <c r="K6" s="93" t="n"/>
      <c r="L6" s="91" t="n"/>
    </row>
    <row r="7">
      <c r="A7" s="307" t="inlineStr">
        <is>
          <t>Rank by Revenue</t>
        </is>
      </c>
    </row>
    <row r="8" ht="34" customHeight="1" s="314">
      <c r="A8" s="46" t="inlineStr">
        <is>
          <t>Product Name</t>
        </is>
      </c>
      <c r="B8" s="47" t="inlineStr">
        <is>
          <t>ASIN</t>
        </is>
      </c>
      <c r="C8" s="47" t="inlineStr">
        <is>
          <t>Item #</t>
        </is>
      </c>
      <c r="D8" s="47" t="inlineStr">
        <is>
          <t>1P/3P</t>
        </is>
      </c>
      <c r="E8" s="47" t="inlineStr">
        <is>
          <t>Type</t>
        </is>
      </c>
      <c r="F8" s="345" t="inlineStr">
        <is>
          <t>Avg Price</t>
        </is>
      </c>
      <c r="G8" s="49" t="inlineStr">
        <is>
          <t>Estimated 12mo Revenue</t>
        </is>
      </c>
      <c r="H8" s="50" t="inlineStr">
        <is>
          <t>Monthly Rev</t>
        </is>
      </c>
      <c r="I8" s="51" t="inlineStr">
        <is>
          <t>Estimated 12mo Units</t>
        </is>
      </c>
      <c r="J8" s="51" t="inlineStr">
        <is>
          <t>Monthly Unit Sales</t>
        </is>
      </c>
      <c r="K8" s="47" t="inlineStr">
        <is>
          <t># of Reviews</t>
        </is>
      </c>
      <c r="L8" s="52" t="inlineStr">
        <is>
          <t>Tool Rating</t>
        </is>
      </c>
      <c r="M8" s="52" t="inlineStr">
        <is>
          <t>Column1</t>
        </is>
      </c>
      <c r="N8" s="346" t="inlineStr">
        <is>
          <t>Link</t>
        </is>
      </c>
    </row>
    <row r="9" ht="45" customHeight="1" s="314">
      <c r="A9" s="90" t="inlineStr">
        <is>
          <t>Innova 5610 OBD2 Bidirectional Scan Tool - Understand Your Vehicle, Pinpoint What's Wrong, and Complete Your Repairs with Less Headache, Updates Included, US-Based Technical Support</t>
        </is>
      </c>
      <c r="B9" s="90" t="inlineStr">
        <is>
          <t>B07Z481NJM</t>
        </is>
      </c>
      <c r="C9" s="94" t="inlineStr">
        <is>
          <t>5610</t>
        </is>
      </c>
      <c r="D9" s="90" t="inlineStr">
        <is>
          <t>3P</t>
        </is>
      </c>
      <c r="E9" s="90" t="inlineStr">
        <is>
          <t>Handheld</t>
        </is>
      </c>
      <c r="F9" s="347" t="n">
        <v>292.6118611449452</v>
      </c>
      <c r="G9" s="348" t="n">
        <v>11645944.12</v>
      </c>
      <c r="H9" s="349" t="n">
        <v>1201171.69</v>
      </c>
      <c r="I9" s="98" t="n">
        <v>39046</v>
      </c>
      <c r="J9" s="98" t="n">
        <v>4105</v>
      </c>
      <c r="K9" s="98" t="n">
        <v>3435</v>
      </c>
      <c r="L9" s="99" t="n">
        <v>4.4</v>
      </c>
      <c r="M9" s="99" t="inlineStr">
        <is>
          <t>https://amazon.com/dp/B07Z481NJM</t>
        </is>
      </c>
      <c r="N9" s="183">
        <f>HYPERLINK(Table165[[#This Row],[Column1]])</f>
        <v/>
      </c>
    </row>
    <row r="10" ht="45" customHeight="1" s="314">
      <c r="A10" s="90" t="inlineStr">
        <is>
          <t>Innova 5210 OBD2 Scanner &amp; Engine Code Reader, Battery Tester, Live Data, Oil Reset, Car Diagnostic Tool for Most Vehicles, Bluetooth Compatible with America's Top Car Repair App</t>
        </is>
      </c>
      <c r="B10" s="90" t="inlineStr">
        <is>
          <t>B07Z46L5FG</t>
        </is>
      </c>
      <c r="C10" s="94" t="inlineStr">
        <is>
          <t>5210</t>
        </is>
      </c>
      <c r="D10" s="90" t="inlineStr">
        <is>
          <t>3P</t>
        </is>
      </c>
      <c r="E10" s="90" t="inlineStr">
        <is>
          <t>Handheld</t>
        </is>
      </c>
      <c r="F10" s="347" t="n">
        <v>87.48796262367168</v>
      </c>
      <c r="G10" s="348" t="n">
        <v>2540961.49</v>
      </c>
      <c r="H10" s="349" t="n">
        <v>238754.65</v>
      </c>
      <c r="I10" s="98" t="n">
        <v>28360</v>
      </c>
      <c r="J10" s="98" t="n">
        <v>2729</v>
      </c>
      <c r="K10" s="98" t="n">
        <v>3977</v>
      </c>
      <c r="L10" s="99" t="n">
        <v>4.5</v>
      </c>
      <c r="M10" s="99" t="inlineStr">
        <is>
          <t>https://amazon.com/dp/B07Z46L5FG</t>
        </is>
      </c>
      <c r="N10" s="183">
        <f>HYPERLINK(Table165[[#This Row],[Column1]])</f>
        <v/>
      </c>
    </row>
    <row r="11" ht="30" customHeight="1" s="314">
      <c r="A11" s="90" t="inlineStr">
        <is>
          <t>Innova 5410 All-System OBD2 Scanner Diagnostic Tool for Cars &amp; Trucks – Automotive Scan Tools for Engine, ABS, SRS &amp; Transmission, Bluetooth Compatible with America's Top Car Repair App</t>
        </is>
      </c>
      <c r="B11" s="90" t="inlineStr">
        <is>
          <t>B07ZL7CLYR</t>
        </is>
      </c>
      <c r="C11" s="94" t="inlineStr">
        <is>
          <t>5410</t>
        </is>
      </c>
      <c r="D11" s="90" t="inlineStr">
        <is>
          <t>3P</t>
        </is>
      </c>
      <c r="E11" s="90" t="inlineStr">
        <is>
          <t>Handheld</t>
        </is>
      </c>
      <c r="F11" s="347" t="n">
        <v>153.9972163120567</v>
      </c>
      <c r="G11" s="348" t="n">
        <v>1014363.7</v>
      </c>
      <c r="H11" s="349" t="n">
        <v>86854.42999999999</v>
      </c>
      <c r="I11" s="98" t="n">
        <v>6150</v>
      </c>
      <c r="J11" s="98" t="n">
        <v>564</v>
      </c>
      <c r="K11" s="98" t="n">
        <v>680</v>
      </c>
      <c r="L11" s="99" t="n">
        <v>4.4</v>
      </c>
      <c r="M11" s="99" t="inlineStr">
        <is>
          <t>https://amazon.com/dp/B07ZL7CLYR</t>
        </is>
      </c>
      <c r="N11" s="183">
        <f>HYPERLINK(Table165[[#This Row],[Column1]])</f>
        <v/>
      </c>
    </row>
    <row r="12" ht="45" customHeight="1" s="314">
      <c r="A12" s="90" t="inlineStr">
        <is>
          <t>Innova SD35 OBD2 Scanner – ABS, SRS, TPMS &amp; Check Engine Code Reader, Live Data, All System Diagnostics, Compatible with Most Vehicles</t>
        </is>
      </c>
      <c r="B12" s="90" t="inlineStr">
        <is>
          <t>B0F254MVB5</t>
        </is>
      </c>
      <c r="C12" s="94" t="inlineStr">
        <is>
          <t>SD35</t>
        </is>
      </c>
      <c r="D12" s="90" t="inlineStr">
        <is>
          <t>3P</t>
        </is>
      </c>
      <c r="E12" s="90" t="inlineStr">
        <is>
          <t>Tablet</t>
        </is>
      </c>
      <c r="F12" s="347" t="n">
        <v>142.2215175097276</v>
      </c>
      <c r="G12" s="348" t="n">
        <v>1070841.26</v>
      </c>
      <c r="H12" s="349" t="n">
        <v>36550.93</v>
      </c>
      <c r="I12" s="98" t="n">
        <v>7985</v>
      </c>
      <c r="J12" s="98" t="n">
        <v>257</v>
      </c>
      <c r="K12" s="98" t="n">
        <v>336</v>
      </c>
      <c r="L12" s="99" t="n">
        <v>4.5</v>
      </c>
      <c r="M12" s="99" t="inlineStr">
        <is>
          <t>https://amazon.com/dp/B0F254MVB5</t>
        </is>
      </c>
      <c r="N12" s="183">
        <f>HYPERLINK(Table165[[#This Row],[Column1]])</f>
        <v/>
      </c>
    </row>
    <row r="13" ht="45" customHeight="1" s="314">
      <c r="A13" s="90" t="inlineStr">
        <is>
          <t>Innova 3380 Automotive Borescope with Light, 2.7" Inspection Camera, 39" Extension, IP67 Waterproof Digital Scope</t>
        </is>
      </c>
      <c r="B13" s="90" t="inlineStr">
        <is>
          <t>B082JCSB4Z</t>
        </is>
      </c>
      <c r="C13" s="94" t="inlineStr">
        <is>
          <t>3380</t>
        </is>
      </c>
      <c r="D13" s="90" t="inlineStr">
        <is>
          <t>3P</t>
        </is>
      </c>
      <c r="E13" s="90" t="inlineStr">
        <is>
          <t>Other</t>
        </is>
      </c>
      <c r="F13" s="347" t="n">
        <v>82.5832541567696</v>
      </c>
      <c r="G13" s="348" t="n">
        <v>419885.0269230769</v>
      </c>
      <c r="H13" s="349" t="n">
        <v>34767.55</v>
      </c>
      <c r="I13" s="98" t="n">
        <v>421</v>
      </c>
      <c r="J13" s="98" t="n">
        <v>421</v>
      </c>
      <c r="K13" s="98" t="n">
        <v>0</v>
      </c>
      <c r="L13" s="99" t="n">
        <v>0</v>
      </c>
      <c r="M13" s="99" t="inlineStr">
        <is>
          <t>https://www.amazon.com/dp/B082JCSB4Z</t>
        </is>
      </c>
      <c r="N13" s="183">
        <f>HYPERLINK(Table165[[#This Row],[Column1]])</f>
        <v/>
      </c>
    </row>
    <row r="14" ht="45" customHeight="1" s="314">
      <c r="A14" s="90" t="inlineStr">
        <is>
          <t>INNOVA 5310 OBD2 Scanner – ABS &amp; SRS Code Reader, Check Engine Light Diagnostic Tool with Battery Test, Oil Reset, Live Data – Works with Most OBDII Vehicles 1996 &amp; Newer</t>
        </is>
      </c>
      <c r="B14" s="90" t="inlineStr">
        <is>
          <t>B07ZL746BR</t>
        </is>
      </c>
      <c r="C14" s="94" t="inlineStr">
        <is>
          <t>5310</t>
        </is>
      </c>
      <c r="D14" s="90" t="inlineStr">
        <is>
          <t>3P</t>
        </is>
      </c>
      <c r="E14" s="90" t="inlineStr">
        <is>
          <t>Handheld</t>
        </is>
      </c>
      <c r="F14" s="347" t="n">
        <v>127.4812053571429</v>
      </c>
      <c r="G14" s="348" t="n">
        <v>326612.54</v>
      </c>
      <c r="H14" s="349" t="n">
        <v>28555.79</v>
      </c>
      <c r="I14" s="98" t="n">
        <v>2661</v>
      </c>
      <c r="J14" s="98" t="n">
        <v>224</v>
      </c>
      <c r="K14" s="98" t="n">
        <v>830</v>
      </c>
      <c r="L14" s="99" t="n">
        <v>4.5</v>
      </c>
      <c r="M14" s="99" t="inlineStr">
        <is>
          <t>https://amazon.com/dp/B07ZL746BR</t>
        </is>
      </c>
      <c r="N14" s="183">
        <f>HYPERLINK(Table165[[#This Row],[Column1]])</f>
        <v/>
      </c>
    </row>
    <row r="15" ht="30" customHeight="1" s="314">
      <c r="A15" s="90" t="inlineStr">
        <is>
          <t>Innova 1000 Bluetooth OBD2 Scanner for iPhone &amp; Android - Predict Car Problems Before They Happen - No Subscriptions - Detect Check Engine, ABS, SRS Issues for Cars 1996+</t>
        </is>
      </c>
      <c r="B15" s="90" t="inlineStr">
        <is>
          <t>B0D32BNNQ9</t>
        </is>
      </c>
      <c r="C15" s="94" t="inlineStr">
        <is>
          <t>1000</t>
        </is>
      </c>
      <c r="D15" s="90" t="inlineStr">
        <is>
          <t>3P</t>
        </is>
      </c>
      <c r="E15" s="90" t="inlineStr">
        <is>
          <t>Dongle</t>
        </is>
      </c>
      <c r="F15" s="347" t="n">
        <v>89.44265232974911</v>
      </c>
      <c r="G15" s="348" t="n">
        <v>506840.65</v>
      </c>
      <c r="H15" s="349" t="n">
        <v>24954.5</v>
      </c>
      <c r="I15" s="98" t="n">
        <v>5510</v>
      </c>
      <c r="J15" s="98" t="n">
        <v>279</v>
      </c>
      <c r="K15" s="98" t="n">
        <v>407</v>
      </c>
      <c r="L15" s="99" t="n">
        <v>4.3</v>
      </c>
      <c r="M15" s="99" t="inlineStr">
        <is>
          <t>https://amazon.com/dp/B0D32BNNQ9</t>
        </is>
      </c>
      <c r="N15" s="183">
        <f>HYPERLINK(Table165[[#This Row],[Column1]])</f>
        <v/>
      </c>
    </row>
    <row r="16" ht="45" customHeight="1" s="314">
      <c r="A16" s="90" t="inlineStr">
        <is>
          <t>Innova SDS43 OBD2 Scanner Diagnostic Tool - Bidirectional Tablet Scanner for Engine, ABS, SRS, Transmission - Compatible with Most Vehicles</t>
        </is>
      </c>
      <c r="B16" s="90" t="inlineStr">
        <is>
          <t>B0F4M2MZYN</t>
        </is>
      </c>
      <c r="C16" s="94" t="inlineStr">
        <is>
          <t>SDS43</t>
        </is>
      </c>
      <c r="D16" s="90" t="inlineStr">
        <is>
          <t>3P</t>
        </is>
      </c>
      <c r="E16" s="90" t="inlineStr">
        <is>
          <t>Tablet</t>
        </is>
      </c>
      <c r="F16" s="347" t="n">
        <v>280.19875</v>
      </c>
      <c r="G16" s="348" t="n">
        <v>171634.31</v>
      </c>
      <c r="H16" s="349" t="n">
        <v>13449.54</v>
      </c>
      <c r="I16" s="98" t="n">
        <v>651</v>
      </c>
      <c r="J16" s="98" t="n">
        <v>48</v>
      </c>
      <c r="K16" s="98" t="n">
        <v>62</v>
      </c>
      <c r="L16" s="99" t="n">
        <v>4</v>
      </c>
      <c r="M16" s="99" t="inlineStr">
        <is>
          <t>https://amazon.com/dp/B0F4M2MZYN</t>
        </is>
      </c>
      <c r="N16" s="183">
        <f>HYPERLINK(Table165[[#This Row],[Column1]])</f>
        <v/>
      </c>
    </row>
    <row r="17" ht="17" customHeight="1" s="314">
      <c r="A17" s="90" t="inlineStr">
        <is>
          <t>INNOVA 5510 OBD2 Scanner, Scan Tool for ABS, All System Scanner, Caliper Service, Brake Pad Life, Read/Erase ABS/SRS Codes, Reset Oil Light, Live Data, Updates Included</t>
        </is>
      </c>
      <c r="B17" s="90" t="inlineStr">
        <is>
          <t>B07Z48NKF1</t>
        </is>
      </c>
      <c r="C17" s="94" t="inlineStr">
        <is>
          <t>5510</t>
        </is>
      </c>
      <c r="D17" s="90" t="inlineStr">
        <is>
          <t>3P</t>
        </is>
      </c>
      <c r="E17" s="90" t="inlineStr">
        <is>
          <t>Handheld</t>
        </is>
      </c>
      <c r="F17" s="347" t="n">
        <v>224.99</v>
      </c>
      <c r="G17" s="348" t="n">
        <v>79422.56</v>
      </c>
      <c r="H17" s="349" t="n">
        <v>9899.559999999999</v>
      </c>
      <c r="I17" s="98" t="n">
        <v>358</v>
      </c>
      <c r="J17" s="98" t="n">
        <v>44</v>
      </c>
      <c r="K17" s="98" t="n">
        <v>292</v>
      </c>
      <c r="L17" s="99" t="n">
        <v>4.1</v>
      </c>
      <c r="M17" s="99" t="inlineStr">
        <is>
          <t>https://amazon.com/dp/B07Z48NKF1</t>
        </is>
      </c>
      <c r="N17" s="183">
        <f>HYPERLINK(Table165[[#This Row],[Column1]])</f>
        <v/>
      </c>
    </row>
    <row r="18" ht="45" customHeight="1" s="314">
      <c r="A18" s="90" t="inlineStr">
        <is>
          <t>INNOVA 5110 Check Engine Code Reader - Super Simple Car Scanner for All Levels - Works on Most 1996 &amp; Newer OBDII Cars</t>
        </is>
      </c>
      <c r="B18" s="90" t="inlineStr">
        <is>
          <t>B07Z46KNLR</t>
        </is>
      </c>
      <c r="C18" s="94" t="inlineStr">
        <is>
          <t>5110</t>
        </is>
      </c>
      <c r="D18" s="90" t="inlineStr">
        <is>
          <t>3P</t>
        </is>
      </c>
      <c r="E18" s="90" t="inlineStr">
        <is>
          <t>Handheld</t>
        </is>
      </c>
      <c r="F18" s="347" t="n">
        <v>65.72888888888889</v>
      </c>
      <c r="G18" s="348" t="n">
        <v>76589.42999999999</v>
      </c>
      <c r="H18" s="349" t="n">
        <v>4140.92</v>
      </c>
      <c r="I18" s="98" t="n">
        <v>1160</v>
      </c>
      <c r="J18" s="98" t="n">
        <v>63</v>
      </c>
      <c r="K18" s="98" t="n">
        <v>1029</v>
      </c>
      <c r="L18" s="99" t="n">
        <v>4.3</v>
      </c>
      <c r="M18" s="99" t="inlineStr">
        <is>
          <t>https://amazon.com/dp/B07Z46KNLR</t>
        </is>
      </c>
      <c r="N18" s="183">
        <f>HYPERLINK(Table165[[#This Row],[Column1]])</f>
        <v/>
      </c>
    </row>
    <row r="19" ht="30" customHeight="1" s="314">
      <c r="A19" s="90" t="inlineStr">
        <is>
          <t>INNOVA 3170RS OBD1 &amp; OBD2 Scanner, ABS Bleeder Scan Tool, OBD2 Diagnostic, Caliper Service, Brake Pad Life, Read/Erase ABS/SRS Codes, Reset Oil Light, Live Data, Updates Included</t>
        </is>
      </c>
      <c r="B19" s="90" t="inlineStr">
        <is>
          <t>B08FZ46X2M</t>
        </is>
      </c>
      <c r="C19" s="94" t="inlineStr">
        <is>
          <t>3170RS</t>
        </is>
      </c>
      <c r="D19" s="90" t="inlineStr">
        <is>
          <t>3P</t>
        </is>
      </c>
      <c r="E19" s="90" t="inlineStr">
        <is>
          <t>Handheld</t>
        </is>
      </c>
      <c r="F19" s="347" t="n">
        <v>296.5284615384616</v>
      </c>
      <c r="G19" s="348" t="n">
        <v>67811.843334</v>
      </c>
      <c r="H19" s="349" t="n">
        <v>3854.87</v>
      </c>
      <c r="I19" s="98" t="n">
        <v>228</v>
      </c>
      <c r="J19" s="98" t="n">
        <v>13</v>
      </c>
      <c r="K19" s="98" t="n">
        <v>157</v>
      </c>
      <c r="L19" s="99" t="n">
        <v>3.9</v>
      </c>
      <c r="M19" s="99" t="inlineStr">
        <is>
          <t>https://amazon.com/dp/B08FZ46X2M</t>
        </is>
      </c>
      <c r="N19" s="183">
        <f>HYPERLINK(Table165[[#This Row],[Column1]])</f>
        <v/>
      </c>
    </row>
    <row r="20" ht="30" customHeight="1" s="314">
      <c r="A20" s="90" t="inlineStr">
        <is>
          <t>Innova 3994 Soft Pouch</t>
        </is>
      </c>
      <c r="B20" s="90" t="inlineStr">
        <is>
          <t>B0D4R8Y6SY</t>
        </is>
      </c>
      <c r="C20" s="94" t="inlineStr">
        <is>
          <t>3994</t>
        </is>
      </c>
      <c r="D20" s="90" t="inlineStr">
        <is>
          <t>3P</t>
        </is>
      </c>
      <c r="E20" s="90" t="inlineStr">
        <is>
          <t>Other</t>
        </is>
      </c>
      <c r="F20" s="347" t="n">
        <v>19.22457894736842</v>
      </c>
      <c r="G20" s="348" t="n">
        <v>44113.01461538461</v>
      </c>
      <c r="H20" s="349" t="n">
        <v>3652.67</v>
      </c>
      <c r="I20" s="98" t="n">
        <v>190</v>
      </c>
      <c r="J20" s="98" t="n">
        <v>190</v>
      </c>
      <c r="K20" s="98" t="n">
        <v>0</v>
      </c>
      <c r="L20" s="99" t="n">
        <v>0</v>
      </c>
      <c r="M20" s="99" t="inlineStr">
        <is>
          <t>https://www.amazon.com/dp/B0D4R8Y6SY</t>
        </is>
      </c>
      <c r="N20" s="183">
        <f>HYPERLINK(Table165[[#This Row],[Column1]])</f>
        <v/>
      </c>
    </row>
    <row r="21" ht="45" customHeight="1" s="314">
      <c r="A21" s="90" t="inlineStr">
        <is>
          <t>Innova 3128 HD Adapter Kit - Made for Heavy-Duty Trucks - Compatible with Innova 5610 - Includes 4 Heavy-Duty OBD Adapters with a Pouch Bag</t>
        </is>
      </c>
      <c r="B21" s="90" t="inlineStr">
        <is>
          <t>B0FD49XQTG</t>
        </is>
      </c>
      <c r="C21" s="94" t="inlineStr">
        <is>
          <t>3128</t>
        </is>
      </c>
      <c r="D21" s="90" t="inlineStr">
        <is>
          <t>3P</t>
        </is>
      </c>
      <c r="E21" s="90" t="inlineStr">
        <is>
          <t>Cable/Adapter</t>
        </is>
      </c>
      <c r="F21" s="347" t="n">
        <v>93.93181818181819</v>
      </c>
      <c r="G21" s="348" t="n">
        <v>26628.22846153846</v>
      </c>
      <c r="H21" s="349" t="n">
        <v>3099.75</v>
      </c>
      <c r="I21" s="98" t="n">
        <v>125</v>
      </c>
      <c r="J21" s="98" t="n">
        <v>33</v>
      </c>
      <c r="K21" s="98" t="n">
        <v>3</v>
      </c>
      <c r="L21" s="99" t="n">
        <v>5</v>
      </c>
      <c r="M21" s="99" t="inlineStr">
        <is>
          <t>https://amazon.com/dp/B0FD49XQTG</t>
        </is>
      </c>
      <c r="N21" s="183">
        <f>HYPERLINK(Table165[[#This Row],[Column1]])</f>
        <v/>
      </c>
    </row>
    <row r="22" ht="30" customHeight="1" s="314">
      <c r="A22" s="90" t="inlineStr">
        <is>
          <t>Innova 5420 Power Circuit Tester for Automotive | 45° Swivel Head | Fuse, Relay, Battery, and Circuit Diagnostics | Voltage Tester, Multimeter, Relay Tester, Short Circuit Finder, 12V/24V</t>
        </is>
      </c>
      <c r="B22" s="90" t="inlineStr">
        <is>
          <t>B09ZQ3ZQV2</t>
        </is>
      </c>
      <c r="C22" s="94" t="inlineStr">
        <is>
          <t>5420</t>
        </is>
      </c>
      <c r="D22" s="90" t="inlineStr">
        <is>
          <t>3P</t>
        </is>
      </c>
      <c r="E22" s="90" t="inlineStr">
        <is>
          <t>Other</t>
        </is>
      </c>
      <c r="F22" s="347" t="n">
        <v>90.3060606060606</v>
      </c>
      <c r="G22" s="348" t="n">
        <v>35990.43846153846</v>
      </c>
      <c r="H22" s="349" t="n">
        <v>2980.1</v>
      </c>
      <c r="I22" s="98" t="n">
        <v>33</v>
      </c>
      <c r="J22" s="98" t="n">
        <v>33</v>
      </c>
      <c r="K22" s="98" t="n">
        <v>0</v>
      </c>
      <c r="L22" s="99" t="n">
        <v>0</v>
      </c>
      <c r="M22" s="99" t="inlineStr">
        <is>
          <t>https://www.amazon.com/dp/B09ZQ3ZQV2</t>
        </is>
      </c>
      <c r="N22" s="183">
        <f>HYPERLINK(Table165[[#This Row],[Column1]])</f>
        <v/>
      </c>
    </row>
    <row r="23" ht="45" customHeight="1" s="314">
      <c r="A23" s="90" t="inlineStr">
        <is>
          <t>Innova 3129 OBD-1 Kit (Includes OBD1 Adapters &amp; Pouch) , Black</t>
        </is>
      </c>
      <c r="B23" s="90" t="inlineStr">
        <is>
          <t>B078BHTCK1</t>
        </is>
      </c>
      <c r="C23" s="94" t="inlineStr">
        <is>
          <t>3129</t>
        </is>
      </c>
      <c r="D23" s="90" t="inlineStr">
        <is>
          <t>3P</t>
        </is>
      </c>
      <c r="E23" s="90" t="inlineStr">
        <is>
          <t>Cable/Adapter</t>
        </is>
      </c>
      <c r="F23" s="347" t="n">
        <v>105.3322222222222</v>
      </c>
      <c r="G23" s="348" t="n">
        <v>107047.6723076923</v>
      </c>
      <c r="H23" s="349" t="n">
        <v>2843.97</v>
      </c>
      <c r="I23" s="98" t="n">
        <v>83</v>
      </c>
      <c r="J23" s="98" t="n">
        <v>27</v>
      </c>
      <c r="K23" s="98" t="n">
        <v>200</v>
      </c>
      <c r="L23" s="99" t="n">
        <v>4.3</v>
      </c>
      <c r="M23" s="99" t="inlineStr">
        <is>
          <t>https://amazon.com/dp/B078BHTCK1</t>
        </is>
      </c>
      <c r="N23" s="183">
        <f>HYPERLINK(Table165[[#This Row],[Column1]])</f>
        <v/>
      </c>
    </row>
    <row r="24" ht="45" customHeight="1" s="314">
      <c r="A24" s="90" t="inlineStr">
        <is>
          <t>Innova 5512 OBD2 Scanner, ABS Brake Bleeding, Transmission Temp, TPMS, OBD1 Adapters Included, Repair App</t>
        </is>
      </c>
      <c r="B24" s="90" t="inlineStr">
        <is>
          <t>B09WPW4WQ4</t>
        </is>
      </c>
      <c r="C24" s="94" t="inlineStr">
        <is>
          <t>5512</t>
        </is>
      </c>
      <c r="D24" s="90" t="inlineStr">
        <is>
          <t>3P</t>
        </is>
      </c>
      <c r="E24" s="90" t="inlineStr">
        <is>
          <t>Handheld</t>
        </is>
      </c>
      <c r="F24" s="347" t="n">
        <v>299.99</v>
      </c>
      <c r="G24" s="348" t="n">
        <v>21691.06307692307</v>
      </c>
      <c r="H24" s="349" t="n">
        <v>1799.94</v>
      </c>
      <c r="I24" s="98" t="n">
        <v>66</v>
      </c>
      <c r="J24" s="98" t="n">
        <v>6</v>
      </c>
      <c r="K24" s="98" t="n">
        <v>32</v>
      </c>
      <c r="L24" s="99" t="n">
        <v>3.8</v>
      </c>
      <c r="M24" s="99" t="inlineStr">
        <is>
          <t>https://amazon.com/dp/B09WPW4WQ4</t>
        </is>
      </c>
      <c r="N24" s="183">
        <f>HYPERLINK(Table165[[#This Row],[Column1]])</f>
        <v/>
      </c>
    </row>
    <row r="25" ht="45" customHeight="1" s="314">
      <c r="A25" s="90" t="inlineStr">
        <is>
          <t>INNOVA 3020RS Fast &amp; Easy-to-Use Check Engine Code Reader, OBD2 Scan tool for ABS Clear with Fix &amp; Part Recommendations, Maintenance Schedules, &amp; Free TSBs on iPhone &amp; Android</t>
        </is>
      </c>
      <c r="B25" s="90" t="inlineStr">
        <is>
          <t>B084SWJL4J</t>
        </is>
      </c>
      <c r="C25" s="94" t="inlineStr">
        <is>
          <t>3020RS</t>
        </is>
      </c>
      <c r="D25" s="90" t="inlineStr">
        <is>
          <t>3P</t>
        </is>
      </c>
      <c r="E25" s="90" t="inlineStr">
        <is>
          <t>Handheld</t>
        </is>
      </c>
      <c r="F25" s="347" t="n">
        <v>65.36333333333334</v>
      </c>
      <c r="G25" s="348" t="n">
        <v>78600.73999999999</v>
      </c>
      <c r="H25" s="349" t="n">
        <v>1372.63</v>
      </c>
      <c r="I25" s="98" t="n">
        <v>1191</v>
      </c>
      <c r="J25" s="98" t="n">
        <v>21</v>
      </c>
      <c r="K25" s="98" t="n">
        <v>2485</v>
      </c>
      <c r="L25" s="99" t="n">
        <v>4.3</v>
      </c>
      <c r="M25" s="99" t="inlineStr">
        <is>
          <t>https://amazon.com/dp/B084SWJL4J</t>
        </is>
      </c>
      <c r="N25" s="183">
        <f>HYPERLINK(Table165[[#This Row],[Column1]])</f>
        <v/>
      </c>
    </row>
    <row r="26" ht="34" customHeight="1" s="314">
      <c r="A26" s="90" t="inlineStr">
        <is>
          <t>Innova 3360 Thermal Camera - Infrared Camera with Heat Vision - Identify Hot/Cold Spots -4° ~ 1112°F - Easy to Use Thermal Imager</t>
        </is>
      </c>
      <c r="B26" s="90" t="inlineStr">
        <is>
          <t>B0FDLVW4G8</t>
        </is>
      </c>
      <c r="C26" s="94" t="inlineStr">
        <is>
          <t>3360</t>
        </is>
      </c>
      <c r="D26" s="90" t="inlineStr">
        <is>
          <t>3P</t>
        </is>
      </c>
      <c r="E26" s="90" t="inlineStr">
        <is>
          <t>Other</t>
        </is>
      </c>
      <c r="F26" s="347" t="n">
        <v>95.54666666666667</v>
      </c>
      <c r="G26" s="348" t="n">
        <v>10385.18769230769</v>
      </c>
      <c r="H26" s="349" t="n">
        <v>859.92</v>
      </c>
      <c r="I26" s="98" t="n">
        <v>9</v>
      </c>
      <c r="J26" s="98" t="n">
        <v>9</v>
      </c>
      <c r="K26" s="98" t="n">
        <v>0</v>
      </c>
      <c r="L26" s="99" t="n">
        <v>0</v>
      </c>
      <c r="M26" s="99" t="inlineStr">
        <is>
          <t>https://www.amazon.com/dp/B0FDLVW4G8</t>
        </is>
      </c>
      <c r="N26" s="183">
        <f>HYPERLINK(Table165[[#This Row],[Column1]])</f>
        <v/>
      </c>
    </row>
    <row r="27" ht="45" customHeight="1" s="314">
      <c r="A27" s="90" t="inlineStr">
        <is>
          <t>INNOVA 3320 Auto-Ranging Digital Multimeter, Red &amp; Black</t>
        </is>
      </c>
      <c r="B27" s="90" t="inlineStr">
        <is>
          <t>B000EVYGZA</t>
        </is>
      </c>
      <c r="C27" s="94" t="inlineStr">
        <is>
          <t>3320</t>
        </is>
      </c>
      <c r="D27" s="90" t="inlineStr">
        <is>
          <t>3P</t>
        </is>
      </c>
      <c r="E27" s="90" t="inlineStr">
        <is>
          <t>Other</t>
        </is>
      </c>
      <c r="F27" s="347" t="n">
        <v>34.99</v>
      </c>
      <c r="G27" s="348" t="n">
        <v>132466.4553846154</v>
      </c>
      <c r="H27" s="349" t="n">
        <v>629.8200000000001</v>
      </c>
      <c r="I27" s="98" t="n">
        <v>308</v>
      </c>
      <c r="J27" s="98" t="n">
        <v>18</v>
      </c>
      <c r="K27" s="98" t="n">
        <v>0</v>
      </c>
      <c r="L27" s="99" t="n">
        <v>0</v>
      </c>
      <c r="M27" s="99" t="inlineStr">
        <is>
          <t>https://www.amazon.com/dp/B000EVYGZA</t>
        </is>
      </c>
      <c r="N27" s="183">
        <f>HYPERLINK(Table165[[#This Row],[Column1]])</f>
        <v/>
      </c>
    </row>
    <row r="28" ht="30" customHeight="1" s="314">
      <c r="A28" s="90" t="inlineStr">
        <is>
          <t>Innova 3340 Professional Automotive Digital Multimeter, Black</t>
        </is>
      </c>
      <c r="B28" s="90" t="inlineStr">
        <is>
          <t>B000KIMHRQ</t>
        </is>
      </c>
      <c r="C28" s="94" t="inlineStr">
        <is>
          <t>3340</t>
        </is>
      </c>
      <c r="D28" s="90" t="inlineStr">
        <is>
          <t>3P</t>
        </is>
      </c>
      <c r="E28" s="90" t="inlineStr">
        <is>
          <t>Other</t>
        </is>
      </c>
      <c r="F28" s="347" t="n">
        <v>99.99000000000001</v>
      </c>
      <c r="G28" s="348" t="n">
        <v>87575.32461538461</v>
      </c>
      <c r="H28" s="349" t="n">
        <v>299.97</v>
      </c>
      <c r="I28" s="98" t="n">
        <v>80</v>
      </c>
      <c r="J28" s="98" t="n">
        <v>3</v>
      </c>
      <c r="K28" s="98" t="n">
        <v>0</v>
      </c>
      <c r="L28" s="99" t="n">
        <v>0</v>
      </c>
      <c r="M28" s="99" t="inlineStr">
        <is>
          <t>https://www.amazon.com/dp/B000KIMHRQ</t>
        </is>
      </c>
      <c r="N28" s="183">
        <f>HYPERLINK(Table165[[#This Row],[Column1]])</f>
        <v/>
      </c>
    </row>
    <row r="29" ht="45" customHeight="1" s="314">
      <c r="A29" s="90" t="inlineStr">
        <is>
          <t>INNOVA 3100RS, OBD2 Scanner, ABS SRS Airbag Scan Tool with Airbag Light &amp; Oil Light Reset, Stream Graph &amp; Record Live Data, Get Suggested Repair &amp; Parts on iPhone or Android</t>
        </is>
      </c>
      <c r="B29" s="90" t="inlineStr">
        <is>
          <t>B084SW4K8J</t>
        </is>
      </c>
      <c r="C29" s="94" t="inlineStr">
        <is>
          <t>3100RS</t>
        </is>
      </c>
      <c r="D29" s="90" t="inlineStr">
        <is>
          <t>3P</t>
        </is>
      </c>
      <c r="E29" s="90" t="inlineStr">
        <is>
          <t>Handheld</t>
        </is>
      </c>
      <c r="F29" s="347" t="n">
        <v>142.5</v>
      </c>
      <c r="G29" s="348" t="n">
        <v>88653.43999999999</v>
      </c>
      <c r="H29" s="349" t="n">
        <v>142.5</v>
      </c>
      <c r="I29" s="98" t="n">
        <v>640</v>
      </c>
      <c r="J29" s="98" t="n">
        <v>1</v>
      </c>
      <c r="K29" s="98" t="n">
        <v>533</v>
      </c>
      <c r="L29" s="99" t="n">
        <v>4.4</v>
      </c>
      <c r="M29" s="99" t="inlineStr">
        <is>
          <t>https://amazon.com/dp/B084SW4K8J</t>
        </is>
      </c>
      <c r="N29" s="183">
        <f>HYPERLINK(Table165[[#This Row],[Column1]])</f>
        <v/>
      </c>
    </row>
    <row r="30" ht="17" customHeight="1" s="314">
      <c r="A30" s="91" t="inlineStr">
        <is>
          <t>Total</t>
        </is>
      </c>
      <c r="E30" s="352" t="n"/>
      <c r="F30" s="352" t="n"/>
      <c r="G30" s="351">
        <f>SUM(G9:G29)</f>
        <v/>
      </c>
      <c r="H30" s="351">
        <f>SUM(H9:H29)</f>
        <v/>
      </c>
      <c r="K30" s="89" t="n"/>
      <c r="L30" s="104" t="n"/>
      <c r="M30" s="116" t="n"/>
    </row>
    <row r="31">
      <c r="A31" s="90" t="n"/>
      <c r="B31" s="90" t="n"/>
      <c r="C31" s="94" t="n"/>
      <c r="D31" s="90" t="n"/>
      <c r="E31" s="347" t="n"/>
      <c r="F31" s="348" t="n"/>
      <c r="G31" s="348" t="n"/>
      <c r="H31" s="90" t="n"/>
      <c r="I31" s="90" t="n"/>
      <c r="J31" s="90" t="n"/>
      <c r="K31" s="99" t="n"/>
      <c r="L31" s="100" t="n"/>
    </row>
    <row r="32">
      <c r="A32" s="90" t="n"/>
      <c r="B32" s="90" t="n"/>
      <c r="C32" s="94" t="n"/>
      <c r="D32" s="90" t="n"/>
      <c r="E32" s="347" t="n"/>
      <c r="F32" s="348" t="n"/>
      <c r="G32" s="348" t="n"/>
      <c r="H32" s="90" t="n"/>
      <c r="I32" s="90" t="n"/>
      <c r="J32" s="90" t="n"/>
      <c r="K32" s="99" t="n"/>
      <c r="L32" s="100" t="n"/>
    </row>
    <row r="33">
      <c r="A33" s="307" t="inlineStr">
        <is>
          <t>Rank by Units</t>
        </is>
      </c>
    </row>
    <row r="34" ht="34" customHeight="1" s="314">
      <c r="A34" s="46" t="inlineStr">
        <is>
          <t>Product Name</t>
        </is>
      </c>
      <c r="B34" s="47" t="inlineStr">
        <is>
          <t>ASIN</t>
        </is>
      </c>
      <c r="C34" s="47" t="inlineStr">
        <is>
          <t>Item #</t>
        </is>
      </c>
      <c r="D34" s="47" t="inlineStr">
        <is>
          <t>1P/3P</t>
        </is>
      </c>
      <c r="E34" s="47" t="inlineStr">
        <is>
          <t>Type</t>
        </is>
      </c>
      <c r="F34" s="345" t="inlineStr">
        <is>
          <t>Avg Price</t>
        </is>
      </c>
      <c r="G34" s="49" t="inlineStr">
        <is>
          <t>Estimated 12mo Revenue</t>
        </is>
      </c>
      <c r="H34" s="50" t="inlineStr">
        <is>
          <t>Monthly Rev</t>
        </is>
      </c>
      <c r="I34" s="54" t="inlineStr">
        <is>
          <t>Estimated 12mo Units</t>
        </is>
      </c>
      <c r="J34" s="51" t="inlineStr">
        <is>
          <t>Monthly Unit Sales</t>
        </is>
      </c>
      <c r="K34" s="47" t="inlineStr">
        <is>
          <t># of Reviews</t>
        </is>
      </c>
      <c r="L34" s="52" t="inlineStr">
        <is>
          <t>Tool Rating</t>
        </is>
      </c>
      <c r="M34" s="52" t="inlineStr">
        <is>
          <t>Column1</t>
        </is>
      </c>
      <c r="N34" s="346" t="inlineStr">
        <is>
          <t>Link</t>
        </is>
      </c>
    </row>
    <row r="35" ht="45" customHeight="1" s="314">
      <c r="A35" s="90" t="inlineStr">
        <is>
          <t>Innova 5610 OBD2 Bidirectional Scan Tool - Understand Your Vehicle, Pinpoint What's Wrong, and Complete Your Repairs with Less Headache, Updates Included, US-Based Technical Support</t>
        </is>
      </c>
      <c r="B35" s="90" t="inlineStr">
        <is>
          <t>B07Z481NJM</t>
        </is>
      </c>
      <c r="C35" s="94" t="inlineStr">
        <is>
          <t>5610</t>
        </is>
      </c>
      <c r="D35" s="90" t="inlineStr">
        <is>
          <t>3P</t>
        </is>
      </c>
      <c r="E35" s="90" t="inlineStr">
        <is>
          <t>Handheld</t>
        </is>
      </c>
      <c r="F35" s="347" t="n">
        <v>292.6118611449452</v>
      </c>
      <c r="G35" s="348" t="n">
        <v>11645944.12</v>
      </c>
      <c r="H35" s="348" t="n">
        <v>1201171.69</v>
      </c>
      <c r="I35" s="98" t="n">
        <v>39046</v>
      </c>
      <c r="J35" s="101" t="n">
        <v>4105</v>
      </c>
      <c r="K35" s="98" t="n">
        <v>3435</v>
      </c>
      <c r="L35" s="99" t="n">
        <v>4.4</v>
      </c>
      <c r="M35" s="99" t="inlineStr">
        <is>
          <t>https://amazon.com/dp/B07Z481NJM</t>
        </is>
      </c>
      <c r="N35" s="183">
        <f>HYPERLINK(Table266[[#This Row],[Column1]])</f>
        <v/>
      </c>
    </row>
    <row r="36" ht="45" customHeight="1" s="314">
      <c r="A36" s="90" t="inlineStr">
        <is>
          <t>Innova 5210 OBD2 Scanner &amp; Engine Code Reader, Battery Tester, Live Data, Oil Reset, Car Diagnostic Tool for Most Vehicles, Bluetooth Compatible with America's Top Car Repair App</t>
        </is>
      </c>
      <c r="B36" s="90" t="inlineStr">
        <is>
          <t>B07Z46L5FG</t>
        </is>
      </c>
      <c r="C36" s="94" t="inlineStr">
        <is>
          <t>5210</t>
        </is>
      </c>
      <c r="D36" s="90" t="inlineStr">
        <is>
          <t>3P</t>
        </is>
      </c>
      <c r="E36" s="90" t="inlineStr">
        <is>
          <t>Handheld</t>
        </is>
      </c>
      <c r="F36" s="347" t="n">
        <v>87.48796262367168</v>
      </c>
      <c r="G36" s="348" t="n">
        <v>2540961.49</v>
      </c>
      <c r="H36" s="348" t="n">
        <v>238754.65</v>
      </c>
      <c r="I36" s="98" t="n">
        <v>28360</v>
      </c>
      <c r="J36" s="102" t="n">
        <v>2729</v>
      </c>
      <c r="K36" s="98" t="n">
        <v>3977</v>
      </c>
      <c r="L36" s="99" t="n">
        <v>4.5</v>
      </c>
      <c r="M36" s="99" t="inlineStr">
        <is>
          <t>https://amazon.com/dp/B07Z46L5FG</t>
        </is>
      </c>
      <c r="N36" s="183">
        <f>HYPERLINK(Table266[[#This Row],[Column1]])</f>
        <v/>
      </c>
    </row>
    <row r="37" ht="30" customHeight="1" s="314">
      <c r="A37" s="90" t="inlineStr">
        <is>
          <t>Innova 5410 All-System OBD2 Scanner Diagnostic Tool for Cars &amp; Trucks – Automotive Scan Tools for Engine, ABS, SRS &amp; Transmission, Bluetooth Compatible with America's Top Car Repair App</t>
        </is>
      </c>
      <c r="B37" s="90" t="inlineStr">
        <is>
          <t>B07ZL7CLYR</t>
        </is>
      </c>
      <c r="C37" s="94" t="inlineStr">
        <is>
          <t>5410</t>
        </is>
      </c>
      <c r="D37" s="90" t="inlineStr">
        <is>
          <t>3P</t>
        </is>
      </c>
      <c r="E37" s="90" t="inlineStr">
        <is>
          <t>Handheld</t>
        </is>
      </c>
      <c r="F37" s="347" t="n">
        <v>153.9972163120567</v>
      </c>
      <c r="G37" s="348" t="n">
        <v>1014363.7</v>
      </c>
      <c r="H37" s="348" t="n">
        <v>86854.42999999999</v>
      </c>
      <c r="I37" s="98" t="n">
        <v>6150</v>
      </c>
      <c r="J37" s="101" t="n">
        <v>564</v>
      </c>
      <c r="K37" s="98" t="n">
        <v>680</v>
      </c>
      <c r="L37" s="99" t="n">
        <v>4.4</v>
      </c>
      <c r="M37" s="99" t="inlineStr">
        <is>
          <t>https://amazon.com/dp/B07ZL7CLYR</t>
        </is>
      </c>
      <c r="N37" s="183">
        <f>HYPERLINK(Table266[[#This Row],[Column1]])</f>
        <v/>
      </c>
    </row>
    <row r="38" ht="45" customHeight="1" s="314">
      <c r="A38" s="90" t="inlineStr">
        <is>
          <t>Innova 3380 Automotive Borescope with Light, 2.7" Inspection Camera, 39" Extension, IP67 Waterproof Digital Scope</t>
        </is>
      </c>
      <c r="B38" s="90" t="inlineStr">
        <is>
          <t>B082JCSB4Z</t>
        </is>
      </c>
      <c r="C38" s="94" t="inlineStr">
        <is>
          <t>3380</t>
        </is>
      </c>
      <c r="D38" s="90" t="inlineStr">
        <is>
          <t>3P</t>
        </is>
      </c>
      <c r="E38" s="90" t="inlineStr">
        <is>
          <t>Other</t>
        </is>
      </c>
      <c r="F38" s="347" t="n">
        <v>82.5832541567696</v>
      </c>
      <c r="G38" s="348" t="n">
        <v>419885.0269230769</v>
      </c>
      <c r="H38" s="348" t="n">
        <v>34767.55</v>
      </c>
      <c r="I38" s="98" t="n">
        <v>421</v>
      </c>
      <c r="J38" s="102" t="n">
        <v>421</v>
      </c>
      <c r="K38" s="98" t="n">
        <v>0</v>
      </c>
      <c r="L38" s="99" t="n">
        <v>0</v>
      </c>
      <c r="M38" s="99" t="inlineStr">
        <is>
          <t>https://www.amazon.com/dp/B082JCSB4Z</t>
        </is>
      </c>
      <c r="N38" s="183">
        <f>HYPERLINK(Table266[[#This Row],[Column1]])</f>
        <v/>
      </c>
    </row>
    <row r="39" ht="34" customHeight="1" s="314">
      <c r="A39" s="90" t="inlineStr">
        <is>
          <t>Innova 1000 Bluetooth OBD2 Scanner for iPhone &amp; Android - Predict Car Problems Before They Happen - No Subscriptions - Detect Check Engine, ABS, SRS Issues for Cars 1996+</t>
        </is>
      </c>
      <c r="B39" s="90" t="inlineStr">
        <is>
          <t>B0D32BNNQ9</t>
        </is>
      </c>
      <c r="C39" s="94" t="inlineStr">
        <is>
          <t>1000</t>
        </is>
      </c>
      <c r="D39" s="90" t="inlineStr">
        <is>
          <t>3P</t>
        </is>
      </c>
      <c r="E39" s="90" t="inlineStr">
        <is>
          <t>Dongle</t>
        </is>
      </c>
      <c r="F39" s="347" t="n">
        <v>89.44265232974911</v>
      </c>
      <c r="G39" s="348" t="n">
        <v>506840.65</v>
      </c>
      <c r="H39" s="348" t="n">
        <v>24954.5</v>
      </c>
      <c r="I39" s="98" t="n">
        <v>5510</v>
      </c>
      <c r="J39" s="102" t="n">
        <v>279</v>
      </c>
      <c r="K39" s="98" t="n">
        <v>407</v>
      </c>
      <c r="L39" s="99" t="n">
        <v>4.3</v>
      </c>
      <c r="M39" s="99" t="inlineStr">
        <is>
          <t>https://amazon.com/dp/B0D32BNNQ9</t>
        </is>
      </c>
      <c r="N39" s="183">
        <f>HYPERLINK(Table266[[#This Row],[Column1]])</f>
        <v/>
      </c>
    </row>
    <row r="40" ht="45" customHeight="1" s="314">
      <c r="A40" s="90" t="inlineStr">
        <is>
          <t>Innova SD35 OBD2 Scanner – ABS, SRS, TPMS &amp; Check Engine Code Reader, Live Data, All System Diagnostics, Compatible with Most Vehicles</t>
        </is>
      </c>
      <c r="B40" s="90" t="inlineStr">
        <is>
          <t>B0F254MVB5</t>
        </is>
      </c>
      <c r="C40" s="94" t="inlineStr">
        <is>
          <t>SD35</t>
        </is>
      </c>
      <c r="D40" s="90" t="inlineStr">
        <is>
          <t>3P</t>
        </is>
      </c>
      <c r="E40" s="90" t="inlineStr">
        <is>
          <t>Tablet</t>
        </is>
      </c>
      <c r="F40" s="347" t="n">
        <v>142.2215175097276</v>
      </c>
      <c r="G40" s="348" t="n">
        <v>1070841.26</v>
      </c>
      <c r="H40" s="348" t="n">
        <v>36550.93</v>
      </c>
      <c r="I40" s="98" t="n">
        <v>7985</v>
      </c>
      <c r="J40" s="102" t="n">
        <v>257</v>
      </c>
      <c r="K40" s="98" t="n">
        <v>336</v>
      </c>
      <c r="L40" s="99" t="n">
        <v>4.5</v>
      </c>
      <c r="M40" s="99" t="inlineStr">
        <is>
          <t>https://amazon.com/dp/B0F254MVB5</t>
        </is>
      </c>
      <c r="N40" s="183">
        <f>HYPERLINK(Table266[[#This Row],[Column1]])</f>
        <v/>
      </c>
    </row>
    <row r="41" ht="45" customHeight="1" s="314">
      <c r="A41" s="90" t="inlineStr">
        <is>
          <t>INNOVA 5310 OBD2 Scanner – ABS &amp; SRS Code Reader, Check Engine Light Diagnostic Tool with Battery Test, Oil Reset, Live Data – Works with Most OBDII Vehicles 1996 &amp; Newer</t>
        </is>
      </c>
      <c r="B41" s="90" t="inlineStr">
        <is>
          <t>B07ZL746BR</t>
        </is>
      </c>
      <c r="C41" s="94" t="inlineStr">
        <is>
          <t>5310</t>
        </is>
      </c>
      <c r="D41" s="90" t="inlineStr">
        <is>
          <t>3P</t>
        </is>
      </c>
      <c r="E41" s="90" t="inlineStr">
        <is>
          <t>Handheld</t>
        </is>
      </c>
      <c r="F41" s="347" t="n">
        <v>127.4812053571429</v>
      </c>
      <c r="G41" s="348" t="n">
        <v>326612.54</v>
      </c>
      <c r="H41" s="348" t="n">
        <v>28555.79</v>
      </c>
      <c r="I41" s="98" t="n">
        <v>2661</v>
      </c>
      <c r="J41" s="102" t="n">
        <v>224</v>
      </c>
      <c r="K41" s="98" t="n">
        <v>830</v>
      </c>
      <c r="L41" s="99" t="n">
        <v>4.5</v>
      </c>
      <c r="M41" s="99" t="inlineStr">
        <is>
          <t>https://amazon.com/dp/B07ZL746BR</t>
        </is>
      </c>
      <c r="N41" s="183">
        <f>HYPERLINK(Table266[[#This Row],[Column1]])</f>
        <v/>
      </c>
    </row>
    <row r="42" ht="34" customHeight="1" s="314">
      <c r="A42" s="90" t="inlineStr">
        <is>
          <t>Innova 3994 Soft Pouch</t>
        </is>
      </c>
      <c r="B42" s="90" t="inlineStr">
        <is>
          <t>B0D4R8Y6SY</t>
        </is>
      </c>
      <c r="C42" s="94" t="inlineStr">
        <is>
          <t>3994</t>
        </is>
      </c>
      <c r="D42" s="90" t="inlineStr">
        <is>
          <t>3P</t>
        </is>
      </c>
      <c r="E42" s="90" t="inlineStr">
        <is>
          <t>Other</t>
        </is>
      </c>
      <c r="F42" s="347" t="n">
        <v>19.22457894736842</v>
      </c>
      <c r="G42" s="348" t="n">
        <v>44113.01461538461</v>
      </c>
      <c r="H42" s="348" t="n">
        <v>3652.67</v>
      </c>
      <c r="I42" s="98" t="n">
        <v>190</v>
      </c>
      <c r="J42" s="102" t="n">
        <v>190</v>
      </c>
      <c r="K42" s="98" t="n">
        <v>0</v>
      </c>
      <c r="L42" s="99" t="n">
        <v>0</v>
      </c>
      <c r="M42" s="99" t="inlineStr">
        <is>
          <t>https://www.amazon.com/dp/B0D4R8Y6SY</t>
        </is>
      </c>
      <c r="N42" s="183">
        <f>HYPERLINK(Table266[[#This Row],[Column1]])</f>
        <v/>
      </c>
    </row>
    <row r="43" ht="30" customHeight="1" s="314">
      <c r="A43" s="90" t="inlineStr">
        <is>
          <t>INNOVA 5110 Check Engine Code Reader - Super Simple Car Scanner for All Levels - Works on Most 1996 &amp; Newer OBDII Cars</t>
        </is>
      </c>
      <c r="B43" s="90" t="inlineStr">
        <is>
          <t>B07Z46KNLR</t>
        </is>
      </c>
      <c r="C43" s="94" t="inlineStr">
        <is>
          <t>5110</t>
        </is>
      </c>
      <c r="D43" s="90" t="inlineStr">
        <is>
          <t>3P</t>
        </is>
      </c>
      <c r="E43" s="90" t="inlineStr">
        <is>
          <t>Handheld</t>
        </is>
      </c>
      <c r="F43" s="347" t="n">
        <v>65.72888888888889</v>
      </c>
      <c r="G43" s="348" t="n">
        <v>76589.42999999999</v>
      </c>
      <c r="H43" s="348" t="n">
        <v>4140.92</v>
      </c>
      <c r="I43" s="98" t="n">
        <v>1160</v>
      </c>
      <c r="J43" s="102" t="n">
        <v>63</v>
      </c>
      <c r="K43" s="98" t="n">
        <v>1029</v>
      </c>
      <c r="L43" s="99" t="n">
        <v>4.3</v>
      </c>
      <c r="M43" s="99" t="inlineStr">
        <is>
          <t>https://amazon.com/dp/B07Z46KNLR</t>
        </is>
      </c>
      <c r="N43" s="183">
        <f>HYPERLINK(Table266[[#This Row],[Column1]])</f>
        <v/>
      </c>
    </row>
    <row r="44" ht="17" customHeight="1" s="314">
      <c r="A44" s="90" t="inlineStr">
        <is>
          <t>Innova SDS43 OBD2 Scanner Diagnostic Tool - Bidirectional Tablet Scanner for Engine, ABS, SRS, Transmission - Compatible with Most Vehicles</t>
        </is>
      </c>
      <c r="B44" s="90" t="inlineStr">
        <is>
          <t>B0F4M2MZYN</t>
        </is>
      </c>
      <c r="C44" s="94" t="inlineStr">
        <is>
          <t>SDS43</t>
        </is>
      </c>
      <c r="D44" s="90" t="inlineStr">
        <is>
          <t>3P</t>
        </is>
      </c>
      <c r="E44" s="90" t="inlineStr">
        <is>
          <t>Tablet</t>
        </is>
      </c>
      <c r="F44" s="347" t="n">
        <v>280.19875</v>
      </c>
      <c r="G44" s="348" t="n">
        <v>171634.31</v>
      </c>
      <c r="H44" s="348" t="n">
        <v>13449.54</v>
      </c>
      <c r="I44" s="98" t="n">
        <v>651</v>
      </c>
      <c r="J44" s="102" t="n">
        <v>48</v>
      </c>
      <c r="K44" s="98" t="n">
        <v>62</v>
      </c>
      <c r="L44" s="99" t="n">
        <v>4</v>
      </c>
      <c r="M44" s="99" t="inlineStr">
        <is>
          <t>https://amazon.com/dp/B0F4M2MZYN</t>
        </is>
      </c>
      <c r="N44" s="183">
        <f>HYPERLINK(Table266[[#This Row],[Column1]])</f>
        <v/>
      </c>
    </row>
    <row r="45" ht="45" customHeight="1" s="314">
      <c r="A45" s="90" t="inlineStr">
        <is>
          <t>INNOVA 5510 OBD2 Scanner, Scan Tool for ABS, All System Scanner, Caliper Service, Brake Pad Life, Read/Erase ABS/SRS Codes, Reset Oil Light, Live Data, Updates Included</t>
        </is>
      </c>
      <c r="B45" s="90" t="inlineStr">
        <is>
          <t>B07Z48NKF1</t>
        </is>
      </c>
      <c r="C45" s="94" t="inlineStr">
        <is>
          <t>5510</t>
        </is>
      </c>
      <c r="D45" s="90" t="inlineStr">
        <is>
          <t>3P</t>
        </is>
      </c>
      <c r="E45" s="90" t="inlineStr">
        <is>
          <t>Handheld</t>
        </is>
      </c>
      <c r="F45" s="347" t="n">
        <v>224.99</v>
      </c>
      <c r="G45" s="348" t="n">
        <v>79422.56</v>
      </c>
      <c r="H45" s="348" t="n">
        <v>9899.559999999999</v>
      </c>
      <c r="I45" s="98" t="n">
        <v>358</v>
      </c>
      <c r="J45" s="102" t="n">
        <v>44</v>
      </c>
      <c r="K45" s="98" t="n">
        <v>292</v>
      </c>
      <c r="L45" s="99" t="n">
        <v>4.1</v>
      </c>
      <c r="M45" s="99" t="inlineStr">
        <is>
          <t>https://amazon.com/dp/B07Z48NKF1</t>
        </is>
      </c>
      <c r="N45" s="183">
        <f>HYPERLINK(Table266[[#This Row],[Column1]])</f>
        <v/>
      </c>
    </row>
    <row r="46" ht="45" customHeight="1" s="314">
      <c r="A46" s="90" t="inlineStr">
        <is>
          <t>Innova 3128 HD Adapter Kit - Made for Heavy-Duty Trucks - Compatible with Innova 5610 - Includes 4 Heavy-Duty OBD Adapters with a Pouch Bag</t>
        </is>
      </c>
      <c r="B46" s="90" t="inlineStr">
        <is>
          <t>B0FD49XQTG</t>
        </is>
      </c>
      <c r="C46" s="94" t="inlineStr">
        <is>
          <t>3128</t>
        </is>
      </c>
      <c r="D46" s="90" t="inlineStr">
        <is>
          <t>3P</t>
        </is>
      </c>
      <c r="E46" s="90" t="inlineStr">
        <is>
          <t>Cable/Adapter</t>
        </is>
      </c>
      <c r="F46" s="347" t="n">
        <v>93.93181818181819</v>
      </c>
      <c r="G46" s="348" t="n">
        <v>26628.22846153846</v>
      </c>
      <c r="H46" s="348" t="n">
        <v>3099.75</v>
      </c>
      <c r="I46" s="98" t="n">
        <v>125</v>
      </c>
      <c r="J46" s="102" t="n">
        <v>33</v>
      </c>
      <c r="K46" s="98" t="n">
        <v>3</v>
      </c>
      <c r="L46" s="99" t="n">
        <v>5</v>
      </c>
      <c r="M46" s="99" t="inlineStr">
        <is>
          <t>https://amazon.com/dp/B0FD49XQTG</t>
        </is>
      </c>
      <c r="N46" s="183">
        <f>HYPERLINK(Table266[[#This Row],[Column1]])</f>
        <v/>
      </c>
    </row>
    <row r="47" ht="45" customHeight="1" s="314">
      <c r="A47" s="90" t="inlineStr">
        <is>
          <t>Innova 5420 Power Circuit Tester for Automotive | 45° Swivel Head | Fuse, Relay, Battery, and Circuit Diagnostics | Voltage Tester, Multimeter, Relay Tester, Short Circuit Finder, 12V/24V</t>
        </is>
      </c>
      <c r="B47" s="90" t="inlineStr">
        <is>
          <t>B09ZQ3ZQV2</t>
        </is>
      </c>
      <c r="C47" s="94" t="inlineStr">
        <is>
          <t>5420</t>
        </is>
      </c>
      <c r="D47" s="90" t="inlineStr">
        <is>
          <t>3P</t>
        </is>
      </c>
      <c r="E47" s="90" t="inlineStr">
        <is>
          <t>Other</t>
        </is>
      </c>
      <c r="F47" s="347" t="n">
        <v>90.3060606060606</v>
      </c>
      <c r="G47" s="348" t="n">
        <v>35990.43846153846</v>
      </c>
      <c r="H47" s="348" t="n">
        <v>2980.1</v>
      </c>
      <c r="I47" s="98" t="n">
        <v>33</v>
      </c>
      <c r="J47" s="102" t="n">
        <v>33</v>
      </c>
      <c r="K47" s="98" t="n">
        <v>0</v>
      </c>
      <c r="L47" s="99" t="n">
        <v>0</v>
      </c>
      <c r="M47" s="99" t="inlineStr">
        <is>
          <t>https://www.amazon.com/dp/B09ZQ3ZQV2</t>
        </is>
      </c>
      <c r="N47" s="183">
        <f>HYPERLINK(Table266[[#This Row],[Column1]])</f>
        <v/>
      </c>
    </row>
    <row r="48" ht="45" customHeight="1" s="314">
      <c r="A48" s="90" t="inlineStr">
        <is>
          <t>Innova 3129 OBD-1 Kit (Includes OBD1 Adapters &amp; Pouch) , Black</t>
        </is>
      </c>
      <c r="B48" s="90" t="inlineStr">
        <is>
          <t>B078BHTCK1</t>
        </is>
      </c>
      <c r="C48" s="94" t="inlineStr">
        <is>
          <t>3129</t>
        </is>
      </c>
      <c r="D48" s="90" t="inlineStr">
        <is>
          <t>3P</t>
        </is>
      </c>
      <c r="E48" s="90" t="inlineStr">
        <is>
          <t>Cable/Adapter</t>
        </is>
      </c>
      <c r="F48" s="347" t="n">
        <v>105.3322222222222</v>
      </c>
      <c r="G48" s="348" t="n">
        <v>107047.6723076923</v>
      </c>
      <c r="H48" s="348" t="n">
        <v>2843.97</v>
      </c>
      <c r="I48" s="98" t="n">
        <v>83</v>
      </c>
      <c r="J48" s="102" t="n">
        <v>27</v>
      </c>
      <c r="K48" s="98" t="n">
        <v>200</v>
      </c>
      <c r="L48" s="99" t="n">
        <v>4.3</v>
      </c>
      <c r="M48" s="99" t="inlineStr">
        <is>
          <t>https://amazon.com/dp/B078BHTCK1</t>
        </is>
      </c>
      <c r="N48" s="183">
        <f>HYPERLINK(Table266[[#This Row],[Column1]])</f>
        <v/>
      </c>
    </row>
    <row r="49" ht="30" customHeight="1" s="314">
      <c r="A49" s="90" t="inlineStr">
        <is>
          <t>INNOVA 3020RS Fast &amp; Easy-to-Use Check Engine Code Reader, OBD2 Scan tool for ABS Clear with Fix &amp; Part Recommendations, Maintenance Schedules, &amp; Free TSBs on iPhone &amp; Android</t>
        </is>
      </c>
      <c r="B49" s="90" t="inlineStr">
        <is>
          <t>B084SWJL4J</t>
        </is>
      </c>
      <c r="C49" s="94" t="inlineStr">
        <is>
          <t>3020RS</t>
        </is>
      </c>
      <c r="D49" s="90" t="inlineStr">
        <is>
          <t>3P</t>
        </is>
      </c>
      <c r="E49" s="90" t="inlineStr">
        <is>
          <t>Handheld</t>
        </is>
      </c>
      <c r="F49" s="347" t="n">
        <v>65.36333333333334</v>
      </c>
      <c r="G49" s="348" t="n">
        <v>78600.73999999999</v>
      </c>
      <c r="H49" s="348" t="n">
        <v>1372.63</v>
      </c>
      <c r="I49" s="98" t="n">
        <v>1191</v>
      </c>
      <c r="J49" s="102" t="n">
        <v>21</v>
      </c>
      <c r="K49" s="98" t="n">
        <v>2485</v>
      </c>
      <c r="L49" s="99" t="n">
        <v>4.3</v>
      </c>
      <c r="M49" s="99" t="inlineStr">
        <is>
          <t>https://amazon.com/dp/B084SWJL4J</t>
        </is>
      </c>
      <c r="N49" s="183">
        <f>HYPERLINK(Table266[[#This Row],[Column1]])</f>
        <v/>
      </c>
    </row>
    <row r="50" ht="45" customHeight="1" s="314">
      <c r="A50" s="90" t="inlineStr">
        <is>
          <t>INNOVA 3320 Auto-Ranging Digital Multimeter, Red &amp; Black</t>
        </is>
      </c>
      <c r="B50" s="90" t="inlineStr">
        <is>
          <t>B000EVYGZA</t>
        </is>
      </c>
      <c r="C50" s="94" t="inlineStr">
        <is>
          <t>3320</t>
        </is>
      </c>
      <c r="D50" s="90" t="inlineStr">
        <is>
          <t>3P</t>
        </is>
      </c>
      <c r="E50" s="90" t="inlineStr">
        <is>
          <t>Other</t>
        </is>
      </c>
      <c r="F50" s="347" t="n">
        <v>34.99</v>
      </c>
      <c r="G50" s="348" t="n">
        <v>132466.4553846154</v>
      </c>
      <c r="H50" s="348" t="n">
        <v>629.8200000000001</v>
      </c>
      <c r="I50" s="98" t="n">
        <v>308</v>
      </c>
      <c r="J50" s="102" t="n">
        <v>18</v>
      </c>
      <c r="K50" s="98" t="n">
        <v>0</v>
      </c>
      <c r="L50" s="99" t="n">
        <v>0</v>
      </c>
      <c r="M50" s="99" t="inlineStr">
        <is>
          <t>https://www.amazon.com/dp/B000EVYGZA</t>
        </is>
      </c>
      <c r="N50" s="183">
        <f>HYPERLINK(Table266[[#This Row],[Column1]])</f>
        <v/>
      </c>
    </row>
    <row r="51" ht="45" customHeight="1" s="314">
      <c r="A51" s="90" t="inlineStr">
        <is>
          <t>INNOVA 3170RS OBD1 &amp; OBD2 Scanner, ABS Bleeder Scan Tool, OBD2 Diagnostic, Caliper Service, Brake Pad Life, Read/Erase ABS/SRS Codes, Reset Oil Light, Live Data, Updates Included</t>
        </is>
      </c>
      <c r="B51" s="90" t="inlineStr">
        <is>
          <t>B08FZ46X2M</t>
        </is>
      </c>
      <c r="C51" s="94" t="inlineStr">
        <is>
          <t>3170RS</t>
        </is>
      </c>
      <c r="D51" s="90" t="inlineStr">
        <is>
          <t>3P</t>
        </is>
      </c>
      <c r="E51" s="90" t="inlineStr">
        <is>
          <t>Handheld</t>
        </is>
      </c>
      <c r="F51" s="347" t="n">
        <v>296.5284615384616</v>
      </c>
      <c r="G51" s="348" t="n">
        <v>67811.843334</v>
      </c>
      <c r="H51" s="348" t="n">
        <v>3854.87</v>
      </c>
      <c r="I51" s="98" t="n">
        <v>228</v>
      </c>
      <c r="J51" s="102" t="n">
        <v>13</v>
      </c>
      <c r="K51" s="98" t="n">
        <v>157</v>
      </c>
      <c r="L51" s="99" t="n">
        <v>3.9</v>
      </c>
      <c r="M51" s="99" t="inlineStr">
        <is>
          <t>https://amazon.com/dp/B08FZ46X2M</t>
        </is>
      </c>
      <c r="N51" s="183">
        <f>HYPERLINK(Table266[[#This Row],[Column1]])</f>
        <v/>
      </c>
    </row>
    <row r="52" ht="45" customHeight="1" s="314">
      <c r="A52" s="90" t="inlineStr">
        <is>
          <t>Innova 3360 Thermal Camera - Infrared Camera with Heat Vision - Identify Hot/Cold Spots -4° ~ 1112°F - Easy to Use Thermal Imager</t>
        </is>
      </c>
      <c r="B52" s="90" t="inlineStr">
        <is>
          <t>B0FDLVW4G8</t>
        </is>
      </c>
      <c r="C52" s="94" t="inlineStr">
        <is>
          <t>3360</t>
        </is>
      </c>
      <c r="D52" s="90" t="inlineStr">
        <is>
          <t>3P</t>
        </is>
      </c>
      <c r="E52" s="90" t="inlineStr">
        <is>
          <t>Other</t>
        </is>
      </c>
      <c r="F52" s="347" t="n">
        <v>95.54666666666667</v>
      </c>
      <c r="G52" s="348" t="n">
        <v>10385.18769230769</v>
      </c>
      <c r="H52" s="348" t="n">
        <v>859.92</v>
      </c>
      <c r="I52" s="98" t="n">
        <v>9</v>
      </c>
      <c r="J52" s="102" t="n">
        <v>9</v>
      </c>
      <c r="K52" s="98" t="n">
        <v>0</v>
      </c>
      <c r="L52" s="99" t="n">
        <v>0</v>
      </c>
      <c r="M52" s="99" t="inlineStr">
        <is>
          <t>https://www.amazon.com/dp/B0FDLVW4G8</t>
        </is>
      </c>
      <c r="N52" s="183">
        <f>HYPERLINK(Table266[[#This Row],[Column1]])</f>
        <v/>
      </c>
    </row>
    <row r="53" ht="34" customHeight="1" s="314">
      <c r="A53" s="90" t="inlineStr">
        <is>
          <t>Innova 5512 OBD2 Scanner, ABS Brake Bleeding, Transmission Temp, TPMS, OBD1 Adapters Included, Repair App</t>
        </is>
      </c>
      <c r="B53" s="90" t="inlineStr">
        <is>
          <t>B09WPW4WQ4</t>
        </is>
      </c>
      <c r="C53" s="94" t="inlineStr">
        <is>
          <t>5512</t>
        </is>
      </c>
      <c r="D53" s="90" t="inlineStr">
        <is>
          <t>3P</t>
        </is>
      </c>
      <c r="E53" s="90" t="inlineStr">
        <is>
          <t>Handheld</t>
        </is>
      </c>
      <c r="F53" s="347" t="n">
        <v>299.99</v>
      </c>
      <c r="G53" s="348" t="n">
        <v>21691.06307692307</v>
      </c>
      <c r="H53" s="348" t="n">
        <v>1799.94</v>
      </c>
      <c r="I53" s="98" t="n">
        <v>66</v>
      </c>
      <c r="J53" s="102" t="n">
        <v>6</v>
      </c>
      <c r="K53" s="98" t="n">
        <v>32</v>
      </c>
      <c r="L53" s="99" t="n">
        <v>3.8</v>
      </c>
      <c r="M53" s="99" t="inlineStr">
        <is>
          <t>https://amazon.com/dp/B09WPW4WQ4</t>
        </is>
      </c>
      <c r="N53" s="183">
        <f>HYPERLINK(Table266[[#This Row],[Column1]])</f>
        <v/>
      </c>
    </row>
    <row r="54" ht="34" customHeight="1" s="314">
      <c r="A54" s="90" t="inlineStr">
        <is>
          <t>Innova 3340 Professional Automotive Digital Multimeter, Black</t>
        </is>
      </c>
      <c r="B54" s="90" t="inlineStr">
        <is>
          <t>B000KIMHRQ</t>
        </is>
      </c>
      <c r="C54" s="94" t="inlineStr">
        <is>
          <t>3340</t>
        </is>
      </c>
      <c r="D54" s="90" t="inlineStr">
        <is>
          <t>3P</t>
        </is>
      </c>
      <c r="E54" s="90" t="inlineStr">
        <is>
          <t>Other</t>
        </is>
      </c>
      <c r="F54" s="347" t="n">
        <v>99.99000000000001</v>
      </c>
      <c r="G54" s="348" t="n">
        <v>87575.32461538461</v>
      </c>
      <c r="H54" s="348" t="n">
        <v>299.97</v>
      </c>
      <c r="I54" s="98" t="n">
        <v>80</v>
      </c>
      <c r="J54" s="102" t="n">
        <v>3</v>
      </c>
      <c r="K54" s="98" t="n">
        <v>0</v>
      </c>
      <c r="L54" s="99" t="n">
        <v>0</v>
      </c>
      <c r="M54" s="99" t="inlineStr">
        <is>
          <t>https://www.amazon.com/dp/B000KIMHRQ</t>
        </is>
      </c>
      <c r="N54" s="183">
        <f>HYPERLINK(Table266[[#This Row],[Column1]])</f>
        <v/>
      </c>
    </row>
    <row r="55" ht="45" customHeight="1" s="314">
      <c r="A55" s="90" t="inlineStr">
        <is>
          <t>INNOVA 3100RS, OBD2 Scanner, ABS SRS Airbag Scan Tool with Airbag Light &amp; Oil Light Reset, Stream Graph &amp; Record Live Data, Get Suggested Repair &amp; Parts on iPhone or Android</t>
        </is>
      </c>
      <c r="B55" s="90" t="inlineStr">
        <is>
          <t>B084SW4K8J</t>
        </is>
      </c>
      <c r="C55" s="94" t="inlineStr">
        <is>
          <t>3100RS</t>
        </is>
      </c>
      <c r="D55" s="90" t="inlineStr">
        <is>
          <t>3P</t>
        </is>
      </c>
      <c r="E55" s="90" t="inlineStr">
        <is>
          <t>Handheld</t>
        </is>
      </c>
      <c r="F55" s="347" t="n">
        <v>142.5</v>
      </c>
      <c r="G55" s="348" t="n">
        <v>88653.43999999999</v>
      </c>
      <c r="H55" s="348" t="n">
        <v>142.5</v>
      </c>
      <c r="I55" s="98" t="n">
        <v>640</v>
      </c>
      <c r="J55" s="102" t="n">
        <v>1</v>
      </c>
      <c r="K55" s="98" t="n">
        <v>533</v>
      </c>
      <c r="L55" s="99" t="n">
        <v>4.4</v>
      </c>
      <c r="M55" s="99" t="inlineStr">
        <is>
          <t>https://amazon.com/dp/B084SW4K8J</t>
        </is>
      </c>
      <c r="N55" s="183">
        <f>HYPERLINK(Table266[[#This Row],[Column1]])</f>
        <v/>
      </c>
    </row>
    <row r="56" ht="17" customHeight="1" s="314">
      <c r="A56" s="91" t="inlineStr">
        <is>
          <t>Total</t>
        </is>
      </c>
      <c r="I56" s="311">
        <f>SUM(I35:I55)</f>
        <v/>
      </c>
      <c r="J56" s="311">
        <f>SUM(J35:J55)</f>
        <v/>
      </c>
      <c r="K56" s="89" t="n"/>
      <c r="L56" s="104" t="n"/>
    </row>
  </sheetData>
  <mergeCells count="3">
    <mergeCell ref="A7:N7"/>
    <mergeCell ref="A1:N5"/>
    <mergeCell ref="A33:N33"/>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L28"/>
  <sheetViews>
    <sheetView topLeftCell="A6" workbookViewId="0">
      <selection activeCell="O11" sqref="O11"/>
    </sheetView>
  </sheetViews>
  <sheetFormatPr baseColWidth="10" defaultColWidth="12.6640625" defaultRowHeight="16"/>
  <cols>
    <col width="50.6640625" customWidth="1" style="33" min="1" max="1"/>
    <col width="12.6640625" customWidth="1" style="33" min="2" max="2"/>
    <col width="12.6640625" customWidth="1" style="353" min="3" max="3"/>
    <col width="10.83203125" bestFit="1" customWidth="1" style="80" min="4" max="4"/>
    <col width="24.83203125" bestFit="1" customWidth="1" style="33" min="5" max="5"/>
    <col width="17.6640625" bestFit="1" customWidth="1" style="87" min="6" max="6"/>
    <col width="21.6640625" bestFit="1" customWidth="1" style="87" min="7" max="7"/>
    <col width="19.1640625" bestFit="1" customWidth="1" style="87" min="8" max="8"/>
    <col width="13.5" bestFit="1" customWidth="1" style="39" min="9" max="9"/>
    <col width="13" bestFit="1" customWidth="1" style="33" min="10" max="10"/>
    <col hidden="1" width="27.6640625" customWidth="1" style="33" min="11" max="11"/>
    <col width="35.6640625" customWidth="1" style="33" min="12" max="12"/>
    <col width="12.6640625" customWidth="1" style="33" min="13" max="16384"/>
  </cols>
  <sheetData>
    <row r="1" ht="15.75" customHeight="1" s="314">
      <c r="A1" s="318" t="inlineStr">
        <is>
          <t>BLCKTEC Monthly Summary</t>
        </is>
      </c>
    </row>
    <row r="2" ht="15.75" customHeight="1" s="314"/>
    <row r="3" ht="15.75" customHeight="1" s="314"/>
    <row r="4" ht="15.75" customHeight="1" s="314"/>
    <row r="5" ht="15.75" customHeight="1" s="314"/>
    <row r="6">
      <c r="A6" s="31" t="n"/>
      <c r="B6" s="31" t="n"/>
      <c r="C6" s="354" t="n"/>
      <c r="D6" s="76" t="n"/>
      <c r="E6" s="77" t="n"/>
      <c r="F6" s="77" t="n"/>
      <c r="G6" s="77" t="n"/>
      <c r="H6" s="77" t="n"/>
      <c r="I6" s="78" t="n"/>
      <c r="J6" s="79" t="n"/>
    </row>
    <row r="7">
      <c r="A7" s="319"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60" customHeight="1" s="314">
      <c r="A9" s="35" t="inlineStr">
        <is>
          <t>BLCKTEC 460T OBD2 Scanner Car Code Reader Engine ABS SRS Transmission Diagnostic Tool, 12 Reset Services, Oil/TPMS/EPB/BMS/SAS/DPF/Throttle Reset, ABS Bleeding, Battery Test, Auto VIN, Free Update</t>
        </is>
      </c>
      <c r="B9" s="32" t="inlineStr">
        <is>
          <t>B0DV2N2FND</t>
        </is>
      </c>
      <c r="C9" s="32" t="inlineStr">
        <is>
          <t>Tablet</t>
        </is>
      </c>
      <c r="D9" s="355" t="n">
        <v>189.17418997669</v>
      </c>
      <c r="E9" s="82" t="n">
        <v>3246740.46</v>
      </c>
      <c r="F9" s="83" t="n">
        <v>324622.91</v>
      </c>
      <c r="G9" s="84" t="n">
        <v>16939</v>
      </c>
      <c r="H9" s="84" t="n">
        <v>1716</v>
      </c>
      <c r="I9" s="84" t="n">
        <v>608</v>
      </c>
      <c r="J9" s="85" t="n">
        <v>4.4</v>
      </c>
      <c r="K9" s="85" t="inlineStr">
        <is>
          <t>https://amazon.com/dp/B0DV2N2FND</t>
        </is>
      </c>
      <c r="L9" s="112">
        <f>HYPERLINK(Table21[[#This Row],[Column1]])</f>
        <v/>
      </c>
    </row>
    <row r="10" ht="45" customHeight="1" s="314">
      <c r="A10" s="35" t="inlineStr">
        <is>
          <t>BLCKTEC 440 Bluetooth OBD2 Scanner Diagnostic Tool - Car Code Reader and Scanner for Car - Comes with Live Data - Battery/Charging System Test - Works for All OBD Compliant Cars 1996 &amp; Newer</t>
        </is>
      </c>
      <c r="B10" s="32" t="inlineStr">
        <is>
          <t>B0C8XSKFX8</t>
        </is>
      </c>
      <c r="C10" s="32" t="inlineStr">
        <is>
          <t>Handheld</t>
        </is>
      </c>
      <c r="D10" s="355" t="n">
        <v>68.15849176172371</v>
      </c>
      <c r="E10" s="82" t="n">
        <v>851283.33</v>
      </c>
      <c r="F10" s="83" t="n">
        <v>53777.05</v>
      </c>
      <c r="G10" s="84" t="n">
        <v>11734</v>
      </c>
      <c r="H10" s="84" t="n">
        <v>789</v>
      </c>
      <c r="I10" s="84" t="n">
        <v>1064</v>
      </c>
      <c r="J10" s="85" t="n">
        <v>4.5</v>
      </c>
      <c r="K10" s="85" t="inlineStr">
        <is>
          <t>https://amazon.com/dp/B0C8XSKFX8</t>
        </is>
      </c>
      <c r="L10" s="112">
        <f>HYPERLINK(Table21[[#This Row],[Column1]])</f>
        <v/>
      </c>
    </row>
    <row r="11" ht="45" customHeight="1" s="314">
      <c r="A11" s="35" t="inlineStr">
        <is>
          <t>BLCKTEC 430 Bluetooth OBD2 Scanner for iPhone &amp; Android, No Subscription Fee, OBDII Car Code Reader, Diagnose Check Engine, ABS, SRS, Airbag, Supports Vehicles 1996+</t>
        </is>
      </c>
      <c r="B11" s="32" t="inlineStr">
        <is>
          <t>B0C2JQH5NY</t>
        </is>
      </c>
      <c r="C11" s="32" t="inlineStr">
        <is>
          <t>Dongle</t>
        </is>
      </c>
      <c r="D11" s="355" t="n">
        <v>69.33496881496882</v>
      </c>
      <c r="E11" s="82" t="n">
        <v>550630.7400000001</v>
      </c>
      <c r="F11" s="83" t="n">
        <v>33350.12</v>
      </c>
      <c r="G11" s="84" t="n">
        <v>7802</v>
      </c>
      <c r="H11" s="84" t="n">
        <v>481</v>
      </c>
      <c r="I11" s="84" t="n">
        <v>1165</v>
      </c>
      <c r="J11" s="85" t="n">
        <v>4.3</v>
      </c>
      <c r="K11" s="85" t="inlineStr">
        <is>
          <t>https://amazon.com/dp/B0C2JQH5NY</t>
        </is>
      </c>
      <c r="L11" s="112">
        <f>HYPERLINK(Table21[[#This Row],[Column1]])</f>
        <v/>
      </c>
    </row>
    <row r="12" ht="45" customHeight="1" s="314">
      <c r="A12" s="35" t="inlineStr">
        <is>
          <t>BLCKTEC 420 Bluetooth OBD2 Scanner Diagnostic Tool - Vehicle Code Reader for Car - Clears Check Engine Light - Comes with Premium OBD App On IOS &amp; Android - Works For All Cars 1996 &amp; Newer</t>
        </is>
      </c>
      <c r="B12" s="32" t="inlineStr">
        <is>
          <t>B0BNGW4VF4</t>
        </is>
      </c>
      <c r="C12" s="32" t="inlineStr">
        <is>
          <t>Handheld</t>
        </is>
      </c>
      <c r="D12" s="355" t="n">
        <v>37.02769383697813</v>
      </c>
      <c r="E12" s="82" t="n">
        <v>473589.06</v>
      </c>
      <c r="F12" s="83" t="n">
        <v>18624.93</v>
      </c>
      <c r="G12" s="84" t="n">
        <v>12056</v>
      </c>
      <c r="H12" s="84" t="n">
        <v>503</v>
      </c>
      <c r="I12" s="84" t="n">
        <v>1967</v>
      </c>
      <c r="J12" s="85" t="n">
        <v>4.5</v>
      </c>
      <c r="K12" s="85" t="inlineStr">
        <is>
          <t>https://amazon.com/dp/B0BNGW4VF4</t>
        </is>
      </c>
      <c r="L12" s="112">
        <f>HYPERLINK(Table21[[#This Row],[Column1]])</f>
        <v/>
      </c>
    </row>
    <row r="13" ht="45" customHeight="1" s="314">
      <c r="A13" s="35" t="inlineStr">
        <is>
          <t>BLCKTEC 420X OBD2 Scanner Diagnostic Tool, Read and Clear Check Engine Light, Car Code Reader for All OBDII Cars 1996 and Newer, Comes with Bluetooth Topnotch App On iOS &amp; Android</t>
        </is>
      </c>
      <c r="B13" s="32" t="inlineStr">
        <is>
          <t>B0FG9XGLYW</t>
        </is>
      </c>
      <c r="C13" s="32" t="inlineStr">
        <is>
          <t>Dongle</t>
        </is>
      </c>
      <c r="D13" s="355" t="n">
        <v>48.09460732984293</v>
      </c>
      <c r="E13" s="82" t="n">
        <v>101268.7069230769</v>
      </c>
      <c r="F13" s="83" t="n">
        <v>9186.07</v>
      </c>
      <c r="G13" s="84" t="n">
        <v>1418</v>
      </c>
      <c r="H13" s="84" t="n">
        <v>191</v>
      </c>
      <c r="I13" s="84" t="n">
        <v>1968</v>
      </c>
      <c r="J13" s="85" t="n">
        <v>4.5</v>
      </c>
      <c r="K13" s="85" t="inlineStr">
        <is>
          <t>https://amazon.com/dp/B0FG9XGLYW</t>
        </is>
      </c>
      <c r="L13" s="112">
        <f>HYPERLINK(Table21[[#This Row],[Column1]])</f>
        <v/>
      </c>
    </row>
    <row r="14" ht="45" customHeight="1" s="314">
      <c r="A14" s="35" t="inlineStr">
        <is>
          <t>BLCKTEC 410 Bluetooth OBD2 Scanner for iPhone &amp; Android, No Subscription Fee, OBDII Car Code Reader, Diagnose Check Engine Light, Supports OBD2 Compliant Vehicles 1996 and Newer</t>
        </is>
      </c>
      <c r="B14" s="32" t="inlineStr">
        <is>
          <t>B0BTZRXX2G</t>
        </is>
      </c>
      <c r="C14" s="32" t="inlineStr">
        <is>
          <t>Dongle</t>
        </is>
      </c>
      <c r="D14" s="355" t="n">
        <v>34.98964285714286</v>
      </c>
      <c r="E14" s="82" t="n">
        <v>81570.78999999999</v>
      </c>
      <c r="F14" s="83" t="n">
        <v>979.71</v>
      </c>
      <c r="G14" s="84" t="n">
        <v>2460</v>
      </c>
      <c r="H14" s="84" t="n">
        <v>28</v>
      </c>
      <c r="I14" s="84" t="n">
        <v>885</v>
      </c>
      <c r="J14" s="85" t="n">
        <v>4.3</v>
      </c>
      <c r="K14" s="85" t="inlineStr">
        <is>
          <t>https://amazon.com/dp/B0BTZRXX2G</t>
        </is>
      </c>
      <c r="L14" s="112">
        <f>HYPERLINK(Table21[[#This Row],[Column1]])</f>
        <v/>
      </c>
    </row>
    <row r="15" ht="45" customHeight="1" s="314">
      <c r="A15" s="35" t="inlineStr">
        <is>
          <t>BLCKTEC 400 OBD2 Scanner Diagnostic Tool - Car for All Cars OBDII Compatible Code Reader with Reset Comes Free OBD App On iOS &amp; Android</t>
        </is>
      </c>
      <c r="B15" s="32" t="inlineStr">
        <is>
          <t>B0BXWCJ2LX</t>
        </is>
      </c>
      <c r="C15" s="32" t="inlineStr">
        <is>
          <t>Handheld</t>
        </is>
      </c>
      <c r="D15" s="355" t="n">
        <v>26.99</v>
      </c>
      <c r="E15" s="82" t="n">
        <v>4133.709230769231</v>
      </c>
      <c r="F15" s="83" t="n">
        <v>242.91</v>
      </c>
      <c r="G15" s="84" t="n">
        <v>136</v>
      </c>
      <c r="H15" s="84" t="n">
        <v>9</v>
      </c>
      <c r="I15" s="84" t="n">
        <v>321</v>
      </c>
      <c r="J15" s="85" t="n">
        <v>4.4</v>
      </c>
      <c r="K15" s="85" t="inlineStr">
        <is>
          <t>https://amazon.com/dp/B0BXWCJ2LX</t>
        </is>
      </c>
      <c r="L15" s="112">
        <f>HYPERLINK(Table21[[#This Row],[Column1]])</f>
        <v/>
      </c>
    </row>
    <row r="16" ht="17" customHeight="1" s="314">
      <c r="A16" s="38" t="inlineStr">
        <is>
          <t>Total</t>
        </is>
      </c>
      <c r="B16" s="38" t="n"/>
      <c r="C16" s="356" t="n"/>
      <c r="D16" s="356" t="n"/>
      <c r="E16" s="125">
        <f>SUM(E9:E15)</f>
        <v/>
      </c>
      <c r="F16" s="125">
        <f>SUM(F9:F15)</f>
        <v/>
      </c>
      <c r="G16" s="126" t="n"/>
      <c r="H16" s="126" t="n"/>
      <c r="I16" s="126" t="n"/>
      <c r="J16" s="127" t="n"/>
      <c r="K16" s="38" t="n"/>
      <c r="L16" s="37" t="n"/>
    </row>
    <row r="19">
      <c r="A19" s="319" t="inlineStr">
        <is>
          <t>Rank by Units</t>
        </is>
      </c>
    </row>
    <row r="20" ht="17" customHeight="1" s="314">
      <c r="A20" s="46" t="inlineStr">
        <is>
          <t>Product Name</t>
        </is>
      </c>
      <c r="B20" s="47" t="inlineStr">
        <is>
          <t>ASIN</t>
        </is>
      </c>
      <c r="C20" s="47" t="inlineStr">
        <is>
          <t>Type</t>
        </is>
      </c>
      <c r="D20" s="345" t="inlineStr">
        <is>
          <t>Avg Price</t>
        </is>
      </c>
      <c r="E20" s="49" t="inlineStr">
        <is>
          <t>Estimated 12mo Revenue</t>
        </is>
      </c>
      <c r="F20" s="47" t="inlineStr">
        <is>
          <t>Monthly Rev</t>
        </is>
      </c>
      <c r="G20" s="51" t="inlineStr">
        <is>
          <t>Estimated 12mo Units</t>
        </is>
      </c>
      <c r="H20" s="54" t="inlineStr">
        <is>
          <t>Monthly Units</t>
        </is>
      </c>
      <c r="I20" s="51" t="inlineStr">
        <is>
          <t># of Reviews</t>
        </is>
      </c>
      <c r="J20" s="52" t="inlineStr">
        <is>
          <t xml:space="preserve">Tool Rating </t>
        </is>
      </c>
      <c r="K20" s="52" t="inlineStr">
        <is>
          <t>Column1</t>
        </is>
      </c>
      <c r="L20" s="346" t="inlineStr">
        <is>
          <t>Link</t>
        </is>
      </c>
    </row>
    <row r="21" ht="60" customHeight="1" s="314">
      <c r="A21" s="35" t="inlineStr">
        <is>
          <t>BLCKTEC 460T OBD2 Scanner Car Code Reader Engine ABS SRS Transmission Diagnostic Tool, 12 Reset Services, Oil/TPMS/EPB/BMS/SAS/DPF/Throttle Reset, ABS Bleeding, Battery Test, Auto VIN, Free Update</t>
        </is>
      </c>
      <c r="B21" s="32" t="inlineStr">
        <is>
          <t>B0DV2N2FND</t>
        </is>
      </c>
      <c r="C21" s="32" t="inlineStr">
        <is>
          <t>Tablet</t>
        </is>
      </c>
      <c r="D21" s="355" t="n">
        <v>189.17418997669</v>
      </c>
      <c r="E21" s="82" t="n">
        <v>3246740.46</v>
      </c>
      <c r="F21" s="82" t="n">
        <v>324622.91</v>
      </c>
      <c r="G21" s="84" t="n">
        <v>16939</v>
      </c>
      <c r="H21" s="86" t="n">
        <v>1716</v>
      </c>
      <c r="I21" s="84" t="n">
        <v>608</v>
      </c>
      <c r="J21" s="85" t="n">
        <v>4.4</v>
      </c>
      <c r="K21" s="85" t="inlineStr">
        <is>
          <t>https://amazon.com/dp/B0DV2N2FND</t>
        </is>
      </c>
      <c r="L21" s="112">
        <f>HYPERLINK(Table22[[#This Row],[Column1]])</f>
        <v/>
      </c>
    </row>
    <row r="22" ht="45" customHeight="1" s="314">
      <c r="A22" s="35" t="inlineStr">
        <is>
          <t>BLCKTEC 440 Bluetooth OBD2 Scanner Diagnostic Tool - Car Code Reader and Scanner for Car - Comes with Live Data - Battery/Charging System Test - Works for All OBD Compliant Cars 1996 &amp; Newer</t>
        </is>
      </c>
      <c r="B22" s="32" t="inlineStr">
        <is>
          <t>B0C8XSKFX8</t>
        </is>
      </c>
      <c r="C22" s="32" t="inlineStr">
        <is>
          <t>Handheld</t>
        </is>
      </c>
      <c r="D22" s="355" t="n">
        <v>68.15849176172371</v>
      </c>
      <c r="E22" s="82" t="n">
        <v>851283.33</v>
      </c>
      <c r="F22" s="82" t="n">
        <v>53777.05</v>
      </c>
      <c r="G22" s="84" t="n">
        <v>11734</v>
      </c>
      <c r="H22" s="86" t="n">
        <v>789</v>
      </c>
      <c r="I22" s="84" t="n">
        <v>1064</v>
      </c>
      <c r="J22" s="85" t="n">
        <v>4.5</v>
      </c>
      <c r="K22" s="85" t="inlineStr">
        <is>
          <t>https://amazon.com/dp/B0C8XSKFX8</t>
        </is>
      </c>
      <c r="L22" s="112">
        <f>HYPERLINK(Table22[[#This Row],[Column1]])</f>
        <v/>
      </c>
    </row>
    <row r="23" ht="45" customHeight="1" s="314">
      <c r="A23" s="35" t="inlineStr">
        <is>
          <t>BLCKTEC 420 Bluetooth OBD2 Scanner Diagnostic Tool - Vehicle Code Reader for Car - Clears Check Engine Light - Comes with Premium OBD App On IOS &amp; Android - Works For All Cars 1996 &amp; Newer</t>
        </is>
      </c>
      <c r="B23" s="32" t="inlineStr">
        <is>
          <t>B0BNGW4VF4</t>
        </is>
      </c>
      <c r="C23" s="32" t="inlineStr">
        <is>
          <t>Handheld</t>
        </is>
      </c>
      <c r="D23" s="355" t="n">
        <v>37.02769383697813</v>
      </c>
      <c r="E23" s="82" t="n">
        <v>473589.06</v>
      </c>
      <c r="F23" s="82" t="n">
        <v>18624.93</v>
      </c>
      <c r="G23" s="84" t="n">
        <v>12056</v>
      </c>
      <c r="H23" s="86" t="n">
        <v>503</v>
      </c>
      <c r="I23" s="84" t="n">
        <v>1967</v>
      </c>
      <c r="J23" s="85" t="n">
        <v>4.5</v>
      </c>
      <c r="K23" s="85" t="inlineStr">
        <is>
          <t>https://amazon.com/dp/B0BNGW4VF4</t>
        </is>
      </c>
      <c r="L23" s="112">
        <f>HYPERLINK(Table22[[#This Row],[Column1]])</f>
        <v/>
      </c>
    </row>
    <row r="24" ht="45" customHeight="1" s="314">
      <c r="A24" s="35" t="inlineStr">
        <is>
          <t>BLCKTEC 430 Bluetooth OBD2 Scanner for iPhone &amp; Android, No Subscription Fee, OBDII Car Code Reader, Diagnose Check Engine, ABS, SRS, Airbag, Supports Vehicles 1996+</t>
        </is>
      </c>
      <c r="B24" s="32" t="inlineStr">
        <is>
          <t>B0C2JQH5NY</t>
        </is>
      </c>
      <c r="C24" s="32" t="inlineStr">
        <is>
          <t>Dongle</t>
        </is>
      </c>
      <c r="D24" s="355" t="n">
        <v>69.33496881496882</v>
      </c>
      <c r="E24" s="82" t="n">
        <v>550630.7400000001</v>
      </c>
      <c r="F24" s="82" t="n">
        <v>33350.12</v>
      </c>
      <c r="G24" s="84" t="n">
        <v>7802</v>
      </c>
      <c r="H24" s="86" t="n">
        <v>481</v>
      </c>
      <c r="I24" s="84" t="n">
        <v>1165</v>
      </c>
      <c r="J24" s="85" t="n">
        <v>4.3</v>
      </c>
      <c r="K24" s="85" t="inlineStr">
        <is>
          <t>https://amazon.com/dp/B0C2JQH5NY</t>
        </is>
      </c>
      <c r="L24" s="112">
        <f>HYPERLINK(Table22[[#This Row],[Column1]])</f>
        <v/>
      </c>
    </row>
    <row r="25" ht="45" customHeight="1" s="314">
      <c r="A25" s="35" t="inlineStr">
        <is>
          <t>BLCKTEC 420X OBD2 Scanner Diagnostic Tool, Read and Clear Check Engine Light, Car Code Reader for All OBDII Cars 1996 and Newer, Comes with Bluetooth Topnotch App On iOS &amp; Android</t>
        </is>
      </c>
      <c r="B25" s="32" t="inlineStr">
        <is>
          <t>B0FG9XGLYW</t>
        </is>
      </c>
      <c r="C25" s="32" t="inlineStr">
        <is>
          <t>Dongle</t>
        </is>
      </c>
      <c r="D25" s="355" t="n">
        <v>48.09460732984293</v>
      </c>
      <c r="E25" s="82" t="n">
        <v>101268.7069230769</v>
      </c>
      <c r="F25" s="82" t="n">
        <v>9186.07</v>
      </c>
      <c r="G25" s="84" t="n">
        <v>1418</v>
      </c>
      <c r="H25" s="86" t="n">
        <v>191</v>
      </c>
      <c r="I25" s="84" t="n">
        <v>1968</v>
      </c>
      <c r="J25" s="85" t="n">
        <v>4.5</v>
      </c>
      <c r="K25" s="85" t="inlineStr">
        <is>
          <t>https://amazon.com/dp/B0FG9XGLYW</t>
        </is>
      </c>
      <c r="L25" s="112">
        <f>HYPERLINK(Table22[[#This Row],[Column1]])</f>
        <v/>
      </c>
    </row>
    <row r="26" ht="45" customHeight="1" s="314">
      <c r="A26" s="35" t="inlineStr">
        <is>
          <t>BLCKTEC 410 Bluetooth OBD2 Scanner for iPhone &amp; Android, No Subscription Fee, OBDII Car Code Reader, Diagnose Check Engine Light, Supports OBD2 Compliant Vehicles 1996 and Newer</t>
        </is>
      </c>
      <c r="B26" s="32" t="inlineStr">
        <is>
          <t>B0BTZRXX2G</t>
        </is>
      </c>
      <c r="C26" s="32" t="inlineStr">
        <is>
          <t>Dongle</t>
        </is>
      </c>
      <c r="D26" s="355" t="n">
        <v>34.98964285714286</v>
      </c>
      <c r="E26" s="82" t="n">
        <v>81570.78999999999</v>
      </c>
      <c r="F26" s="82" t="n">
        <v>979.71</v>
      </c>
      <c r="G26" s="84" t="n">
        <v>2460</v>
      </c>
      <c r="H26" s="86" t="n">
        <v>28</v>
      </c>
      <c r="I26" s="84" t="n">
        <v>885</v>
      </c>
      <c r="J26" s="85" t="n">
        <v>4.3</v>
      </c>
      <c r="K26" s="85" t="inlineStr">
        <is>
          <t>https://amazon.com/dp/B0BTZRXX2G</t>
        </is>
      </c>
      <c r="L26" s="112">
        <f>HYPERLINK(Table22[[#This Row],[Column1]])</f>
        <v/>
      </c>
    </row>
    <row r="27" ht="45" customHeight="1" s="314">
      <c r="A27" s="35" t="inlineStr">
        <is>
          <t>BLCKTEC 400 OBD2 Scanner Diagnostic Tool - Car for All Cars OBDII Compatible Code Reader with Reset Comes Free OBD App On iOS &amp; Android</t>
        </is>
      </c>
      <c r="B27" s="32" t="inlineStr">
        <is>
          <t>B0BXWCJ2LX</t>
        </is>
      </c>
      <c r="C27" s="32" t="inlineStr">
        <is>
          <t>Handheld</t>
        </is>
      </c>
      <c r="D27" s="355" t="n">
        <v>26.99</v>
      </c>
      <c r="E27" s="82" t="n">
        <v>4133.709230769231</v>
      </c>
      <c r="F27" s="82" t="n">
        <v>242.91</v>
      </c>
      <c r="G27" s="84" t="n">
        <v>136</v>
      </c>
      <c r="H27" s="86" t="n">
        <v>9</v>
      </c>
      <c r="I27" s="84" t="n">
        <v>321</v>
      </c>
      <c r="J27" s="85" t="n">
        <v>4.4</v>
      </c>
      <c r="K27" s="85" t="inlineStr">
        <is>
          <t>https://amazon.com/dp/B0BXWCJ2LX</t>
        </is>
      </c>
      <c r="L27" s="112">
        <f>HYPERLINK(Table22[[#This Row],[Column1]])</f>
        <v/>
      </c>
    </row>
    <row r="28" ht="17" customHeight="1" s="314">
      <c r="A28" s="38" t="inlineStr">
        <is>
          <t>Total</t>
        </is>
      </c>
      <c r="B28" s="38" t="n"/>
      <c r="C28" s="356" t="n"/>
      <c r="D28" s="125" t="n"/>
      <c r="E28" s="125" t="n"/>
      <c r="F28" s="125" t="n"/>
      <c r="G28" s="126">
        <f>SUM(G21:G27)</f>
        <v/>
      </c>
      <c r="H28" s="126">
        <f>SUM(H21:H27)</f>
        <v/>
      </c>
      <c r="I28" s="126" t="n"/>
      <c r="J28" s="127" t="n"/>
      <c r="K28" s="38" t="n"/>
      <c r="L28" s="37" t="n"/>
    </row>
  </sheetData>
  <mergeCells count="3">
    <mergeCell ref="A1:L5"/>
    <mergeCell ref="A19:L19"/>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8.xml><?xml version="1.0" encoding="utf-8"?>
<worksheet xmlns="http://schemas.openxmlformats.org/spreadsheetml/2006/main">
  <sheetPr codeName="Sheet6">
    <outlinePr summaryBelow="1" summaryRight="1"/>
    <pageSetUpPr/>
  </sheetPr>
  <dimension ref="A1:Q240"/>
  <sheetViews>
    <sheetView topLeftCell="A79" zoomScale="86" workbookViewId="0">
      <selection activeCell="A90" sqref="A90"/>
    </sheetView>
  </sheetViews>
  <sheetFormatPr baseColWidth="10" defaultColWidth="10.832031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08" min="5" max="5"/>
    <col width="17.6640625" bestFit="1" customWidth="1" style="311" min="6" max="6"/>
    <col width="21.6640625" bestFit="1" customWidth="1" style="311" min="7" max="7"/>
    <col width="19.1640625" bestFit="1" customWidth="1" style="311" min="8" max="8"/>
    <col width="13.5" bestFit="1" customWidth="1" style="312" min="9" max="9"/>
    <col width="13" bestFit="1" customWidth="1" style="308" min="10" max="10"/>
    <col hidden="1" width="29" customWidth="1" style="308" min="11" max="11"/>
    <col width="35.6640625" customWidth="1" style="308" min="12" max="12"/>
    <col width="15.6640625" customWidth="1" style="308" min="13" max="13"/>
    <col width="10.83203125" customWidth="1" style="308" min="14" max="16384"/>
  </cols>
  <sheetData>
    <row r="1">
      <c r="A1" s="320" t="inlineStr">
        <is>
          <t>Ancel Monthly Summary</t>
        </is>
      </c>
    </row>
    <row r="2"/>
    <row r="3"/>
    <row r="4"/>
    <row r="5"/>
    <row r="6">
      <c r="A6" s="34" t="n"/>
      <c r="B6" s="34" t="n"/>
      <c r="C6" s="358" t="n"/>
      <c r="D6" s="56" t="n"/>
      <c r="E6" s="57" t="n"/>
      <c r="F6" s="57" t="n"/>
      <c r="G6" s="57" t="n"/>
      <c r="H6" s="57" t="n"/>
      <c r="I6" s="58" t="n"/>
      <c r="J6" s="59" t="n"/>
    </row>
    <row r="7" ht="16" customHeight="1" s="314">
      <c r="A7" s="307" t="inlineStr">
        <is>
          <t xml:space="preserve">Rank by Revenue </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ANCEL AD310 Classic Enhanced Universal OBD II Scanner Car Engine Fault Code Reader CAN Diagnostic Scan Tool, Read and Clear Error Codes for 1996 or Newer OBD2 Protocol Vehicle (Black)</t>
        </is>
      </c>
      <c r="B9" s="35" t="inlineStr">
        <is>
          <t>B01G5EA74I</t>
        </is>
      </c>
      <c r="C9" s="35" t="inlineStr">
        <is>
          <t>Handheld</t>
        </is>
      </c>
      <c r="D9" s="359" t="n">
        <v>28.93877341320998</v>
      </c>
      <c r="E9" s="66" t="n">
        <v>11640814.05</v>
      </c>
      <c r="F9" s="67" t="n">
        <v>763231.21</v>
      </c>
      <c r="G9" s="68" t="n">
        <v>418439</v>
      </c>
      <c r="H9" s="68" t="n">
        <v>26374</v>
      </c>
      <c r="I9" s="68" t="n">
        <v>63860</v>
      </c>
      <c r="J9" s="69" t="n">
        <v>4.6</v>
      </c>
      <c r="K9" s="69" t="inlineStr">
        <is>
          <t>https://amazon.com/dp/B01G5EA74I</t>
        </is>
      </c>
      <c r="L9" s="183">
        <f>HYPERLINK(Table54[[#This Row],[Column1]])</f>
        <v/>
      </c>
    </row>
    <row r="10" ht="45" customHeight="1" s="314">
      <c r="A10" s="35" t="inlineStr">
        <is>
          <t>ANCEL X7HD 10'' Heavy Duty Truck Scanner, Semi Trucks Full System Diagnostic Tool, Bidirectional Diesel Scan Tool with DPF, ECU Coding, 40+ Reset for Cummins, Detroit, Caterpillar, Volvo, Paccar etc</t>
        </is>
      </c>
      <c r="B10" s="35" t="inlineStr">
        <is>
          <t>B0BZ82WQ4Q</t>
        </is>
      </c>
      <c r="C10" s="35" t="inlineStr">
        <is>
          <t>Tablet</t>
        </is>
      </c>
      <c r="D10" s="359" t="n">
        <v>774.4419436619719</v>
      </c>
      <c r="E10" s="66" t="n">
        <v>2419729.51</v>
      </c>
      <c r="F10" s="67" t="n">
        <v>274926.89</v>
      </c>
      <c r="G10" s="68" t="n">
        <v>2988</v>
      </c>
      <c r="H10" s="68" t="n">
        <v>355</v>
      </c>
      <c r="I10" s="68" t="n">
        <v>786</v>
      </c>
      <c r="J10" s="69" t="n">
        <v>3.8</v>
      </c>
      <c r="K10" s="69" t="inlineStr">
        <is>
          <t>https://amazon.com/dp/B0BZ82WQ4Q</t>
        </is>
      </c>
      <c r="L10" s="183">
        <f>HYPERLINK(Table54[[#This Row],[Column1]])</f>
        <v/>
      </c>
    </row>
    <row r="11" ht="45" customHeight="1" s="314">
      <c r="A11" s="35" t="inlineStr">
        <is>
          <t>ANCEL AD410 Enhanced OBD2 Scanner, Vehicle Code Reader for Check Engine Light, Automotive OBD II Scanner Fault Diagnosis, OBDII Scan Tool for All OBDII Cars 1996+, Black/Yellow</t>
        </is>
      </c>
      <c r="B11" s="35" t="inlineStr">
        <is>
          <t>B071FSNL73</t>
        </is>
      </c>
      <c r="C11" s="35" t="inlineStr">
        <is>
          <t>Handheld</t>
        </is>
      </c>
      <c r="D11" s="359" t="n">
        <v>43.56900433622415</v>
      </c>
      <c r="E11" s="66" t="n">
        <v>4039229.264615384</v>
      </c>
      <c r="F11" s="67" t="n">
        <v>261239.75</v>
      </c>
      <c r="G11" s="68" t="n">
        <v>81536</v>
      </c>
      <c r="H11" s="68" t="n">
        <v>5996</v>
      </c>
      <c r="I11" s="68" t="n">
        <v>15054</v>
      </c>
      <c r="J11" s="69" t="n">
        <v>4.5</v>
      </c>
      <c r="K11" s="69" t="inlineStr">
        <is>
          <t>https://amazon.com/dp/B071FSNL73</t>
        </is>
      </c>
      <c r="L11" s="183">
        <f>HYPERLINK(Table54[[#This Row],[Column1]])</f>
        <v/>
      </c>
    </row>
    <row r="12" ht="60" customHeight="1" s="314">
      <c r="A12" s="35" t="inlineStr">
        <is>
          <t>ANCEL DS500BT Bidirectional Scan Tool, Full-System Automotive Diagnostic Scanner with 28+ Services, Injector Coding, DPF/Brake/BMS/Oil/Gear/Throttle Functions, CAN FD Support, Lifetime Free Updates</t>
        </is>
      </c>
      <c r="B12" s="35" t="inlineStr">
        <is>
          <t>B0FN4JHLY7</t>
        </is>
      </c>
      <c r="C12" s="35" t="inlineStr">
        <is>
          <t>Tablet</t>
        </is>
      </c>
      <c r="D12" s="359" t="n">
        <v>558.973670212766</v>
      </c>
      <c r="E12" s="66" t="n">
        <v>1172184.424615385</v>
      </c>
      <c r="F12" s="67" t="n">
        <v>105087.05</v>
      </c>
      <c r="G12" s="68" t="n">
        <v>1158</v>
      </c>
      <c r="H12" s="68" t="n">
        <v>188</v>
      </c>
      <c r="I12" s="68" t="n">
        <v>1057</v>
      </c>
      <c r="J12" s="69" t="n">
        <v>4.5</v>
      </c>
      <c r="K12" s="69" t="inlineStr">
        <is>
          <t>https://amazon.com/dp/B0FN4JHLY7</t>
        </is>
      </c>
      <c r="L12" s="183">
        <f>HYPERLINK(Table54[[#This Row],[Column1]])</f>
        <v/>
      </c>
    </row>
    <row r="13" ht="45" customHeight="1" s="314">
      <c r="A13" s="35" t="inlineStr">
        <is>
          <t>ANCEL FX6100 Car Bidirectional Scan Tool, Full System OBD2 Scanner Diagnostic Tool for All Vehicles, Updates Included, AutoVIN, Active Test, ABS SRS TPMS Transmission EPB Oil Fault Code Read Reset</t>
        </is>
      </c>
      <c r="B13" s="35" t="inlineStr">
        <is>
          <t>B0F38JZ2PR</t>
        </is>
      </c>
      <c r="C13" s="35" t="inlineStr">
        <is>
          <t>Tablet</t>
        </is>
      </c>
      <c r="D13" s="359" t="n">
        <v>388.6911363636364</v>
      </c>
      <c r="E13" s="66" t="n">
        <v>943111.9000000001</v>
      </c>
      <c r="F13" s="67" t="n">
        <v>85512.05</v>
      </c>
      <c r="G13" s="68" t="n">
        <v>2722</v>
      </c>
      <c r="H13" s="68" t="n">
        <v>220</v>
      </c>
      <c r="I13" s="68" t="n">
        <v>277</v>
      </c>
      <c r="J13" s="69" t="n">
        <v>4.3</v>
      </c>
      <c r="K13" s="69" t="inlineStr">
        <is>
          <t>https://amazon.com/dp/B0F38JZ2PR</t>
        </is>
      </c>
      <c r="L13" s="183">
        <f>HYPERLINK(Table54[[#This Row],[Column1]])</f>
        <v/>
      </c>
    </row>
    <row r="14" ht="45" customHeight="1" s="314">
      <c r="A14" s="35" t="inlineStr">
        <is>
          <t>ANCEL HD3400 Pro Heavy Duty Truck Scanner | DPF Regeneration, Lifetime Free Update, Compatible with Commercial Vehicles with Cummins, Paccar, Caterpillar, Detroit, Volvo, Mack, International Engines</t>
        </is>
      </c>
      <c r="B14" s="35" t="inlineStr">
        <is>
          <t>B09R3L5BP2</t>
        </is>
      </c>
      <c r="C14" s="35" t="inlineStr">
        <is>
          <t>Tablet</t>
        </is>
      </c>
      <c r="D14" s="359" t="n">
        <v>442.0604712041885</v>
      </c>
      <c r="E14" s="66" t="n">
        <v>1018901.241538462</v>
      </c>
      <c r="F14" s="67" t="n">
        <v>84433.55</v>
      </c>
      <c r="G14" s="68" t="n">
        <v>2005</v>
      </c>
      <c r="H14" s="68" t="n">
        <v>191</v>
      </c>
      <c r="I14" s="68" t="n">
        <v>554</v>
      </c>
      <c r="J14" s="69" t="n">
        <v>4.1</v>
      </c>
      <c r="K14" s="69" t="inlineStr">
        <is>
          <t>https://amazon.com/dp/B09R3L5BP2</t>
        </is>
      </c>
      <c r="L14" s="183">
        <f>HYPERLINK(Table54[[#This Row],[Column1]])</f>
        <v/>
      </c>
    </row>
    <row r="15" ht="45" customHeight="1" s="314">
      <c r="A15" s="35" t="inlineStr">
        <is>
          <t>ANCEL AD410 PRO OBD2 Scanner and Battery Tester, 2-in-1 Car Diagnostic Tool, Check Engine Light, EVAP Test, Live Data, 12V Battery Analyzer with Cranking &amp; Charging System Test for Car Motorcycle</t>
        </is>
      </c>
      <c r="B15" s="35" t="inlineStr">
        <is>
          <t>B0BX3K8VGJ</t>
        </is>
      </c>
      <c r="C15" s="35" t="inlineStr">
        <is>
          <t>Handheld</t>
        </is>
      </c>
      <c r="D15" s="359" t="n">
        <v>62.35547598253275</v>
      </c>
      <c r="E15" s="66" t="n">
        <v>931202.0315384616</v>
      </c>
      <c r="F15" s="67" t="n">
        <v>71397.02</v>
      </c>
      <c r="G15" s="68" t="n">
        <v>12112</v>
      </c>
      <c r="H15" s="68" t="n">
        <v>1145</v>
      </c>
      <c r="I15" s="68" t="n">
        <v>4093</v>
      </c>
      <c r="J15" s="69" t="n">
        <v>4.6</v>
      </c>
      <c r="K15" s="69" t="inlineStr">
        <is>
          <t>https://amazon.com/dp/B0BX3K8VGJ</t>
        </is>
      </c>
      <c r="L15" s="183">
        <f>HYPERLINK(Table54[[#This Row],[Column1]])</f>
        <v/>
      </c>
    </row>
    <row r="16" ht="45" customHeight="1" s="314">
      <c r="A16" s="35" t="inlineStr">
        <is>
          <t>ANCEL VD500 OBD2 Scanner Diagnostic Tool for Volkswagen VW Audi Skoda Seat Diagnosis Check Engine Light EPB ABS SRS Code Reader Oil Throttle Position Adaption Brake Pad Reset</t>
        </is>
      </c>
      <c r="B16" s="35" t="inlineStr">
        <is>
          <t>B07BS7PDC2</t>
        </is>
      </c>
      <c r="C16" s="35" t="inlineStr">
        <is>
          <t>Handheld</t>
        </is>
      </c>
      <c r="D16" s="359" t="n">
        <v>65.69651651651652</v>
      </c>
      <c r="E16" s="66" t="n">
        <v>763249.91</v>
      </c>
      <c r="F16" s="67" t="n">
        <v>65630.82000000001</v>
      </c>
      <c r="G16" s="68" t="n">
        <v>11514</v>
      </c>
      <c r="H16" s="68" t="n">
        <v>999</v>
      </c>
      <c r="I16" s="68" t="n">
        <v>6329</v>
      </c>
      <c r="J16" s="69" t="n">
        <v>4.5</v>
      </c>
      <c r="K16" s="69" t="inlineStr">
        <is>
          <t>https://amazon.com/dp/B07BS7PDC2</t>
        </is>
      </c>
      <c r="L16" s="183">
        <f>HYPERLINK(Table54[[#This Row],[Column1]])</f>
        <v/>
      </c>
    </row>
    <row r="17" ht="45" customHeight="1" s="314">
      <c r="A17" s="35" t="inlineStr">
        <is>
          <t>ANCEL DS500 Elite Bidirectional Scan Tool, Full System Car Diagnostic Scanner with 28+ Services, Injector Coding, Active Test, ABS Bleeding Throttle BMS TPMS Reset, CAN-FD, FCA, Lifetime Free Update</t>
        </is>
      </c>
      <c r="B17" s="35" t="inlineStr">
        <is>
          <t>B0FVFQCJ41</t>
        </is>
      </c>
      <c r="C17" s="35" t="inlineStr">
        <is>
          <t>Tablet</t>
        </is>
      </c>
      <c r="D17" s="359" t="n">
        <v>476.8873015873016</v>
      </c>
      <c r="E17" s="66" t="n">
        <v>623999.630769231</v>
      </c>
      <c r="F17" s="67" t="n">
        <v>60087.8</v>
      </c>
      <c r="G17" s="68" t="n">
        <v>524</v>
      </c>
      <c r="H17" s="68" t="n">
        <v>126</v>
      </c>
      <c r="I17" s="68" t="n">
        <v>277</v>
      </c>
      <c r="J17" s="69" t="n">
        <v>4.3</v>
      </c>
      <c r="K17" s="69" t="inlineStr">
        <is>
          <t>https://amazon.com/dp/B0FVFQCJ41</t>
        </is>
      </c>
      <c r="L17" s="183">
        <f>HYPERLINK(Table54[[#This Row],[Column1]])</f>
        <v/>
      </c>
    </row>
    <row r="18" ht="45" customHeight="1" s="314">
      <c r="A18" s="35" t="inlineStr">
        <is>
          <t>ANCEL Heavy Duty Truck Scanner HD601 All System Diesel Diagnostic Scan Tool fits for Cummins, Detroit, Freightliner, International, Paccar, Check Engine for Truck &amp; Car 2 in 1 Code Reader</t>
        </is>
      </c>
      <c r="B18" s="35" t="inlineStr">
        <is>
          <t>B0B452YDWT</t>
        </is>
      </c>
      <c r="C18" s="35" t="inlineStr">
        <is>
          <t>Handheld</t>
        </is>
      </c>
      <c r="D18" s="359" t="n">
        <v>147.8879177377892</v>
      </c>
      <c r="E18" s="66" t="n">
        <v>1225123.98</v>
      </c>
      <c r="F18" s="67" t="n">
        <v>57528.4</v>
      </c>
      <c r="G18" s="68" t="n">
        <v>7816</v>
      </c>
      <c r="H18" s="68" t="n">
        <v>389</v>
      </c>
      <c r="I18" s="68" t="n">
        <v>637</v>
      </c>
      <c r="J18" s="69" t="n">
        <v>4</v>
      </c>
      <c r="K18" s="69" t="inlineStr">
        <is>
          <t>https://amazon.com/dp/B0B452YDWT</t>
        </is>
      </c>
      <c r="L18" s="183">
        <f>HYPERLINK(Table54[[#This Row],[Column1]])</f>
        <v/>
      </c>
    </row>
    <row r="19" ht="45" customHeight="1" s="314">
      <c r="A19" s="35" t="inlineStr">
        <is>
          <t>ANCEL HD110 Heavy Duty Truck Scanner with DPF Regen and Reset for Detroit Paccar Engine, Full System HDOBD &amp; OBD2 Scanner for Diesel Trucks Lifetime Free Updates</t>
        </is>
      </c>
      <c r="B19" s="35" t="inlineStr">
        <is>
          <t>B0D3F2953F</t>
        </is>
      </c>
      <c r="C19" s="35" t="inlineStr">
        <is>
          <t>Cable/Adapter</t>
        </is>
      </c>
      <c r="D19" s="359" t="n">
        <v>184.2611842105263</v>
      </c>
      <c r="E19" s="66" t="n">
        <v>606451.5900000001</v>
      </c>
      <c r="F19" s="67" t="n">
        <v>56015.4</v>
      </c>
      <c r="G19" s="68" t="n">
        <v>3429</v>
      </c>
      <c r="H19" s="68" t="n">
        <v>304</v>
      </c>
      <c r="I19" s="68" t="n">
        <v>185</v>
      </c>
      <c r="J19" s="69" t="n">
        <v>4.2</v>
      </c>
      <c r="K19" s="69" t="inlineStr">
        <is>
          <t>https://amazon.com/dp/B0D3F2953F</t>
        </is>
      </c>
      <c r="L19" s="183">
        <f>HYPERLINK(Table54[[#This Row],[Column1]])</f>
        <v/>
      </c>
    </row>
    <row r="20" ht="45" customHeight="1" s="314">
      <c r="A20" s="35" t="inlineStr">
        <is>
          <t>ANCEL DS200 Full System OBD2 Scanner with 15+ Reset Services - Oil/BMS/Brake Reset, DPF Regen, Injector Coding, ABS Bleeding, Free Lifetime Updates, Online Customer Service</t>
        </is>
      </c>
      <c r="B20" s="35" t="inlineStr">
        <is>
          <t>B0DHX29NMC</t>
        </is>
      </c>
      <c r="C20" s="35" t="inlineStr">
        <is>
          <t>Tablet</t>
        </is>
      </c>
      <c r="D20" s="359" t="n">
        <v>294.6341208791209</v>
      </c>
      <c r="E20" s="66" t="n">
        <v>727570.77</v>
      </c>
      <c r="F20" s="67" t="n">
        <v>53623.41</v>
      </c>
      <c r="G20" s="68" t="n">
        <v>2604</v>
      </c>
      <c r="H20" s="68" t="n">
        <v>182</v>
      </c>
      <c r="I20" s="68" t="n">
        <v>209</v>
      </c>
      <c r="J20" s="69" t="n">
        <v>4.3</v>
      </c>
      <c r="K20" s="69" t="inlineStr">
        <is>
          <t>https://amazon.com/dp/B0DHX29NMC</t>
        </is>
      </c>
      <c r="L20" s="183">
        <f>HYPERLINK(Table54[[#This Row],[Column1]])</f>
        <v/>
      </c>
    </row>
    <row r="21" ht="45" customHeight="1" s="314">
      <c r="A21" s="35" t="inlineStr">
        <is>
          <t>ANCEL BM500 OBD2 Scanner for BMW &amp; MINI, Simplified Battery Registration, EPB, Oil, Throttle, PCM Resets, I/M Readiness, Full System Diagnostics for Engine, Transmission, ABS, SRS, DSC &amp; More</t>
        </is>
      </c>
      <c r="B21" s="35" t="inlineStr">
        <is>
          <t>B08925H3H1</t>
        </is>
      </c>
      <c r="C21" s="35" t="inlineStr">
        <is>
          <t>Handheld</t>
        </is>
      </c>
      <c r="D21" s="359" t="n">
        <v>105.1284666666667</v>
      </c>
      <c r="E21" s="66" t="n">
        <v>476769.6499999999</v>
      </c>
      <c r="F21" s="67" t="n">
        <v>47307.81</v>
      </c>
      <c r="G21" s="68" t="n">
        <v>4868</v>
      </c>
      <c r="H21" s="68" t="n">
        <v>450</v>
      </c>
      <c r="I21" s="68" t="n">
        <v>881</v>
      </c>
      <c r="J21" s="69" t="n">
        <v>4.5</v>
      </c>
      <c r="K21" s="69" t="inlineStr">
        <is>
          <t>https://amazon.com/dp/B08925H3H1</t>
        </is>
      </c>
      <c r="L21" s="183">
        <f>HYPERLINK(Table54[[#This Row],[Column1]])</f>
        <v/>
      </c>
    </row>
    <row r="22" ht="45" customHeight="1" s="314">
      <c r="A22" s="35" t="inlineStr">
        <is>
          <t>ANCEL HD3600 Heavy Equipment Diagnostic Tool with D-P-F Regen, Full System Heavy Duty Truck Scanner Machinery Scanner Diesel Code Reader Fit for Cummins, Caterpillar, John Deere, Komatsu, Yanmar&amp;Case</t>
        </is>
      </c>
      <c r="B22" s="35" t="inlineStr">
        <is>
          <t>B0B1LD8663</t>
        </is>
      </c>
      <c r="C22" s="35" t="inlineStr">
        <is>
          <t>Tablet</t>
        </is>
      </c>
      <c r="D22" s="359" t="n">
        <v>494.7513829787234</v>
      </c>
      <c r="E22" s="66" t="n">
        <v>449699.31</v>
      </c>
      <c r="F22" s="67" t="n">
        <v>46506.63</v>
      </c>
      <c r="G22" s="68" t="n">
        <v>937</v>
      </c>
      <c r="H22" s="68" t="n">
        <v>94</v>
      </c>
      <c r="I22" s="68" t="n">
        <v>348</v>
      </c>
      <c r="J22" s="69" t="n">
        <v>3.9</v>
      </c>
      <c r="K22" s="69" t="inlineStr">
        <is>
          <t>https://amazon.com/dp/B0B1LD8663</t>
        </is>
      </c>
      <c r="L22" s="183">
        <f>HYPERLINK(Table54[[#This Row],[Column1]])</f>
        <v/>
      </c>
    </row>
    <row r="23" ht="45" customHeight="1" s="314">
      <c r="A23" s="35" t="inlineStr">
        <is>
          <t>ANCEL BD310 Bluetooth OBD2 Scanner, 2-in-1 Car Diagnostic Scan Tool &amp; Code Reader with App, Battery Test, Trip Analysis, Performance Test, for iPhone &amp; Android, All 1996+ Vehicles</t>
        </is>
      </c>
      <c r="B23" s="35" t="inlineStr">
        <is>
          <t>B07J51W9NS</t>
        </is>
      </c>
      <c r="C23" s="35" t="inlineStr">
        <is>
          <t>Handheld</t>
        </is>
      </c>
      <c r="D23" s="359" t="n">
        <v>59.07334630350195</v>
      </c>
      <c r="E23" s="66" t="n">
        <v>785997.5299999998</v>
      </c>
      <c r="F23" s="67" t="n">
        <v>45545.55</v>
      </c>
      <c r="G23" s="68" t="n">
        <v>12329</v>
      </c>
      <c r="H23" s="68" t="n">
        <v>771</v>
      </c>
      <c r="I23" s="68" t="n">
        <v>1574</v>
      </c>
      <c r="J23" s="69" t="n">
        <v>4.4</v>
      </c>
      <c r="K23" s="69" t="inlineStr">
        <is>
          <t>https://amazon.com/dp/B07J51W9NS</t>
        </is>
      </c>
      <c r="L23" s="183">
        <f>HYPERLINK(Table54[[#This Row],[Column1]])</f>
        <v/>
      </c>
    </row>
    <row r="24" ht="45" customHeight="1" s="314">
      <c r="A24" s="35" t="inlineStr">
        <is>
          <t>ANCEL HD7000 Elite 7" Heavy Duty Truck Scanner with DPF Regen, Speed/Idle Adjustment, Service Reset, Diagnostic Tool for Cummins Detroit CAT Volvo Paccar Mack International, Lifetime Free Updates</t>
        </is>
      </c>
      <c r="B24" s="35" t="inlineStr">
        <is>
          <t>B0FP9BMYKG</t>
        </is>
      </c>
      <c r="C24" s="35" t="inlineStr">
        <is>
          <t>Tablet</t>
        </is>
      </c>
      <c r="D24" s="359" t="n">
        <v>510.95275</v>
      </c>
      <c r="E24" s="66" t="n">
        <v>486296.9776923078</v>
      </c>
      <c r="F24" s="67" t="n">
        <v>40876.22</v>
      </c>
      <c r="G24" s="68" t="n">
        <v>418</v>
      </c>
      <c r="H24" s="68" t="n">
        <v>80</v>
      </c>
      <c r="I24" s="68" t="n">
        <v>77</v>
      </c>
      <c r="J24" s="69" t="n">
        <v>3.5</v>
      </c>
      <c r="K24" s="69" t="inlineStr">
        <is>
          <t>https://amazon.com/dp/B0FP9BMYKG</t>
        </is>
      </c>
      <c r="L24" s="183">
        <f>HYPERLINK(Table54[[#This Row],[Column1]])</f>
        <v/>
      </c>
    </row>
    <row r="25" ht="60" customHeight="1" s="314">
      <c r="A25" s="35" t="inlineStr">
        <is>
          <t>ANCEL AD530 OBD2 Scanner-Upgraded AD310, Car Code Reader for Check Engine Light, Full OBDII Scan Tool for Read &amp; Clear Fault Codes, Battery Test &amp; Live Data, OBD II Diagnostic Scanner for 1996+ Cars</t>
        </is>
      </c>
      <c r="B25" s="35" t="inlineStr">
        <is>
          <t>B07N66TTQG</t>
        </is>
      </c>
      <c r="C25" s="35" t="inlineStr">
        <is>
          <t>Handheld</t>
        </is>
      </c>
      <c r="D25" s="359" t="n">
        <v>63.87064263322884</v>
      </c>
      <c r="E25" s="66" t="n">
        <v>670695.59</v>
      </c>
      <c r="F25" s="67" t="n">
        <v>40749.47</v>
      </c>
      <c r="G25" s="68" t="n">
        <v>10286</v>
      </c>
      <c r="H25" s="68" t="n">
        <v>638</v>
      </c>
      <c r="I25" s="68" t="n">
        <v>4091</v>
      </c>
      <c r="J25" s="69" t="n">
        <v>4.5</v>
      </c>
      <c r="K25" s="69" t="inlineStr">
        <is>
          <t>https://amazon.com/dp/B07N66TTQG</t>
        </is>
      </c>
      <c r="L25" s="183">
        <f>HYPERLINK(Table54[[#This Row],[Column1]])</f>
        <v/>
      </c>
    </row>
    <row r="26" ht="45" customHeight="1" s="314">
      <c r="A26" s="35" t="inlineStr">
        <is>
          <t>ANCEL BD500 Bluetooth Diagnostic Scan Tool for VW Audi Seat Skoda Diagnosis, Full Systems Volkswagen OBD2 Scanner Vag Car Code Reader with Battery Check EPB Reset for iPhone, iPad &amp; Android</t>
        </is>
      </c>
      <c r="B26" s="35" t="inlineStr">
        <is>
          <t>B0B1MHSMBW</t>
        </is>
      </c>
      <c r="C26" s="35" t="inlineStr">
        <is>
          <t>Dongle</t>
        </is>
      </c>
      <c r="D26" s="359" t="n">
        <v>79.98407786885247</v>
      </c>
      <c r="E26" s="66" t="n">
        <v>120460.89</v>
      </c>
      <c r="F26" s="67" t="n">
        <v>39032.23</v>
      </c>
      <c r="G26" s="68" t="n">
        <v>1487</v>
      </c>
      <c r="H26" s="68" t="n">
        <v>488</v>
      </c>
      <c r="I26" s="68" t="n">
        <v>1713</v>
      </c>
      <c r="J26" s="69" t="n">
        <v>4.4</v>
      </c>
      <c r="K26" s="69" t="inlineStr">
        <is>
          <t>https://amazon.com/dp/B0B1MHSMBW</t>
        </is>
      </c>
      <c r="L26" s="183">
        <f>HYPERLINK(Table54[[#This Row],[Column1]])</f>
        <v/>
      </c>
    </row>
    <row r="27" ht="45" customHeight="1" s="314">
      <c r="A27" s="35" t="inlineStr">
        <is>
          <t>ANCEL DS100 OBD2 Scanner: Fix Check Engine, ABS, SRS &amp; Transmission Issues with 7 Resets (Oil/Brake/BMS/SAS/ABS Bleeding/Throttle/Gear Learning), Lifetime Updates, Code Reader for All Cars 1996+</t>
        </is>
      </c>
      <c r="B27" s="35" t="inlineStr">
        <is>
          <t>B0DHX8FFVR</t>
        </is>
      </c>
      <c r="C27" s="35" t="inlineStr">
        <is>
          <t>Tablet</t>
        </is>
      </c>
      <c r="D27" s="359" t="n">
        <v>210.3632960893855</v>
      </c>
      <c r="E27" s="66" t="n">
        <v>812948.8500000001</v>
      </c>
      <c r="F27" s="67" t="n">
        <v>37655.03</v>
      </c>
      <c r="G27" s="68" t="n">
        <v>4407</v>
      </c>
      <c r="H27" s="68" t="n">
        <v>179</v>
      </c>
      <c r="I27" s="68" t="n">
        <v>376</v>
      </c>
      <c r="J27" s="69" t="n">
        <v>4.4</v>
      </c>
      <c r="K27" s="69" t="inlineStr">
        <is>
          <t>https://amazon.com/dp/B0DHX8FFVR</t>
        </is>
      </c>
      <c r="L27" s="183">
        <f>HYPERLINK(Table54[[#This Row],[Column1]])</f>
        <v/>
      </c>
    </row>
    <row r="28" ht="45" customHeight="1" s="314">
      <c r="A28" s="35" t="inlineStr">
        <is>
          <t>ANCEL HD100 Heavy Duty Truck Scanner with DPF Regen for Cummins &amp; CAT Engines, Bluetooth Diesel Diagnostic Tool with All-System Scan, HDOBD &amp; OBD2 Code Reader for Semi Trucks, Lifetime Free Updates</t>
        </is>
      </c>
      <c r="B28" s="35" t="inlineStr">
        <is>
          <t>B0CQ4V8X9L</t>
        </is>
      </c>
      <c r="C28" s="35" t="inlineStr">
        <is>
          <t>Dongle</t>
        </is>
      </c>
      <c r="D28" s="359" t="n">
        <v>174.25896373057</v>
      </c>
      <c r="E28" s="66" t="n">
        <v>331337.22</v>
      </c>
      <c r="F28" s="67" t="n">
        <v>33631.98</v>
      </c>
      <c r="G28" s="68" t="n">
        <v>1796</v>
      </c>
      <c r="H28" s="68" t="n">
        <v>193</v>
      </c>
      <c r="I28" s="68" t="n">
        <v>186</v>
      </c>
      <c r="J28" s="69" t="n">
        <v>4.2</v>
      </c>
      <c r="K28" s="69" t="inlineStr">
        <is>
          <t>https://amazon.com/dp/B0CQ4V8X9L</t>
        </is>
      </c>
      <c r="L28" s="183">
        <f>HYPERLINK(Table54[[#This Row],[Column1]])</f>
        <v/>
      </c>
    </row>
    <row r="29" ht="45" customHeight="1" s="314">
      <c r="A29" s="35" t="inlineStr">
        <is>
          <t>ANCEL BD300 BMW Bluetooth OBD2 Scanner, Full System Code Reader and Diagnostic Tool for BMW with Battery Registration Service Reset EPB CBS ETC ABS Airbag &amp; Powerful OBD2 Functions</t>
        </is>
      </c>
      <c r="B29" s="35" t="inlineStr">
        <is>
          <t>B09ZPB3JV9</t>
        </is>
      </c>
      <c r="C29" s="35" t="inlineStr">
        <is>
          <t>Dongle</t>
        </is>
      </c>
      <c r="D29" s="359" t="n">
        <v>75.94614832535886</v>
      </c>
      <c r="E29" s="66" t="n">
        <v>189730.01</v>
      </c>
      <c r="F29" s="67" t="n">
        <v>31745.49</v>
      </c>
      <c r="G29" s="68" t="n">
        <v>2269</v>
      </c>
      <c r="H29" s="68" t="n">
        <v>418</v>
      </c>
      <c r="I29" s="68" t="n">
        <v>2231</v>
      </c>
      <c r="J29" s="69" t="n">
        <v>4.5</v>
      </c>
      <c r="K29" s="69" t="inlineStr">
        <is>
          <t>https://amazon.com/dp/B09ZPB3JV9</t>
        </is>
      </c>
      <c r="L29" s="183">
        <f>HYPERLINK(Table54[[#This Row],[Column1]])</f>
        <v/>
      </c>
    </row>
    <row r="30" ht="45" customHeight="1" s="314">
      <c r="A30" s="35" t="inlineStr">
        <is>
          <t>ANCEL HD430 Heavy Duty Truck Scanner, DPF Reset &amp; Forced Regeneration for Cummins &amp; Caterpillar Engine, Full System HDOBD Diesel Scanner OBD2 Diagnostic Scan Tool Code Reader for Diesel Trucks &amp; Cars</t>
        </is>
      </c>
      <c r="B30" s="35" t="inlineStr">
        <is>
          <t>B0DBH27CQS</t>
        </is>
      </c>
      <c r="C30" s="35" t="inlineStr">
        <is>
          <t>Tablet</t>
        </is>
      </c>
      <c r="D30" s="359" t="n">
        <v>259.872735042735</v>
      </c>
      <c r="E30" s="66" t="n">
        <v>585727.41</v>
      </c>
      <c r="F30" s="67" t="n">
        <v>30405.11</v>
      </c>
      <c r="G30" s="68" t="n">
        <v>2127</v>
      </c>
      <c r="H30" s="68" t="n">
        <v>117</v>
      </c>
      <c r="I30" s="68" t="n">
        <v>640</v>
      </c>
      <c r="J30" s="69" t="n">
        <v>4</v>
      </c>
      <c r="K30" s="69" t="inlineStr">
        <is>
          <t>https://amazon.com/dp/B0DBH27CQS</t>
        </is>
      </c>
      <c r="L30" s="183">
        <f>HYPERLINK(Table54[[#This Row],[Column1]])</f>
        <v/>
      </c>
    </row>
    <row r="31" ht="45" customHeight="1" s="314">
      <c r="A31" s="35" t="inlineStr">
        <is>
          <t>ANCEL MT700 Motorcycle OBD2 Scanner Full Systems, ABS Transmission Diagnostic Tool with 35+ Reset Functions for Aprilia/Benelli/MMW/BRP/Ducati/Harley/Honda/Indian/Suzuki,Android, 7” Touch Screen, 16GB</t>
        </is>
      </c>
      <c r="B31" s="35" t="inlineStr">
        <is>
          <t>B0BMZW65LJ</t>
        </is>
      </c>
      <c r="C31" s="35" t="inlineStr">
        <is>
          <t>Tablet</t>
        </is>
      </c>
      <c r="D31" s="359" t="n">
        <v>1000.519310344828</v>
      </c>
      <c r="E31" s="66" t="n">
        <v>141223.82</v>
      </c>
      <c r="F31" s="67" t="n">
        <v>29015.06</v>
      </c>
      <c r="G31" s="68" t="n">
        <v>142</v>
      </c>
      <c r="H31" s="68" t="n">
        <v>29</v>
      </c>
      <c r="I31" s="68" t="n">
        <v>882</v>
      </c>
      <c r="J31" s="69" t="n">
        <v>4.5</v>
      </c>
      <c r="K31" s="69" t="inlineStr">
        <is>
          <t>https://amazon.com/dp/B0BMZW65LJ</t>
        </is>
      </c>
      <c r="L31" s="183">
        <f>HYPERLINK(Table54[[#This Row],[Column1]])</f>
        <v/>
      </c>
    </row>
    <row r="32" ht="45" customHeight="1" s="314">
      <c r="A32" s="35" t="inlineStr">
        <is>
          <t>ANCEL MT500 PRO Motorcycle Scanner, Full-System OBD2 Diagnostic Tool with Quick Service Resets &amp; Advanced Programming, Fits for Harley, Honda, Yamaha, Indian, Kawasaki, Suzuki, Polaris, BRP, Victory</t>
        </is>
      </c>
      <c r="B32" s="35" t="inlineStr">
        <is>
          <t>B0BN1YCCD8</t>
        </is>
      </c>
      <c r="C32" s="35" t="inlineStr">
        <is>
          <t>Tablet</t>
        </is>
      </c>
      <c r="D32" s="359" t="n">
        <v>543.1451999999999</v>
      </c>
      <c r="E32" s="66" t="n">
        <v>160976.99</v>
      </c>
      <c r="F32" s="67" t="n">
        <v>27157.26</v>
      </c>
      <c r="G32" s="68" t="n">
        <v>291</v>
      </c>
      <c r="H32" s="68" t="n">
        <v>50</v>
      </c>
      <c r="I32" s="68" t="n">
        <v>130</v>
      </c>
      <c r="J32" s="69" t="n">
        <v>4.1</v>
      </c>
      <c r="K32" s="69" t="inlineStr">
        <is>
          <t>https://amazon.com/dp/B0BN1YCCD8</t>
        </is>
      </c>
      <c r="L32" s="183">
        <f>HYPERLINK(Table54[[#This Row],[Column1]])</f>
        <v/>
      </c>
    </row>
    <row r="33" ht="60" customHeight="1" s="314">
      <c r="A33" s="35" t="inlineStr">
        <is>
          <t>ANCEL HD431 Heavy Duty Truck Scanner, DPF Regen &amp; Forced Reset for Paccar &amp; Detroit Engines, Full System Diagnostics Diesel Code Reader, Professional OBD2/HDOBD Mechanic Tool for Commercial Vehicles</t>
        </is>
      </c>
      <c r="B33" s="35" t="inlineStr">
        <is>
          <t>B0DB86T5F5</t>
        </is>
      </c>
      <c r="C33" s="35" t="inlineStr">
        <is>
          <t>Tablet</t>
        </is>
      </c>
      <c r="D33" s="359" t="n">
        <v>282.1613483146068</v>
      </c>
      <c r="E33" s="66" t="n">
        <v>190530.94</v>
      </c>
      <c r="F33" s="67" t="n">
        <v>25112.36</v>
      </c>
      <c r="G33" s="68" t="n">
        <v>655</v>
      </c>
      <c r="H33" s="68" t="n">
        <v>89</v>
      </c>
      <c r="I33" s="68" t="n">
        <v>197</v>
      </c>
      <c r="J33" s="69" t="n">
        <v>4.3</v>
      </c>
      <c r="K33" s="69" t="inlineStr">
        <is>
          <t>https://amazon.com/dp/B0DB86T5F5</t>
        </is>
      </c>
      <c r="L33" s="183">
        <f>HYPERLINK(Table54[[#This Row],[Column1]])</f>
        <v/>
      </c>
    </row>
    <row r="34" ht="45" customHeight="1" s="314">
      <c r="A34" s="35" t="inlineStr">
        <is>
          <t>ANCEL VD700 OBD2 Diagnostic Code Reader Scan Tool Fit for Volkswagen Audi VW Skoda Seat, All Functions OBD11 Scanner for VAG Vehicles with Battery Registration EPB Reset (Upgraded VD500)</t>
        </is>
      </c>
      <c r="B34" s="35" t="inlineStr">
        <is>
          <t>B07WD9B7GR</t>
        </is>
      </c>
      <c r="C34" s="35" t="inlineStr">
        <is>
          <t>Handheld</t>
        </is>
      </c>
      <c r="D34" s="359" t="n">
        <v>145.5480952380952</v>
      </c>
      <c r="E34" s="66" t="n">
        <v>788081.71</v>
      </c>
      <c r="F34" s="67" t="n">
        <v>21395.57</v>
      </c>
      <c r="G34" s="68" t="n">
        <v>5726</v>
      </c>
      <c r="H34" s="68" t="n">
        <v>147</v>
      </c>
      <c r="I34" s="68" t="n">
        <v>1709</v>
      </c>
      <c r="J34" s="69" t="n">
        <v>4.4</v>
      </c>
      <c r="K34" s="69" t="inlineStr">
        <is>
          <t>https://amazon.com/dp/B07WD9B7GR</t>
        </is>
      </c>
      <c r="L34" s="183">
        <f>HYPERLINK(Table54[[#This Row],[Column1]])</f>
        <v/>
      </c>
    </row>
    <row r="35" ht="45" customHeight="1" s="314">
      <c r="A35" s="35" t="inlineStr">
        <is>
          <t>ANCEL BM700 PRO Fit for BMW Scanner - Battery Registration Tool, Code Reader for BMW/Mini/RR, Advanced OBD2 Scanner Auto V-I-N, Full System Diagnostic for BMW Scan Tool with All Reset Services (Blue)</t>
        </is>
      </c>
      <c r="B35" s="35" t="inlineStr">
        <is>
          <t>B0F7R3JGYM</t>
        </is>
      </c>
      <c r="C35" s="35" t="inlineStr">
        <is>
          <t>Handheld</t>
        </is>
      </c>
      <c r="D35" s="359" t="n">
        <v>143.8791509433962</v>
      </c>
      <c r="E35" s="66" t="n">
        <v>528191.4046153846</v>
      </c>
      <c r="F35" s="67" t="n">
        <v>15251.19</v>
      </c>
      <c r="G35" s="68" t="n">
        <v>3313</v>
      </c>
      <c r="H35" s="68" t="n">
        <v>106</v>
      </c>
      <c r="I35" s="68" t="n">
        <v>2228</v>
      </c>
      <c r="J35" s="69" t="n">
        <v>4.5</v>
      </c>
      <c r="K35" s="69" t="inlineStr">
        <is>
          <t>https://amazon.com/dp/B0F7R3JGYM</t>
        </is>
      </c>
      <c r="L35" s="183">
        <f>HYPERLINK(Table54[[#This Row],[Column1]])</f>
        <v/>
      </c>
    </row>
    <row r="36" ht="45" customHeight="1" s="314">
      <c r="A36" s="35" t="inlineStr">
        <is>
          <t>ANCEL MR500 Marine Diagnostic Tool for Yamaha (2003–2024) – Jet Ski &amp; Outboard Engine Scanner, 15+ Service Functions, Read/Clear Codes, Live Data, Active Tests</t>
        </is>
      </c>
      <c r="B36" s="35" t="inlineStr">
        <is>
          <t>B0CQNVYKDH</t>
        </is>
      </c>
      <c r="C36" s="35" t="inlineStr">
        <is>
          <t>Tablet</t>
        </is>
      </c>
      <c r="D36" s="359" t="n">
        <v>690.0427272727273</v>
      </c>
      <c r="E36" s="66" t="n">
        <v>102387.71</v>
      </c>
      <c r="F36" s="67" t="n">
        <v>15180.94</v>
      </c>
      <c r="G36" s="68" t="n">
        <v>142</v>
      </c>
      <c r="H36" s="68" t="n">
        <v>22</v>
      </c>
      <c r="I36" s="68" t="n">
        <v>9</v>
      </c>
      <c r="J36" s="69" t="n">
        <v>4.1</v>
      </c>
      <c r="K36" s="69" t="inlineStr">
        <is>
          <t>https://amazon.com/dp/B0CQNVYKDH</t>
        </is>
      </c>
      <c r="L36" s="183">
        <f>HYPERLINK(Table54[[#This Row],[Column1]])</f>
        <v/>
      </c>
    </row>
    <row r="37" ht="45" customHeight="1" s="314">
      <c r="A37" s="35" t="inlineStr">
        <is>
          <t>ANCEL V5 HD PRO Heavy Duty Truck Scanner, New Bi-Directional Control Diesel Scanner, Full System Diagnostic Scan Tool with 40+ Resets, ABS SRS D-P-F Regen for Semi Trucks Commercial Vehicles</t>
        </is>
      </c>
      <c r="B37" s="35" t="inlineStr">
        <is>
          <t>B0FH4FPPLL</t>
        </is>
      </c>
      <c r="C37" s="35" t="inlineStr">
        <is>
          <t>Tablet</t>
        </is>
      </c>
      <c r="D37" s="359" t="n">
        <v>711.8111111111111</v>
      </c>
      <c r="E37" s="66" t="n">
        <v>175179.466923077</v>
      </c>
      <c r="F37" s="67" t="n">
        <v>12812.6</v>
      </c>
      <c r="G37" s="68" t="n">
        <v>164</v>
      </c>
      <c r="H37" s="68" t="n">
        <v>18</v>
      </c>
      <c r="I37" s="68" t="n">
        <v>172</v>
      </c>
      <c r="J37" s="69" t="n">
        <v>4.2</v>
      </c>
      <c r="K37" s="69" t="inlineStr">
        <is>
          <t>https://amazon.com/dp/B0FH4FPPLL</t>
        </is>
      </c>
      <c r="L37" s="183">
        <f>HYPERLINK(Table54[[#This Row],[Column1]])</f>
        <v/>
      </c>
    </row>
    <row r="38" ht="45" customHeight="1" s="314">
      <c r="A38" s="35" t="inlineStr">
        <is>
          <t>ANCEL FX6000 Bidirectional OBD2 Scanner - ABS, SRS, Transmission &amp; Engine, Car Scanner Diagnostic Tool with Oil/EPB/BMS/SAS Reset, ABS Bleeding, Auto Scan, CAN FD &amp; FCA, Free Update, Report Sharing ﻿</t>
        </is>
      </c>
      <c r="B38" s="35" t="inlineStr">
        <is>
          <t>B0F38MDM2H</t>
        </is>
      </c>
      <c r="C38" s="35" t="inlineStr">
        <is>
          <t>Tablet</t>
        </is>
      </c>
      <c r="D38" s="359" t="n">
        <v>259.0585714285714</v>
      </c>
      <c r="E38" s="66" t="n">
        <v>344623.7384615384</v>
      </c>
      <c r="F38" s="67" t="n">
        <v>12693.87</v>
      </c>
      <c r="G38" s="68" t="n">
        <v>1468</v>
      </c>
      <c r="H38" s="68" t="n">
        <v>49</v>
      </c>
      <c r="I38" s="68" t="n">
        <v>167</v>
      </c>
      <c r="J38" s="69" t="n">
        <v>4.4</v>
      </c>
      <c r="K38" s="69" t="inlineStr">
        <is>
          <t>https://amazon.com/dp/B0F38MDM2H</t>
        </is>
      </c>
      <c r="L38" s="183">
        <f>HYPERLINK(Table54[[#This Row],[Column1]])</f>
        <v/>
      </c>
    </row>
    <row r="39" ht="30" customHeight="1" s="314">
      <c r="A39" s="35" t="inlineStr">
        <is>
          <t>ANCEL Heavy Duty Truck Scanner HD601 All System Diesel Diagnostic Scan Tool fits for Cummins, Detroit, Freightliner, International, Paccar, Check Engine for Truck &amp; Car 2 in 1 Code Reader (Gray)</t>
        </is>
      </c>
      <c r="B39" s="35" t="inlineStr">
        <is>
          <t>B0G2XHXW61</t>
        </is>
      </c>
      <c r="C39" s="35" t="inlineStr">
        <is>
          <t>Handheld</t>
        </is>
      </c>
      <c r="D39" s="359" t="n">
        <v>169.2532307692308</v>
      </c>
      <c r="E39" s="66" t="n">
        <v>122708.5923076923</v>
      </c>
      <c r="F39" s="67" t="n">
        <v>11001.46</v>
      </c>
      <c r="G39" s="68" t="n">
        <v>65</v>
      </c>
      <c r="H39" s="68" t="n">
        <v>65</v>
      </c>
      <c r="I39" s="68" t="n">
        <v>640</v>
      </c>
      <c r="J39" s="69" t="n">
        <v>4</v>
      </c>
      <c r="K39" s="69" t="inlineStr">
        <is>
          <t>https://amazon.com/dp/B0G2XHXW61</t>
        </is>
      </c>
      <c r="L39" s="183">
        <f>HYPERLINK(Table54[[#This Row],[Column1]])</f>
        <v/>
      </c>
    </row>
    <row r="40" ht="45" customHeight="1" s="314">
      <c r="A40" s="35" t="inlineStr">
        <is>
          <t>ANCEL HD200 Bluetooth Heavy Duty Truck Scanner, Speed Limit and Idle Reset for Cummins &amp; Caterpillar Engines, J1939/J1708 Diesel Code Reader &amp; All-System Diagnostic Tool, Lifetime Free Updates</t>
        </is>
      </c>
      <c r="B40" s="35" t="inlineStr">
        <is>
          <t>B0D9JYL5Y5</t>
        </is>
      </c>
      <c r="C40" s="35" t="inlineStr">
        <is>
          <t>Cable/Adapter</t>
        </is>
      </c>
      <c r="D40" s="359" t="n">
        <v>175.8375</v>
      </c>
      <c r="E40" s="66" t="n">
        <v>174453.09</v>
      </c>
      <c r="F40" s="67" t="n">
        <v>10550.25</v>
      </c>
      <c r="G40" s="68" t="n">
        <v>942</v>
      </c>
      <c r="H40" s="68" t="n">
        <v>60</v>
      </c>
      <c r="I40" s="68" t="n">
        <v>111</v>
      </c>
      <c r="J40" s="69" t="n">
        <v>3.6</v>
      </c>
      <c r="K40" s="69" t="inlineStr">
        <is>
          <t>https://amazon.com/dp/B0D9JYL5Y5</t>
        </is>
      </c>
      <c r="L40" s="183">
        <f>HYPERLINK(Table54[[#This Row],[Column1]])</f>
        <v/>
      </c>
    </row>
    <row r="41" ht="45" customHeight="1" s="314">
      <c r="A41" s="35" t="inlineStr">
        <is>
          <t>ANCEL FD500 OBD2 Scanner fits for Ford Lincoln Mercury - All Systems Code Reader with Engine, ABS, SRS, Transmission, 4WD Diagnostics - Scan Tool with EPB, Throttle, Oil Reset, Battery Registration</t>
        </is>
      </c>
      <c r="B41" s="35" t="inlineStr">
        <is>
          <t>B08F7XXLW8</t>
        </is>
      </c>
      <c r="C41" s="35" t="inlineStr">
        <is>
          <t>Handheld</t>
        </is>
      </c>
      <c r="D41" s="359" t="n">
        <v>105.3228723404255</v>
      </c>
      <c r="E41" s="66" t="n">
        <v>128512.7975</v>
      </c>
      <c r="F41" s="67" t="n">
        <v>9900.35</v>
      </c>
      <c r="G41" s="68" t="n">
        <v>1327</v>
      </c>
      <c r="H41" s="68" t="n">
        <v>94</v>
      </c>
      <c r="I41" s="68" t="n">
        <v>551</v>
      </c>
      <c r="J41" s="69" t="n">
        <v>4.1</v>
      </c>
      <c r="K41" s="69" t="inlineStr">
        <is>
          <t>https://amazon.com/dp/B08F7XXLW8</t>
        </is>
      </c>
      <c r="L41" s="183">
        <f>HYPERLINK(Table54[[#This Row],[Column1]])</f>
        <v/>
      </c>
    </row>
    <row r="42" ht="45" customHeight="1" s="314">
      <c r="A42" s="35" t="inlineStr">
        <is>
          <t>ANCEL FD700 Ford Lincoln Mercury OBD2 Scanner, Full System Automotive Car Code Reader with All Functions, Including Battery Registration ABS SRS SAS BMS Oil Reset TPMS Engine IQA EPB Regen</t>
        </is>
      </c>
      <c r="B42" s="35" t="inlineStr">
        <is>
          <t>B08DQV1G7S</t>
        </is>
      </c>
      <c r="C42" s="35" t="inlineStr">
        <is>
          <t>Handheld</t>
        </is>
      </c>
      <c r="D42" s="359" t="n">
        <v>121.2924675324675</v>
      </c>
      <c r="E42" s="66" t="n">
        <v>44434.83538461538</v>
      </c>
      <c r="F42" s="67" t="n">
        <v>9339.52</v>
      </c>
      <c r="G42" s="68" t="n">
        <v>280</v>
      </c>
      <c r="H42" s="68" t="n">
        <v>77</v>
      </c>
      <c r="I42" s="68" t="n">
        <v>243</v>
      </c>
      <c r="J42" s="69" t="n">
        <v>4.4</v>
      </c>
      <c r="K42" s="69" t="inlineStr">
        <is>
          <t>https://amazon.com/dp/B08DQV1G7S</t>
        </is>
      </c>
      <c r="L42" s="183">
        <f>HYPERLINK(Table54[[#This Row],[Column1]])</f>
        <v/>
      </c>
    </row>
    <row r="43" ht="45" customHeight="1" s="314">
      <c r="A43" s="35" t="inlineStr">
        <is>
          <t>ANCEL AD530 PRO 2 in 1 OBD2 Scanner &amp; Car Battery Tester, Car Scanner Diagnostic Tool with Live Data, 12V Battery Tester with Charging &amp; Cranking Test, Check Engine Code Reader for 1996+ Vehicles</t>
        </is>
      </c>
      <c r="B43" s="35" t="inlineStr">
        <is>
          <t>B0D6R66XZ5</t>
        </is>
      </c>
      <c r="C43" s="35" t="inlineStr">
        <is>
          <t>Handheld</t>
        </is>
      </c>
      <c r="D43" s="359" t="n">
        <v>86.90604166666667</v>
      </c>
      <c r="E43" s="66" t="n">
        <v>125047.7523076923</v>
      </c>
      <c r="F43" s="67" t="n">
        <v>8342.98</v>
      </c>
      <c r="G43" s="68" t="n">
        <v>1213</v>
      </c>
      <c r="H43" s="68" t="n">
        <v>96</v>
      </c>
      <c r="I43" s="68" t="n">
        <v>162</v>
      </c>
      <c r="J43" s="69" t="n">
        <v>4.6</v>
      </c>
      <c r="K43" s="69" t="inlineStr">
        <is>
          <t>https://amazon.com/dp/B0D6R66XZ5</t>
        </is>
      </c>
      <c r="L43" s="183">
        <f>HYPERLINK(Table54[[#This Row],[Column1]])</f>
        <v/>
      </c>
    </row>
    <row r="44" ht="45" customHeight="1" s="314">
      <c r="A44" s="35" t="inlineStr">
        <is>
          <t>ANCEL BZ700 Mercedes Benz Sprinter Smart OBD2 Scanner, Full System Automotive Car Code Reader with All Reset Services, Battery Registration ABS Bleed Airbag EPB Oil SAS TPS CKP Active Test</t>
        </is>
      </c>
      <c r="B44" s="35" t="inlineStr">
        <is>
          <t>B0B2NR31DQ</t>
        </is>
      </c>
      <c r="C44" s="35" t="inlineStr">
        <is>
          <t>Handheld</t>
        </is>
      </c>
      <c r="D44" s="359" t="n">
        <v>129.3881967213115</v>
      </c>
      <c r="E44" s="66" t="n">
        <v>68473.37000000001</v>
      </c>
      <c r="F44" s="67" t="n">
        <v>7892.68</v>
      </c>
      <c r="G44" s="68" t="n">
        <v>529</v>
      </c>
      <c r="H44" s="68" t="n">
        <v>61</v>
      </c>
      <c r="I44" s="68" t="n">
        <v>228</v>
      </c>
      <c r="J44" s="69" t="n">
        <v>3.7</v>
      </c>
      <c r="K44" s="69" t="inlineStr">
        <is>
          <t>https://amazon.com/dp/B0B2NR31DQ</t>
        </is>
      </c>
      <c r="L44" s="183">
        <f>HYPERLINK(Table54[[#This Row],[Column1]])</f>
        <v/>
      </c>
    </row>
    <row r="45" ht="45" customHeight="1" s="314">
      <c r="A45" s="35" t="inlineStr">
        <is>
          <t>ANCEL Protective Case Storage Bag for OBD2 Scanner Code Reader Diagnostic Scan Tool Battery Tester</t>
        </is>
      </c>
      <c r="B45" s="35" t="inlineStr">
        <is>
          <t>B07B49PHXD</t>
        </is>
      </c>
      <c r="C45" s="35" t="inlineStr">
        <is>
          <t>Other</t>
        </is>
      </c>
      <c r="D45" s="359" t="n">
        <v>20.49767195767196</v>
      </c>
      <c r="E45" s="66" t="n">
        <v>114324.2723076923</v>
      </c>
      <c r="F45" s="67" t="n">
        <v>7748.12</v>
      </c>
      <c r="G45" s="68" t="n">
        <v>4288</v>
      </c>
      <c r="H45" s="68" t="n">
        <v>378</v>
      </c>
      <c r="I45" s="68" t="n">
        <v>4095</v>
      </c>
      <c r="J45" s="69" t="n">
        <v>4.6</v>
      </c>
      <c r="K45" s="69" t="inlineStr">
        <is>
          <t>https://amazon.com/dp/B07B49PHXD</t>
        </is>
      </c>
      <c r="L45" s="183">
        <f>HYPERLINK(Table54[[#This Row],[Column1]])</f>
        <v/>
      </c>
    </row>
    <row r="46" ht="45" customHeight="1" s="314">
      <c r="A46" s="35" t="inlineStr">
        <is>
          <t>ANCEL FX2000-US OBD2 Scanner Diagnostic Tool, ABS SRS Transmission Airbag Car Scanner, Check Engine Car Code Reader, Automotive Diagnostic Tool Lifetime Free Upgrade</t>
        </is>
      </c>
      <c r="B46" s="35" t="inlineStr">
        <is>
          <t>B07N69PC3D</t>
        </is>
      </c>
      <c r="C46" s="35" t="inlineStr">
        <is>
          <t>Tablet</t>
        </is>
      </c>
      <c r="D46" s="359" t="n">
        <v>171.106</v>
      </c>
      <c r="E46" s="66" t="n">
        <v>431099.4300000001</v>
      </c>
      <c r="F46" s="67" t="n">
        <v>7699.77</v>
      </c>
      <c r="G46" s="68" t="n">
        <v>2937</v>
      </c>
      <c r="H46" s="68" t="n">
        <v>45</v>
      </c>
      <c r="I46" s="68" t="n">
        <v>4067</v>
      </c>
      <c r="J46" s="69" t="n">
        <v>4.3</v>
      </c>
      <c r="K46" s="69" t="inlineStr">
        <is>
          <t>https://amazon.com/dp/B07N69PC3D</t>
        </is>
      </c>
      <c r="L46" s="183">
        <f>HYPERLINK(Table54[[#This Row],[Column1]])</f>
        <v/>
      </c>
    </row>
    <row r="47" ht="45" customHeight="1" s="314">
      <c r="A47" s="35" t="inlineStr">
        <is>
          <t>ANCEL VOD700 All System OBD2 Scanner Fits for Volvo Car Code Reader Full Function Diagnostic Scan Tool ABS Bleeding Injector Oil ETC SRL BMS EPB TPMS Reset Tool</t>
        </is>
      </c>
      <c r="B47" s="35" t="inlineStr">
        <is>
          <t>B0B45WGSDX</t>
        </is>
      </c>
      <c r="C47" s="35" t="inlineStr">
        <is>
          <t>Handheld</t>
        </is>
      </c>
      <c r="D47" s="359" t="n">
        <v>129.7367857142857</v>
      </c>
      <c r="E47" s="66" t="n">
        <v>73901.41</v>
      </c>
      <c r="F47" s="67" t="n">
        <v>7265.26</v>
      </c>
      <c r="G47" s="68" t="n">
        <v>569</v>
      </c>
      <c r="H47" s="68" t="n">
        <v>56</v>
      </c>
      <c r="I47" s="68" t="n">
        <v>137</v>
      </c>
      <c r="J47" s="69" t="n">
        <v>4</v>
      </c>
      <c r="K47" s="69" t="inlineStr">
        <is>
          <t>https://amazon.com/dp/B0B45WGSDX</t>
        </is>
      </c>
      <c r="L47" s="183">
        <f>HYPERLINK(Table54[[#This Row],[Column1]])</f>
        <v/>
      </c>
    </row>
    <row r="48" ht="45" customHeight="1" s="314">
      <c r="A48" s="35" t="inlineStr">
        <is>
          <t>ANCEL OBD2 Scanner V5BT-US All Systems Bidirectional Scan Tool, Wireless Car Scanner with Active Test,Oil/TPMS/EPB/BMS/SAS/DPF/Throttle Reset, ABS Bleeding, Car Diagnostic Tool for All Vehicles</t>
        </is>
      </c>
      <c r="B48" s="35" t="inlineStr">
        <is>
          <t>B0CP2PFJWS</t>
        </is>
      </c>
      <c r="C48" s="35" t="inlineStr">
        <is>
          <t>Tablet</t>
        </is>
      </c>
      <c r="D48" s="359" t="n">
        <v>406.516875</v>
      </c>
      <c r="E48" s="66" t="n">
        <v>81253.32999999999</v>
      </c>
      <c r="F48" s="67" t="n">
        <v>6504.27</v>
      </c>
      <c r="G48" s="68" t="n">
        <v>177</v>
      </c>
      <c r="H48" s="68" t="n">
        <v>16</v>
      </c>
      <c r="I48" s="68" t="n">
        <v>77</v>
      </c>
      <c r="J48" s="69" t="n">
        <v>4.5</v>
      </c>
      <c r="K48" s="69" t="inlineStr">
        <is>
          <t>https://amazon.com/dp/B0CP2PFJWS</t>
        </is>
      </c>
      <c r="L48" s="183">
        <f>HYPERLINK(Table54[[#This Row],[Column1]])</f>
        <v/>
      </c>
    </row>
    <row r="49" ht="45" customHeight="1" s="314">
      <c r="A49" s="35" t="inlineStr">
        <is>
          <t>ANCEL HD120 Heavy Duty Truck Scanner with DPF Regen for Volvo &amp; International MaxxForce Engine, Full-System HDOBD &amp; OBD2 Diesel Truck Diagnostic Tool, Lifetime Free Updates</t>
        </is>
      </c>
      <c r="B49" s="35" t="inlineStr">
        <is>
          <t>B0F8MY1FJQ</t>
        </is>
      </c>
      <c r="C49" s="35" t="inlineStr">
        <is>
          <t>Tablet</t>
        </is>
      </c>
      <c r="D49" s="359" t="n">
        <v>179.2768571428571</v>
      </c>
      <c r="E49" s="66" t="n">
        <v>126030.8961538462</v>
      </c>
      <c r="F49" s="67" t="n">
        <v>6274.69</v>
      </c>
      <c r="G49" s="68" t="n">
        <v>550</v>
      </c>
      <c r="H49" s="68" t="n">
        <v>35</v>
      </c>
      <c r="I49" s="68" t="n">
        <v>74</v>
      </c>
      <c r="J49" s="69" t="n">
        <v>3.7</v>
      </c>
      <c r="K49" s="69" t="inlineStr">
        <is>
          <t>https://amazon.com/dp/B0F8MY1FJQ</t>
        </is>
      </c>
      <c r="L49" s="183">
        <f>HYPERLINK(Table54[[#This Row],[Column1]])</f>
        <v/>
      </c>
    </row>
    <row r="50" ht="60" customHeight="1" s="314">
      <c r="A50" s="35" t="inlineStr">
        <is>
          <t>ANCEL BM700 PRO Fit for BMW Scanner - Battery Registration Tool, Code Reader for BMW/Mini/RR, Advanced OBD2 Scanner Auto V-I-N, Full System Diagnostic for BMW Scan Tool with All Reset Services (Red)</t>
        </is>
      </c>
      <c r="B50" s="35" t="inlineStr">
        <is>
          <t>B0F7R5J5Y6</t>
        </is>
      </c>
      <c r="C50" s="35" t="inlineStr">
        <is>
          <t>Handheld</t>
        </is>
      </c>
      <c r="D50" s="359" t="n">
        <v>147.0736585365854</v>
      </c>
      <c r="E50" s="66" t="n">
        <v>174035.4369230769</v>
      </c>
      <c r="F50" s="67" t="n">
        <v>6030.02</v>
      </c>
      <c r="G50" s="68" t="n">
        <v>1070</v>
      </c>
      <c r="H50" s="68" t="n">
        <v>41</v>
      </c>
      <c r="I50" s="68" t="n">
        <v>2228</v>
      </c>
      <c r="J50" s="69" t="n">
        <v>4.5</v>
      </c>
      <c r="K50" s="69" t="inlineStr">
        <is>
          <t>https://amazon.com/dp/B0F7R5J5Y6</t>
        </is>
      </c>
      <c r="L50" s="183">
        <f>HYPERLINK(Table54[[#This Row],[Column1]])</f>
        <v/>
      </c>
    </row>
    <row r="51" ht="45" customHeight="1" s="314">
      <c r="A51" s="35" t="inlineStr">
        <is>
          <t>ANCEL TD700 Fits for Toyota OBD2 Scanner, Engine Car Diagnostic Scan Tool Fit for Toyota Lexus Scion, All System Code Reader Reading/Erasing Code,1996-2021</t>
        </is>
      </c>
      <c r="B51" s="35" t="inlineStr">
        <is>
          <t>B0BLYXVR4K</t>
        </is>
      </c>
      <c r="C51" s="35" t="inlineStr">
        <is>
          <t>Handheld</t>
        </is>
      </c>
      <c r="D51" s="359" t="n">
        <v>141.4154761904762</v>
      </c>
      <c r="E51" s="66" t="n">
        <v>59772.5</v>
      </c>
      <c r="F51" s="67" t="n">
        <v>5939.45</v>
      </c>
      <c r="G51" s="68" t="n">
        <v>429</v>
      </c>
      <c r="H51" s="68" t="n">
        <v>42</v>
      </c>
      <c r="I51" s="68" t="n">
        <v>174</v>
      </c>
      <c r="J51" s="69" t="n">
        <v>4.1</v>
      </c>
      <c r="K51" s="69" t="inlineStr">
        <is>
          <t>https://amazon.com/dp/B0BLYXVR4K</t>
        </is>
      </c>
      <c r="L51" s="183">
        <f>HYPERLINK(Table54[[#This Row],[Column1]])</f>
        <v/>
      </c>
    </row>
    <row r="52" ht="45" customHeight="1" s="314">
      <c r="A52" s="35" t="inlineStr">
        <is>
          <t>(Upgraded BD310) ANCEL BD330 Fit for BMW OBD2 Scanner – Battery Registration Tool, Code Reader for BMW/Mini/RR, BMW Diagnostic Scan Tool with Full System Diagnostics &amp; Free EPB/Oil/Throttle Resets</t>
        </is>
      </c>
      <c r="B52" s="35" t="inlineStr">
        <is>
          <t>B0CT39TV55</t>
        </is>
      </c>
      <c r="C52" s="35" t="inlineStr">
        <is>
          <t>Handheld</t>
        </is>
      </c>
      <c r="D52" s="359" t="n">
        <v>83.81848484848486</v>
      </c>
      <c r="E52" s="66" t="n">
        <v>55299.73000000001</v>
      </c>
      <c r="F52" s="67" t="n">
        <v>5532.02</v>
      </c>
      <c r="G52" s="68" t="n">
        <v>585</v>
      </c>
      <c r="H52" s="68" t="n">
        <v>66</v>
      </c>
      <c r="I52" s="68" t="n">
        <v>1575</v>
      </c>
      <c r="J52" s="69" t="n">
        <v>4.4</v>
      </c>
      <c r="K52" s="69" t="inlineStr">
        <is>
          <t>https://amazon.com/dp/B0CT39TV55</t>
        </is>
      </c>
      <c r="L52" s="183">
        <f>HYPERLINK(Table54[[#This Row],[Column1]])</f>
        <v/>
      </c>
    </row>
    <row r="53" ht="45" customHeight="1" s="314">
      <c r="A53" s="35" t="inlineStr">
        <is>
          <t>ANCEL MT700 Motorcycle Diagnostic Tool for Harley BMW Kawasaki Suzuki Piaggio Ducati Obd2 Scanner, ABS Bleeding Check Engine Code Reader with Oil Light Reset, 31+ Function, 16 Brand-Specific Adapters</t>
        </is>
      </c>
      <c r="B53" s="35" t="inlineStr">
        <is>
          <t>B0CGXFXRJY</t>
        </is>
      </c>
      <c r="C53" s="35" t="inlineStr">
        <is>
          <t>Tablet</t>
        </is>
      </c>
      <c r="D53" s="359" t="n">
        <v>844.0933333333334</v>
      </c>
      <c r="E53" s="66" t="n">
        <v>38555.69</v>
      </c>
      <c r="F53" s="67" t="n">
        <v>5064.56</v>
      </c>
      <c r="G53" s="68" t="n">
        <v>42</v>
      </c>
      <c r="H53" s="68" t="n">
        <v>6</v>
      </c>
      <c r="I53" s="68" t="n">
        <v>2</v>
      </c>
      <c r="J53" s="69" t="n">
        <v>2</v>
      </c>
      <c r="K53" s="69" t="inlineStr">
        <is>
          <t>https://amazon.com/dp/B0CGXFXRJY</t>
        </is>
      </c>
      <c r="L53" s="183">
        <f>HYPERLINK(Table54[[#This Row],[Column1]])</f>
        <v/>
      </c>
    </row>
    <row r="54" ht="60" customHeight="1" s="314">
      <c r="A54" s="35" t="inlineStr">
        <is>
          <t>ANCEL AD610 Pro ABS SRS OBD2 Scanner, ABS Bleeding, SAS Calibration, ABS, Airbag, EPB, Oil Reset, Full OBD2 Functions, AutoVIN, Free Lifetime WiFi Updates</t>
        </is>
      </c>
      <c r="B54" s="35" t="inlineStr">
        <is>
          <t>B0DBZC9PRC</t>
        </is>
      </c>
      <c r="C54" s="35" t="inlineStr">
        <is>
          <t>Handheld</t>
        </is>
      </c>
      <c r="D54" s="359" t="n">
        <v>150.9976666666667</v>
      </c>
      <c r="E54" s="66" t="n">
        <v>131712.35</v>
      </c>
      <c r="F54" s="67" t="n">
        <v>4529.93</v>
      </c>
      <c r="G54" s="68" t="n">
        <v>912</v>
      </c>
      <c r="H54" s="68" t="n">
        <v>30</v>
      </c>
      <c r="I54" s="68" t="n">
        <v>197</v>
      </c>
      <c r="J54" s="69" t="n">
        <v>4.3</v>
      </c>
      <c r="K54" s="69" t="inlineStr">
        <is>
          <t>https://amazon.com/dp/B0DBZC9PRC</t>
        </is>
      </c>
      <c r="L54" s="183">
        <f>HYPERLINK(Table54[[#This Row],[Column1]])</f>
        <v/>
      </c>
    </row>
    <row r="55" ht="45" customHeight="1" s="314">
      <c r="A55" s="35" t="inlineStr">
        <is>
          <t>ANCEL HD8000 Heavy Duty Truck Diagnostic Scanner, Advanced Diesel Scanner with DPF Regen, Idle &amp; Speed Limit Adjustment, Full-System ECU Diagnostics, Lifetime Free Updates</t>
        </is>
      </c>
      <c r="B55" s="35" t="inlineStr">
        <is>
          <t>B0CY542RHB</t>
        </is>
      </c>
      <c r="C55" s="35" t="inlineStr">
        <is>
          <t>Tablet</t>
        </is>
      </c>
      <c r="D55" s="359" t="n">
        <v>1093.715</v>
      </c>
      <c r="E55" s="66" t="n">
        <v>98784.73999999999</v>
      </c>
      <c r="F55" s="67" t="n">
        <v>4374.86</v>
      </c>
      <c r="G55" s="68" t="n">
        <v>85</v>
      </c>
      <c r="H55" s="68" t="n">
        <v>4</v>
      </c>
      <c r="I55" s="68" t="n">
        <v>72</v>
      </c>
      <c r="J55" s="69" t="n">
        <v>3.7</v>
      </c>
      <c r="K55" s="69" t="inlineStr">
        <is>
          <t>https://amazon.com/dp/B0CY542RHB</t>
        </is>
      </c>
      <c r="L55" s="183">
        <f>HYPERLINK(Table54[[#This Row],[Column1]])</f>
        <v/>
      </c>
    </row>
    <row r="56" ht="45" customHeight="1" s="314">
      <c r="A56" s="35" t="inlineStr">
        <is>
          <t>ANCEL AD310BT Enhanced Bluetooth OBD2 Scanner, 2-in-1 Car Engine Fault Code Reader for iPhone &amp; Android, Battery Test, Trip Analysis, Performance Test, Car Diagnostic Scan Tool for All Vehicles 1996+</t>
        </is>
      </c>
      <c r="B56" s="35" t="inlineStr">
        <is>
          <t>B0CR42ZB1T</t>
        </is>
      </c>
      <c r="C56" s="35" t="inlineStr">
        <is>
          <t>Handheld</t>
        </is>
      </c>
      <c r="D56" s="359" t="n">
        <v>49.74735632183909</v>
      </c>
      <c r="E56" s="66" t="n">
        <v>111842.72</v>
      </c>
      <c r="F56" s="67" t="n">
        <v>4328.02</v>
      </c>
      <c r="G56" s="68" t="n">
        <v>2374</v>
      </c>
      <c r="H56" s="68" t="n">
        <v>87</v>
      </c>
      <c r="I56" s="68" t="n">
        <v>144</v>
      </c>
      <c r="J56" s="69" t="n">
        <v>4.5</v>
      </c>
      <c r="K56" s="69" t="inlineStr">
        <is>
          <t>https://amazon.com/dp/B0CR42ZB1T</t>
        </is>
      </c>
      <c r="L56" s="183">
        <f>HYPERLINK(Table54[[#This Row],[Column1]])</f>
        <v/>
      </c>
    </row>
    <row r="57" ht="45" customHeight="1" s="314">
      <c r="A57" s="35" t="inlineStr">
        <is>
          <t>ANCEL AD610 Pro OBD2 Scanner - ABS SRS Code Reader, Check Engine Light Diagnostic Tool with ABS Bleeding, AutoVIN, Real-Time Data, Full OBD2 Functions, SAS/Oil/EPB Reset</t>
        </is>
      </c>
      <c r="B57" s="35" t="inlineStr">
        <is>
          <t>B0DN9H8Z6W</t>
        </is>
      </c>
      <c r="C57" s="35" t="inlineStr">
        <is>
          <t>Handheld</t>
        </is>
      </c>
      <c r="D57" s="359" t="n">
        <v>152.538</v>
      </c>
      <c r="E57" s="66" t="n">
        <v>77728.06</v>
      </c>
      <c r="F57" s="67" t="n">
        <v>3813.45</v>
      </c>
      <c r="G57" s="68" t="n">
        <v>528</v>
      </c>
      <c r="H57" s="68" t="n">
        <v>25</v>
      </c>
      <c r="I57" s="68" t="n">
        <v>96</v>
      </c>
      <c r="J57" s="69" t="n">
        <v>4.2</v>
      </c>
      <c r="K57" s="69" t="inlineStr">
        <is>
          <t>https://amazon.com/dp/B0DN9H8Z6W</t>
        </is>
      </c>
      <c r="L57" s="183">
        <f>HYPERLINK(Table54[[#This Row],[Column1]])</f>
        <v/>
      </c>
    </row>
    <row r="58" ht="45" customHeight="1" s="314">
      <c r="A58" s="35" t="inlineStr">
        <is>
          <t>ANCEL MT500 Plus Motorcycle Scanner, Full-System OBD2 Diagnostic Tool with Quick Service Resets &amp; Advanced Programming, Fits for BMW, Honda, Yamaha, Ducati, KTM, Kawasaki, Suzuki, Triumph</t>
        </is>
      </c>
      <c r="B58" s="35" t="inlineStr">
        <is>
          <t>B0BN8PKJ28</t>
        </is>
      </c>
      <c r="C58" s="35" t="inlineStr">
        <is>
          <t>Tablet</t>
        </is>
      </c>
      <c r="D58" s="359" t="n">
        <v>506.2828571428572</v>
      </c>
      <c r="E58" s="66" t="n">
        <v>45310.28</v>
      </c>
      <c r="F58" s="67" t="n">
        <v>3543.98</v>
      </c>
      <c r="G58" s="68" t="n">
        <v>82</v>
      </c>
      <c r="H58" s="68" t="n">
        <v>7</v>
      </c>
      <c r="I58" s="68" t="n">
        <v>16</v>
      </c>
      <c r="J58" s="69" t="n">
        <v>3.5</v>
      </c>
      <c r="K58" s="69" t="inlineStr">
        <is>
          <t>https://amazon.com/dp/B0BN8PKJ28</t>
        </is>
      </c>
      <c r="L58" s="183">
        <f>HYPERLINK(Table54[[#This Row],[Column1]])</f>
        <v/>
      </c>
    </row>
    <row r="59" ht="45" customHeight="1" s="314">
      <c r="A59" s="35" t="inlineStr">
        <is>
          <t>ANCEL JP700 JOBD OBD2 Japanese Car Scanner, JDM Automotive Code Reader Check Engine Light OBDII Diagnostic Scan Tool Fits for Toyota Nissan Honda Mazda Subaru Vehicle Diagnosis</t>
        </is>
      </c>
      <c r="B59" s="35" t="inlineStr">
        <is>
          <t>B07B8FV26L</t>
        </is>
      </c>
      <c r="C59" s="35" t="inlineStr">
        <is>
          <t>Handheld</t>
        </is>
      </c>
      <c r="D59" s="359" t="n">
        <v>49.79476190476191</v>
      </c>
      <c r="E59" s="66" t="n">
        <v>33158.81</v>
      </c>
      <c r="F59" s="67" t="n">
        <v>3137.07</v>
      </c>
      <c r="G59" s="68" t="n">
        <v>664</v>
      </c>
      <c r="H59" s="68" t="n">
        <v>63</v>
      </c>
      <c r="I59" s="68" t="n">
        <v>608</v>
      </c>
      <c r="J59" s="69" t="n">
        <v>3.9</v>
      </c>
      <c r="K59" s="69" t="inlineStr">
        <is>
          <t>https://amazon.com/dp/B07B8FV26L</t>
        </is>
      </c>
      <c r="L59" s="183">
        <f>HYPERLINK(Table54[[#This Row],[Column1]])</f>
        <v/>
      </c>
    </row>
    <row r="60" ht="45" customHeight="1" s="314">
      <c r="A60" s="35" t="inlineStr">
        <is>
          <t>ANCEL Echo OBD2 Scanner Bluetooth - All Systems Code Reader, Car Diagnostic Tool for iOS Android, Vehicle Scanner for Oil Light &amp; Brake Reset, Battery Registration - Bidirectional Scan Tool, Live Data</t>
        </is>
      </c>
      <c r="B60" s="35" t="inlineStr">
        <is>
          <t>B0D8HQG673</t>
        </is>
      </c>
      <c r="C60" s="35" t="inlineStr">
        <is>
          <t>Dongle</t>
        </is>
      </c>
      <c r="D60" s="359" t="n">
        <v>98.62866666666667</v>
      </c>
      <c r="E60" s="66" t="n">
        <v>83243.97</v>
      </c>
      <c r="F60" s="67" t="n">
        <v>2958.86</v>
      </c>
      <c r="G60" s="68" t="n">
        <v>869</v>
      </c>
      <c r="H60" s="68" t="n">
        <v>30</v>
      </c>
      <c r="I60" s="68" t="n">
        <v>263</v>
      </c>
      <c r="J60" s="69" t="n">
        <v>4.1</v>
      </c>
      <c r="K60" s="69" t="inlineStr">
        <is>
          <t>https://amazon.com/dp/B0D8HQG673</t>
        </is>
      </c>
      <c r="L60" s="183">
        <f>HYPERLINK(Table54[[#This Row],[Column1]])</f>
        <v/>
      </c>
    </row>
    <row r="61" ht="45" customHeight="1" s="314">
      <c r="A61" s="35" t="inlineStr">
        <is>
          <t>ANCEL AD310 Pro 2-in-1 OBD2 Scanner &amp; Car Battery Tester, Diagnostic Tool with Bluetooth APP for iPhone &amp; Android, Performance Test, Trip Analysis, Engine Health Self Check for All 1996+ Vehicles</t>
        </is>
      </c>
      <c r="B61" s="35" t="inlineStr">
        <is>
          <t>B0F8QRT8MB</t>
        </is>
      </c>
      <c r="C61" s="35" t="inlineStr">
        <is>
          <t>Handheld</t>
        </is>
      </c>
      <c r="D61" s="359" t="n">
        <v>112.3740909090909</v>
      </c>
      <c r="E61" s="66" t="n">
        <v>57171.9053846154</v>
      </c>
      <c r="F61" s="67" t="n">
        <v>2472.23</v>
      </c>
      <c r="G61" s="68" t="n">
        <v>467</v>
      </c>
      <c r="H61" s="68" t="n">
        <v>22</v>
      </c>
      <c r="I61" s="68" t="n">
        <v>75</v>
      </c>
      <c r="J61" s="69" t="n">
        <v>4.8</v>
      </c>
      <c r="K61" s="69" t="inlineStr">
        <is>
          <t>https://amazon.com/dp/B0F8QRT8MB</t>
        </is>
      </c>
      <c r="L61" s="183">
        <f>HYPERLINK(Table54[[#This Row],[Column1]])</f>
        <v/>
      </c>
    </row>
    <row r="62" ht="45" customHeight="1" s="314">
      <c r="A62" s="35" t="inlineStr">
        <is>
          <t>ANCEL OBD2 Scanner Extension Cable 2ft/0.65m, 16 Pin OBD 2 OBDII Car Scan Tool Male to Female Extender Cord Adapter for All OBD2 Vehicles</t>
        </is>
      </c>
      <c r="B62" s="35" t="inlineStr">
        <is>
          <t>B0DS56LD3K</t>
        </is>
      </c>
      <c r="C62" s="35" t="inlineStr">
        <is>
          <t>Handheld</t>
        </is>
      </c>
      <c r="D62" s="359" t="n">
        <v>15.92738562091503</v>
      </c>
      <c r="E62" s="66" t="n">
        <v>14260.21076923077</v>
      </c>
      <c r="F62" s="67" t="n">
        <v>2436.89</v>
      </c>
      <c r="G62" s="68" t="n">
        <v>539</v>
      </c>
      <c r="H62" s="68" t="n">
        <v>153</v>
      </c>
      <c r="I62" s="68" t="n">
        <v>36</v>
      </c>
      <c r="J62" s="69" t="n">
        <v>4.6</v>
      </c>
      <c r="K62" s="69" t="inlineStr">
        <is>
          <t>https://amazon.com/dp/B0DS56LD3K</t>
        </is>
      </c>
      <c r="L62" s="183">
        <f>HYPERLINK(Table54[[#This Row],[Column1]])</f>
        <v/>
      </c>
    </row>
    <row r="63" ht="60" customHeight="1" s="314">
      <c r="A63" s="35" t="inlineStr">
        <is>
          <t>ANCEL Heavy Duty Truck Scanner HD3300 Plus+, D.P.F Reset/Force Regen, Full System Truck Scanner for Detroit, Cummins, Caterpillar, Paccar, Volvo Engine &amp; Commercial Trucks, Lifetime Free Update</t>
        </is>
      </c>
      <c r="B63" s="35" t="inlineStr">
        <is>
          <t>B0DPH5KRBX</t>
        </is>
      </c>
      <c r="C63" s="35" t="inlineStr">
        <is>
          <t>Tablet</t>
        </is>
      </c>
      <c r="D63" s="359" t="n">
        <v>482.096</v>
      </c>
      <c r="E63" s="66" t="n">
        <v>312510.51</v>
      </c>
      <c r="F63" s="67" t="n">
        <v>2410.48</v>
      </c>
      <c r="G63" s="68" t="n">
        <v>659</v>
      </c>
      <c r="H63" s="68" t="n">
        <v>5</v>
      </c>
      <c r="I63" s="68" t="n">
        <v>108</v>
      </c>
      <c r="J63" s="69" t="n">
        <v>3.4</v>
      </c>
      <c r="K63" s="69" t="inlineStr">
        <is>
          <t>https://amazon.com/dp/B0DPH5KRBX</t>
        </is>
      </c>
      <c r="L63" s="183">
        <f>HYPERLINK(Table54[[#This Row],[Column1]])</f>
        <v/>
      </c>
    </row>
    <row r="64" ht="45" customHeight="1" s="314">
      <c r="A64" s="35" t="inlineStr">
        <is>
          <t>ANCEL Protective Case Storage Bag for OBD2 Scanner FX2000 FX6000, Code Reader AD530 VD500 BM700, Battery Tester BST200 BM200 BA301, Professional Waterproof Shockproof Carry Box with Zipper(Case Only)</t>
        </is>
      </c>
      <c r="B64" s="35" t="inlineStr">
        <is>
          <t>B08BNFSTTC</t>
        </is>
      </c>
      <c r="C64" s="35" t="inlineStr">
        <is>
          <t>Other</t>
        </is>
      </c>
      <c r="D64" s="359" t="n">
        <v>25</v>
      </c>
      <c r="E64" s="66" t="n">
        <v>26387.62</v>
      </c>
      <c r="F64" s="67" t="n">
        <v>1850</v>
      </c>
      <c r="G64" s="68" t="n">
        <v>1137</v>
      </c>
      <c r="H64" s="68" t="n">
        <v>74</v>
      </c>
      <c r="I64" s="68" t="n">
        <v>75</v>
      </c>
      <c r="J64" s="69" t="n">
        <v>4.2</v>
      </c>
      <c r="K64" s="69" t="inlineStr">
        <is>
          <t>https://amazon.com/dp/B08BNFSTTC</t>
        </is>
      </c>
      <c r="L64" s="183">
        <f>HYPERLINK(Table54[[#This Row],[Column1]])</f>
        <v/>
      </c>
    </row>
    <row r="65" ht="45" customHeight="1" s="314">
      <c r="A65" s="35" t="inlineStr">
        <is>
          <t>ANCEL BD200 OBD2 Scanner Bluetooth - Code Reader &amp; Check Engine Diagnostic Scan Tools with Car Battery Test, Exclusive App on iOS &amp; Android, Wireless OBDII Adapter Works for 1996 &amp; Newer Vehicles</t>
        </is>
      </c>
      <c r="B65" s="35" t="inlineStr">
        <is>
          <t>B08DFYMTS6</t>
        </is>
      </c>
      <c r="C65" s="35" t="inlineStr">
        <is>
          <t>Dongle</t>
        </is>
      </c>
      <c r="D65" s="359" t="n">
        <v>40.12230769230769</v>
      </c>
      <c r="E65" s="66" t="n">
        <v>33431.54</v>
      </c>
      <c r="F65" s="67" t="n">
        <v>1564.77</v>
      </c>
      <c r="G65" s="68" t="n">
        <v>847</v>
      </c>
      <c r="H65" s="68" t="n">
        <v>39</v>
      </c>
      <c r="I65" s="68" t="n">
        <v>1909</v>
      </c>
      <c r="J65" s="69" t="n">
        <v>4.3</v>
      </c>
      <c r="K65" s="69" t="inlineStr">
        <is>
          <t>https://amazon.com/dp/B08DFYMTS6</t>
        </is>
      </c>
      <c r="L65" s="183">
        <f>HYPERLINK(Table54[[#This Row],[Column1]])</f>
        <v/>
      </c>
    </row>
    <row r="66" ht="45" customHeight="1" s="314">
      <c r="A66" s="35" t="inlineStr">
        <is>
          <t>ANCEL Large Protective Case for OBD2 Scanner and Code Reader, Diagnostic Scan Tool Battery Tester, Storage Box (L) Compatible with ANCEL Products</t>
        </is>
      </c>
      <c r="B66" s="35" t="inlineStr">
        <is>
          <t>B08B13BQK6</t>
        </is>
      </c>
      <c r="C66" s="35" t="inlineStr">
        <is>
          <t>Other</t>
        </is>
      </c>
      <c r="D66" s="359" t="n">
        <v>22.121875</v>
      </c>
      <c r="E66" s="66" t="n">
        <v>30072.46461538462</v>
      </c>
      <c r="F66" s="67" t="n">
        <v>1415.8</v>
      </c>
      <c r="G66" s="68" t="n">
        <v>1374</v>
      </c>
      <c r="H66" s="68" t="n">
        <v>64</v>
      </c>
      <c r="I66" s="68" t="n">
        <v>1072</v>
      </c>
      <c r="J66" s="69" t="n">
        <v>4.5</v>
      </c>
      <c r="K66" s="69" t="inlineStr">
        <is>
          <t>https://amazon.com/dp/B08B13BQK6</t>
        </is>
      </c>
      <c r="L66" s="183">
        <f>HYPERLINK(Table54[[#This Row],[Column1]])</f>
        <v/>
      </c>
    </row>
    <row r="67" ht="45" customHeight="1" s="314">
      <c r="A67" s="35" t="inlineStr">
        <is>
          <t>ANCEL OBD2 Scanner Extension Cable 3.3ft/1m, 16 Pin OBDII OBD2 Male to Female Extender Cord, OBD2 Diagnostic Extender Connector for All OBD2 Vehicles</t>
        </is>
      </c>
      <c r="B67" s="35" t="inlineStr">
        <is>
          <t>B0DS453BBG</t>
        </is>
      </c>
      <c r="C67" s="35" t="inlineStr">
        <is>
          <t>Cable/Adapter</t>
        </is>
      </c>
      <c r="D67" s="359" t="n">
        <v>16.04913580246913</v>
      </c>
      <c r="E67" s="66" t="n">
        <v>14492.46153846154</v>
      </c>
      <c r="F67" s="67" t="n">
        <v>1299.98</v>
      </c>
      <c r="G67" s="68" t="n">
        <v>989</v>
      </c>
      <c r="H67" s="68" t="n">
        <v>81</v>
      </c>
      <c r="I67" s="68" t="n">
        <v>36</v>
      </c>
      <c r="J67" s="69" t="n">
        <v>4.6</v>
      </c>
      <c r="K67" s="69" t="inlineStr">
        <is>
          <t>https://amazon.com/dp/B0DS453BBG</t>
        </is>
      </c>
      <c r="L67" s="183">
        <f>HYPERLINK(Table54[[#This Row],[Column1]])</f>
        <v/>
      </c>
    </row>
    <row r="68" ht="45" customHeight="1" s="314">
      <c r="A68" s="35" t="inlineStr">
        <is>
          <t>ANCEL Waterproof Storage Case Bag for HD100 Heavy Duty Truck Scanner and Other Testers - Durable Zipper Carry Box (8.66’’ x 6.22’’ x 3.15’’)</t>
        </is>
      </c>
      <c r="B68" s="35" t="inlineStr">
        <is>
          <t>B0DPH4VF4Y</t>
        </is>
      </c>
      <c r="C68" s="35" t="inlineStr">
        <is>
          <t>Other</t>
        </is>
      </c>
      <c r="D68" s="359" t="n">
        <v>18.92327868852459</v>
      </c>
      <c r="E68" s="66" t="n">
        <v>7896.95</v>
      </c>
      <c r="F68" s="67" t="n">
        <v>1154.32</v>
      </c>
      <c r="G68" s="68" t="n">
        <v>409</v>
      </c>
      <c r="H68" s="68" t="n">
        <v>61</v>
      </c>
      <c r="I68" s="68" t="n">
        <v>173</v>
      </c>
      <c r="J68" s="69" t="n">
        <v>4.2</v>
      </c>
      <c r="K68" s="69" t="inlineStr">
        <is>
          <t>https://amazon.com/dp/B0DPH4VF4Y</t>
        </is>
      </c>
      <c r="L68" s="183">
        <f>HYPERLINK(Table54[[#This Row],[Column1]])</f>
        <v/>
      </c>
    </row>
    <row r="69" ht="45" customHeight="1" s="314">
      <c r="A69" s="35" t="inlineStr">
        <is>
          <t>ANCEL New HD601 Heavy Duty Truck Scanner, Diesel Full System Diagnostic Scan Tool Fits for Cummins, Detroit, Volvo, Paccar &amp; Caterpillar, 2 in 1 HDOBD &amp; OBD2 Code Reader for Commercial Vehicles &amp; Cars</t>
        </is>
      </c>
      <c r="B69" s="35" t="inlineStr">
        <is>
          <t>B0GL73Z9VW</t>
        </is>
      </c>
      <c r="C69" s="35" t="inlineStr">
        <is>
          <t>Tablet</t>
        </is>
      </c>
      <c r="D69" s="359" t="n">
        <v>169.9866666666667</v>
      </c>
      <c r="E69" s="66" t="n">
        <v>12317.49538461538</v>
      </c>
      <c r="F69" s="67" t="n">
        <v>1019.92</v>
      </c>
      <c r="G69" s="68" t="n">
        <v>6</v>
      </c>
      <c r="H69" s="68" t="n">
        <v>6</v>
      </c>
      <c r="I69" s="68" t="n"/>
      <c r="J69" s="69" t="n"/>
      <c r="K69" s="69" t="inlineStr">
        <is>
          <t>https://amazon.com/dp/B0GL73Z9VW</t>
        </is>
      </c>
      <c r="L69" s="183">
        <f>HYPERLINK(Table54[[#This Row],[Column1]])</f>
        <v/>
      </c>
    </row>
    <row r="70" ht="45" customHeight="1" s="314">
      <c r="A70" s="35" t="inlineStr">
        <is>
          <t>ANCEL Obd2 Female to 20 Pin Extension Convert Adapter OBD1 to OBD II Cable for 20 Pin E31 E32 E34 E36 E39 E38 E53 X 5 Z3</t>
        </is>
      </c>
      <c r="B70" s="35" t="inlineStr">
        <is>
          <t>B0B2LKYW3T</t>
        </is>
      </c>
      <c r="C70" s="35" t="inlineStr">
        <is>
          <t>Cable/Adapter</t>
        </is>
      </c>
      <c r="D70" s="359" t="n">
        <v>16.00903846153846</v>
      </c>
      <c r="E70" s="66" t="n">
        <v>9772.669999999998</v>
      </c>
      <c r="F70" s="67" t="n">
        <v>832.47</v>
      </c>
      <c r="G70" s="68" t="n">
        <v>612</v>
      </c>
      <c r="H70" s="68" t="n">
        <v>52</v>
      </c>
      <c r="I70" s="68" t="n">
        <v>241</v>
      </c>
      <c r="J70" s="69" t="n">
        <v>4.4</v>
      </c>
      <c r="K70" s="69" t="inlineStr">
        <is>
          <t>https://amazon.com/dp/B0B2LKYW3T</t>
        </is>
      </c>
      <c r="L70" s="183">
        <f>HYPERLINK(Table54[[#This Row],[Column1]])</f>
        <v/>
      </c>
    </row>
    <row r="71" ht="45" customHeight="1" s="314">
      <c r="A71" s="35" t="inlineStr">
        <is>
          <t>ANCEL HD Series-Compatible Printer for HD3100, HD3100 PRO, HD3200, HD3300, HD3400, HD3500, HD3600: Exclusive Heavy Duty Truck Scanner Diagnostic Tool Accessory for Diesel Vehicle Reports</t>
        </is>
      </c>
      <c r="B71" s="35" t="inlineStr">
        <is>
          <t>B097D8JHJG</t>
        </is>
      </c>
      <c r="C71" s="35" t="inlineStr">
        <is>
          <t>Other</t>
        </is>
      </c>
      <c r="D71" s="359" t="n">
        <v>134.78</v>
      </c>
      <c r="E71" s="66" t="n">
        <v>9418.449999999999</v>
      </c>
      <c r="F71" s="67" t="n">
        <v>808.6799999999999</v>
      </c>
      <c r="G71" s="68" t="n">
        <v>62</v>
      </c>
      <c r="H71" s="68" t="n">
        <v>6</v>
      </c>
      <c r="I71" s="68" t="n">
        <v>25</v>
      </c>
      <c r="J71" s="69" t="n">
        <v>3.8</v>
      </c>
      <c r="K71" s="69" t="inlineStr">
        <is>
          <t>https://amazon.com/dp/B097D8JHJG</t>
        </is>
      </c>
      <c r="L71" s="183">
        <f>HYPERLINK(Table54[[#This Row],[Column1]])</f>
        <v/>
      </c>
    </row>
    <row r="72" ht="30" customHeight="1" s="314">
      <c r="A72" s="35" t="inlineStr">
        <is>
          <t>ANCEL CAN 3 - CAN 1 Crossover Cable for 2016 &amp; Newer Paccar Peterbilts/Kenworths/Cummins Engines, 9 Pin Heavy Duty Truck Scanner Diagnostic Adapter Tool</t>
        </is>
      </c>
      <c r="B72" s="35" t="inlineStr">
        <is>
          <t>B0C4FGGVZ4</t>
        </is>
      </c>
      <c r="C72" s="35" t="inlineStr">
        <is>
          <t>Cable/Adapter</t>
        </is>
      </c>
      <c r="D72" s="359" t="n">
        <v>40.4921052631579</v>
      </c>
      <c r="E72" s="66" t="n">
        <v>16426.63</v>
      </c>
      <c r="F72" s="67" t="n">
        <v>769.35</v>
      </c>
      <c r="G72" s="68" t="n">
        <v>320</v>
      </c>
      <c r="H72" s="68" t="n">
        <v>19</v>
      </c>
      <c r="I72" s="68" t="n">
        <v>16</v>
      </c>
      <c r="J72" s="69" t="n">
        <v>4.5</v>
      </c>
      <c r="K72" s="69" t="inlineStr">
        <is>
          <t>https://amazon.com/dp/B0C4FGGVZ4</t>
        </is>
      </c>
      <c r="L72" s="183">
        <f>HYPERLINK(Table54[[#This Row],[Column1]])</f>
        <v/>
      </c>
    </row>
    <row r="73" ht="30" customHeight="1" s="314">
      <c r="A73" s="35" t="inlineStr">
        <is>
          <t>ANCEL FX2000 Plus OBD2 Scanner Diagnostic Tool with Protective Bag, ABS SRS Transmission Airbag Scan Tool, Check Engine Code Reader, Scanner for Car Lifetime Free Upgrade</t>
        </is>
      </c>
      <c r="B73" s="35" t="inlineStr">
        <is>
          <t>B0DQPJ8QVK</t>
        </is>
      </c>
      <c r="C73" s="35" t="inlineStr">
        <is>
          <t>Tablet</t>
        </is>
      </c>
      <c r="D73" s="359" t="n">
        <v>162.2</v>
      </c>
      <c r="E73" s="66" t="n">
        <v>29719.71230769231</v>
      </c>
      <c r="F73" s="67" t="n">
        <v>648.8</v>
      </c>
      <c r="G73" s="68" t="n">
        <v>191</v>
      </c>
      <c r="H73" s="68" t="n">
        <v>4</v>
      </c>
      <c r="I73" s="68" t="n">
        <v>48</v>
      </c>
      <c r="J73" s="69" t="n">
        <v>4.1</v>
      </c>
      <c r="K73" s="69" t="inlineStr">
        <is>
          <t>https://amazon.com/dp/B0DQPJ8QVK</t>
        </is>
      </c>
      <c r="L73" s="183">
        <f>HYPERLINK(Table54[[#This Row],[Column1]])</f>
        <v/>
      </c>
    </row>
    <row r="74" ht="45" customHeight="1" s="314">
      <c r="A74" s="35" t="inlineStr">
        <is>
          <t>ANCEL EVA Hard Protective Case for V5 HD PRO Heavy Truck Scanner, Waterproof Shockproof Storage Bag with Large Capacity, Smooth Zippers and Easy Carry Handle, Travel Ready</t>
        </is>
      </c>
      <c r="B74" s="35" t="inlineStr">
        <is>
          <t>B0828TC9T9</t>
        </is>
      </c>
      <c r="C74" s="35" t="inlineStr">
        <is>
          <t>Other</t>
        </is>
      </c>
      <c r="D74" s="359" t="n">
        <v>31.572</v>
      </c>
      <c r="E74" s="66" t="n">
        <v>7106.944615384618</v>
      </c>
      <c r="F74" s="67" t="n">
        <v>631.4400000000001</v>
      </c>
      <c r="G74" s="68" t="n">
        <v>22</v>
      </c>
      <c r="H74" s="68" t="n">
        <v>20</v>
      </c>
      <c r="I74" s="68" t="n">
        <v>172</v>
      </c>
      <c r="J74" s="69" t="n">
        <v>4.2</v>
      </c>
      <c r="K74" s="69" t="inlineStr">
        <is>
          <t>https://amazon.com/dp/B0828TC9T9</t>
        </is>
      </c>
      <c r="L74" s="183">
        <f>HYPERLINK(Table54[[#This Row],[Column1]])</f>
        <v/>
      </c>
    </row>
    <row r="75" ht="30" customHeight="1" s="314">
      <c r="A75" s="35" t="inlineStr">
        <is>
          <t>ANCEL Large Hard Protective Case for Heavy Duty Truck Scanner HD3300 Plus+ HD3600 HD430, OBD2 Scanner Diagnostic Tool FX6000 Elite FX6100, Automotive Smoke Machine Leak Detector S3000 S3000 PRO</t>
        </is>
      </c>
      <c r="B75" s="35" t="inlineStr">
        <is>
          <t>B0FJFJRX71</t>
        </is>
      </c>
      <c r="C75" s="35" t="inlineStr">
        <is>
          <t>Other</t>
        </is>
      </c>
      <c r="D75" s="359" t="n">
        <v>31.85846153846154</v>
      </c>
      <c r="E75" s="66" t="n">
        <v>7230.660769230767</v>
      </c>
      <c r="F75" s="67" t="n">
        <v>414.16</v>
      </c>
      <c r="G75" s="68" t="n">
        <v>142</v>
      </c>
      <c r="H75" s="68" t="n">
        <v>13</v>
      </c>
      <c r="I75" s="68" t="n">
        <v>108</v>
      </c>
      <c r="J75" s="69" t="n">
        <v>3.4</v>
      </c>
      <c r="K75" s="69" t="inlineStr">
        <is>
          <t>https://amazon.com/dp/B0FJFJRX71</t>
        </is>
      </c>
      <c r="L75" s="183">
        <f>HYPERLINK(Table54[[#This Row],[Column1]])</f>
        <v/>
      </c>
    </row>
    <row r="76" ht="45" customHeight="1" s="314">
      <c r="A76" s="35" t="inlineStr">
        <is>
          <t>ANCEL Large Hard Protective Case Storage Box for ANCEL HD8000 Heavy Duty Truck Scanner (Only the Case)</t>
        </is>
      </c>
      <c r="B76" s="35" t="inlineStr">
        <is>
          <t>B0DPH4CDJ3</t>
        </is>
      </c>
      <c r="C76" s="35" t="inlineStr">
        <is>
          <t>Other</t>
        </is>
      </c>
      <c r="D76" s="359" t="n">
        <v>31.07416666666667</v>
      </c>
      <c r="E76" s="66" t="n">
        <v>6787.639999999999</v>
      </c>
      <c r="F76" s="67" t="n">
        <v>372.89</v>
      </c>
      <c r="G76" s="68" t="n">
        <v>242</v>
      </c>
      <c r="H76" s="68" t="n">
        <v>12</v>
      </c>
      <c r="I76" s="68" t="n">
        <v>72</v>
      </c>
      <c r="J76" s="69" t="n">
        <v>3.7</v>
      </c>
      <c r="K76" s="69" t="inlineStr">
        <is>
          <t>https://amazon.com/dp/B0DPH4CDJ3</t>
        </is>
      </c>
      <c r="L76" s="183">
        <f>HYPERLINK(Table54[[#This Row],[Column1]])</f>
        <v/>
      </c>
    </row>
    <row r="77" ht="45" customHeight="1" s="314">
      <c r="A77" s="35" t="inlineStr">
        <is>
          <t>ANCEL BD200 Pro OBD2 Scanner Bluetooth, Enhanced Wireless Code Readers ABS SRS Transmission Airbag Car Scanner Diagnostic Tool with Battery Test, Check Engine Light Exclusive App for iPhone &amp; Android</t>
        </is>
      </c>
      <c r="B77" s="35" t="inlineStr">
        <is>
          <t>B0CWN69XH4</t>
        </is>
      </c>
      <c r="C77" s="35" t="inlineStr">
        <is>
          <t>Dongle</t>
        </is>
      </c>
      <c r="D77" s="359" t="n">
        <v>73.312</v>
      </c>
      <c r="E77" s="66" t="n">
        <v>7603.463076923077</v>
      </c>
      <c r="F77" s="67" t="n">
        <v>366.56</v>
      </c>
      <c r="G77" s="68" t="n">
        <v>95</v>
      </c>
      <c r="H77" s="68" t="n">
        <v>5</v>
      </c>
      <c r="I77" s="68" t="n">
        <v>74</v>
      </c>
      <c r="J77" s="69" t="n">
        <v>3.5</v>
      </c>
      <c r="K77" s="69" t="inlineStr">
        <is>
          <t>https://amazon.com/dp/B0CWN69XH4</t>
        </is>
      </c>
      <c r="L77" s="183">
        <f>HYPERLINK(Table54[[#This Row],[Column1]])</f>
        <v/>
      </c>
    </row>
    <row r="78" ht="45" customHeight="1" s="314">
      <c r="A78" s="35" t="inlineStr">
        <is>
          <t>ANCEL DS600 Plus Top Bi-Directional Scan Tool OEM All System Automotive OBD2 Scanner for All Cars, 34+ Reset Services Car Diagnostic Tablet, Online Coding, Active Test</t>
        </is>
      </c>
      <c r="B78" s="35" t="inlineStr">
        <is>
          <t>B0B1JD8D4H</t>
        </is>
      </c>
      <c r="C78" s="35" t="inlineStr">
        <is>
          <t>Tablet</t>
        </is>
      </c>
      <c r="D78" s="359" t="n">
        <v>359.99</v>
      </c>
      <c r="E78" s="66" t="n">
        <v>14518.16</v>
      </c>
      <c r="F78" s="67" t="n">
        <v>359.99</v>
      </c>
      <c r="G78" s="68" t="n">
        <v>22</v>
      </c>
      <c r="H78" s="68" t="n">
        <v>1</v>
      </c>
      <c r="I78" s="68" t="n">
        <v>12</v>
      </c>
      <c r="J78" s="69" t="n">
        <v>4.7</v>
      </c>
      <c r="K78" s="69" t="inlineStr">
        <is>
          <t>https://amazon.com/dp/B0B1JD8D4H</t>
        </is>
      </c>
      <c r="L78" s="183">
        <f>HYPERLINK(Table54[[#This Row],[Column1]])</f>
        <v/>
      </c>
    </row>
    <row r="79" ht="45" customHeight="1" s="314">
      <c r="A79" s="35" t="inlineStr">
        <is>
          <t>ANCEL DS600 Elite OBD2 Scanner, 2025 New Bidirectional Full System Scan Tool with 34+Resets, ECU Online Coding, FCA SGW AutoAuth, VAG Guide, Wireless Car Scanner Diagnostic Tool with 2-Year Update</t>
        </is>
      </c>
      <c r="B79" s="35" t="inlineStr">
        <is>
          <t>B0CWNP8JDD</t>
        </is>
      </c>
      <c r="C79" s="35" t="inlineStr">
        <is>
          <t>Tablet</t>
        </is>
      </c>
      <c r="D79" s="359" t="n">
        <v>350.92</v>
      </c>
      <c r="E79" s="66" t="n">
        <v>14213.97</v>
      </c>
      <c r="F79" s="67" t="n">
        <v>350.92</v>
      </c>
      <c r="G79" s="68" t="n">
        <v>19</v>
      </c>
      <c r="H79" s="68" t="n">
        <v>1</v>
      </c>
      <c r="I79" s="68" t="n">
        <v>15</v>
      </c>
      <c r="J79" s="69" t="n">
        <v>3.4</v>
      </c>
      <c r="K79" s="69" t="inlineStr">
        <is>
          <t>https://amazon.com/dp/B0CWNP8JDD</t>
        </is>
      </c>
      <c r="L79" s="183">
        <f>HYPERLINK(Table54[[#This Row],[Column1]])</f>
        <v/>
      </c>
    </row>
    <row r="80" ht="17" customHeight="1" s="314">
      <c r="A80" s="35" t="inlineStr">
        <is>
          <t>ANCEL Large Hard Protective Case, Waterproof Storage Box Diagnostic Scanner Tool (Only The Case), 13.39" x 8.27" x 4.92"</t>
        </is>
      </c>
      <c r="B80" s="35" t="inlineStr">
        <is>
          <t>B0FLXQ35LZ</t>
        </is>
      </c>
      <c r="C80" s="35" t="inlineStr">
        <is>
          <t>Other</t>
        </is>
      </c>
      <c r="D80" s="359" t="n">
        <v>29.29</v>
      </c>
      <c r="E80" s="66" t="n">
        <v>353.7330769230769</v>
      </c>
      <c r="F80" s="67" t="n">
        <v>29.29</v>
      </c>
      <c r="G80" s="68" t="n">
        <v>1</v>
      </c>
      <c r="H80" s="68" t="n">
        <v>1</v>
      </c>
      <c r="I80" s="68" t="n"/>
      <c r="J80" s="69" t="n"/>
      <c r="K80" s="69" t="inlineStr">
        <is>
          <t>https://amazon.com/dp/B0FLXQ35LZ</t>
        </is>
      </c>
      <c r="L80" s="183">
        <f>HYPERLINK(Table54[[#This Row],[Column1]])</f>
        <v/>
      </c>
    </row>
    <row r="81" ht="30" customHeight="1" s="314">
      <c r="A81" s="35" t="inlineStr">
        <is>
          <t>ANCEL Protective Case Storage Bag for OBD2 Scanner &amp; Small Diagnostic Tools – Compatible with BD310, Code Readers &amp; Battery Testers</t>
        </is>
      </c>
      <c r="B81" s="35" t="inlineStr">
        <is>
          <t>B0G8DGNVR7</t>
        </is>
      </c>
      <c r="C81" s="35" t="inlineStr">
        <is>
          <t>Other</t>
        </is>
      </c>
      <c r="D81" s="359" t="n">
        <v>19.98</v>
      </c>
      <c r="E81" s="66" t="n">
        <v>241.296923076923</v>
      </c>
      <c r="F81" s="67" t="n">
        <v>19.98</v>
      </c>
      <c r="G81" s="68" t="n">
        <v>1</v>
      </c>
      <c r="H81" s="68" t="n">
        <v>1</v>
      </c>
      <c r="I81" s="68" t="n"/>
      <c r="J81" s="69" t="n"/>
      <c r="K81" s="69" t="inlineStr">
        <is>
          <t>https://amazon.com/dp/B0G8DGNVR7</t>
        </is>
      </c>
      <c r="L81" s="183">
        <f>HYPERLINK(Table54[[#This Row],[Column1]])</f>
        <v/>
      </c>
    </row>
    <row r="82" ht="45" customHeight="1" s="314">
      <c r="A82" s="35" t="inlineStr">
        <is>
          <t>ANCEL Protective Case Storage Bag for HD100, HD110, HD120, HD200, HD210 Heavy Duty Truck Scanners(Only The Case)</t>
        </is>
      </c>
      <c r="B82" s="35" t="inlineStr">
        <is>
          <t>B0FX24WF6Q</t>
        </is>
      </c>
      <c r="C82" s="35" t="inlineStr">
        <is>
          <t>Other</t>
        </is>
      </c>
      <c r="D82" s="359" t="n">
        <v>19.99</v>
      </c>
      <c r="E82" s="66" t="n">
        <v>0</v>
      </c>
      <c r="F82" s="67" t="n">
        <v>0</v>
      </c>
      <c r="G82" s="68" t="n">
        <v>0</v>
      </c>
      <c r="H82" s="68" t="n">
        <v>0</v>
      </c>
      <c r="I82" s="68" t="n"/>
      <c r="J82" s="69" t="n"/>
      <c r="K82" s="69" t="inlineStr">
        <is>
          <t>https://amazon.com/dp/B0FX24WF6Q</t>
        </is>
      </c>
      <c r="L82" s="183">
        <f>HYPERLINK(Table54[[#This Row],[Column1]])</f>
        <v/>
      </c>
    </row>
    <row r="83" ht="45" customHeight="1" s="314">
      <c r="A83" s="35" t="inlineStr">
        <is>
          <t>ANCEL HD210 Bluetooth Heavy Duty Truck Scanner, Speed Limit and Idle Reset for Volvo &amp; International Engine, All System Diesel HDOBD/OBD2 Scanner Diagnostic Tool, Lifetime F-Ree Update Code Reader</t>
        </is>
      </c>
      <c r="B83" s="35" t="inlineStr">
        <is>
          <t>B0D9KB3GWR</t>
        </is>
      </c>
      <c r="C83" s="35" t="inlineStr">
        <is>
          <t>Cable/Adapter</t>
        </is>
      </c>
      <c r="D83" s="359" t="n">
        <v>172.2333333333333</v>
      </c>
      <c r="E83" s="66" t="n">
        <v>29768.75</v>
      </c>
      <c r="F83" s="67" t="n">
        <v>0</v>
      </c>
      <c r="G83" s="68" t="n">
        <v>156</v>
      </c>
      <c r="H83" s="68" t="n">
        <v>0</v>
      </c>
      <c r="I83" s="68" t="n">
        <v>59</v>
      </c>
      <c r="J83" s="69" t="n">
        <v>3</v>
      </c>
      <c r="K83" s="69" t="inlineStr">
        <is>
          <t>https://amazon.com/dp/B0D9KB3GWR</t>
        </is>
      </c>
      <c r="L83" s="183">
        <f>HYPERLINK(Table54[[#This Row],[Column1]])</f>
        <v/>
      </c>
    </row>
    <row r="84" ht="17" customHeight="1" s="314">
      <c r="A84" s="35" t="inlineStr">
        <is>
          <t>Ancel BD320 OBD2 Scanner Diagnostic Tool for VW Audi Skoda Seat, Full-System Diagnostics with EPB, Oil &amp; Throttle Reset, Battery Check, 3-in-1 Bluetooth Wired HUD Code Reader(Upgraded BD310)</t>
        </is>
      </c>
      <c r="B84" s="35" t="inlineStr">
        <is>
          <t>B0CRDY7JG5</t>
        </is>
      </c>
      <c r="C84" s="35" t="inlineStr">
        <is>
          <t>Dongle</t>
        </is>
      </c>
      <c r="D84" s="359" t="n">
        <v>61.944</v>
      </c>
      <c r="E84" s="66" t="n">
        <v>3760.340000000001</v>
      </c>
      <c r="F84" s="67" t="n">
        <v>0</v>
      </c>
      <c r="G84" s="68" t="n">
        <v>59</v>
      </c>
      <c r="H84" s="68" t="n">
        <v>0</v>
      </c>
      <c r="I84" s="68" t="n">
        <v>45</v>
      </c>
      <c r="J84" s="69" t="n">
        <v>3.5</v>
      </c>
      <c r="K84" s="69" t="inlineStr">
        <is>
          <t>https://amazon.com/dp/B0CRDY7JG5</t>
        </is>
      </c>
      <c r="L84" s="183">
        <f>HYPERLINK(TABLE84)</f>
        <v/>
      </c>
    </row>
    <row r="85">
      <c r="A85" s="41" t="inlineStr">
        <is>
          <t>Total</t>
        </is>
      </c>
      <c r="B85" s="40" t="n"/>
      <c r="C85" s="360" t="n"/>
      <c r="D85" s="360" t="n"/>
      <c r="E85" s="72">
        <f>SUM(Table54[Estimated 12mo Revenue])</f>
        <v/>
      </c>
      <c r="F85" s="72">
        <f>SUM(Table54[Monthly Rev])</f>
        <v/>
      </c>
      <c r="I85" s="311" t="n"/>
      <c r="J85" s="312" t="n"/>
    </row>
    <row r="86" ht="16" customHeight="1" s="314"/>
    <row r="87" ht="16" customHeight="1" s="314"/>
    <row r="88" ht="17" customHeight="1" s="314">
      <c r="A88" s="307" t="inlineStr">
        <is>
          <t>Rank by Units</t>
        </is>
      </c>
    </row>
    <row r="89" ht="45" customHeight="1" s="314">
      <c r="A89" s="46" t="inlineStr">
        <is>
          <t>Product Name</t>
        </is>
      </c>
      <c r="B89" s="47" t="inlineStr">
        <is>
          <t>ASIN</t>
        </is>
      </c>
      <c r="C89" s="47" t="inlineStr">
        <is>
          <t>Type</t>
        </is>
      </c>
      <c r="D89" s="345" t="inlineStr">
        <is>
          <t>Avg Price</t>
        </is>
      </c>
      <c r="E89" s="49" t="inlineStr">
        <is>
          <t>Estimated 12mo Revenue</t>
        </is>
      </c>
      <c r="F89" s="47" t="inlineStr">
        <is>
          <t>Monthly Rev</t>
        </is>
      </c>
      <c r="G89" s="51" t="inlineStr">
        <is>
          <t>Estimated 12mo Units</t>
        </is>
      </c>
      <c r="H89" s="54" t="inlineStr">
        <is>
          <t>Monthly Units</t>
        </is>
      </c>
      <c r="I89" s="51" t="inlineStr">
        <is>
          <t># of Reviews</t>
        </is>
      </c>
      <c r="J89" s="52" t="inlineStr">
        <is>
          <t xml:space="preserve">Tool Rating </t>
        </is>
      </c>
      <c r="K89" s="52" t="inlineStr">
        <is>
          <t>Column1</t>
        </is>
      </c>
      <c r="L89" s="346" t="inlineStr">
        <is>
          <t>Link</t>
        </is>
      </c>
    </row>
    <row r="90" ht="45" customHeight="1" s="314">
      <c r="A90" s="35" t="inlineStr">
        <is>
          <t>ANCEL AD310 Classic Enhanced Universal OBD II Scanner Car Engine Fault Code Reader CAN Diagnostic Scan Tool, Read and Clear Error Codes for 1996 or Newer OBD2 Protocol Vehicle (Black)</t>
        </is>
      </c>
      <c r="B90" s="35" t="inlineStr">
        <is>
          <t>B01G5EA74I</t>
        </is>
      </c>
      <c r="C90" s="35" t="inlineStr">
        <is>
          <t>Handheld</t>
        </is>
      </c>
      <c r="D90" s="359" t="n">
        <v>28.93877341320998</v>
      </c>
      <c r="E90" s="66" t="n">
        <v>11640814.05</v>
      </c>
      <c r="F90" s="66" t="n">
        <v>763231.21</v>
      </c>
      <c r="G90" s="68" t="n">
        <v>418439</v>
      </c>
      <c r="H90" s="70" t="n">
        <v>26374</v>
      </c>
      <c r="I90" s="68" t="n">
        <v>63860</v>
      </c>
      <c r="J90" s="69" t="n">
        <v>4.6</v>
      </c>
      <c r="K90" s="69" t="inlineStr">
        <is>
          <t>https://amazon.com/dp/B01G5EA74I</t>
        </is>
      </c>
      <c r="L90" s="183">
        <f>HYPERLINK(Table65[[#This Row],[Column1]])</f>
        <v/>
      </c>
    </row>
    <row r="91" ht="45" customHeight="1" s="314">
      <c r="A91" s="35" t="inlineStr">
        <is>
          <t>ANCEL AD410 Enhanced OBD2 Scanner, Vehicle Code Reader for Check Engine Light, Automotive OBD II Scanner Fault Diagnosis, OBDII Scan Tool for All OBDII Cars 1996+, Black/Yellow</t>
        </is>
      </c>
      <c r="B91" s="35" t="inlineStr">
        <is>
          <t>B071FSNL73</t>
        </is>
      </c>
      <c r="C91" s="35" t="inlineStr">
        <is>
          <t>Handheld</t>
        </is>
      </c>
      <c r="D91" s="359" t="n">
        <v>43.56900433622415</v>
      </c>
      <c r="E91" s="66" t="n">
        <v>4039229.264615384</v>
      </c>
      <c r="F91" s="66" t="n">
        <v>261239.75</v>
      </c>
      <c r="G91" s="68" t="n">
        <v>81536</v>
      </c>
      <c r="H91" s="70" t="n">
        <v>5996</v>
      </c>
      <c r="I91" s="68" t="n">
        <v>15054</v>
      </c>
      <c r="J91" s="69" t="n">
        <v>4.5</v>
      </c>
      <c r="K91" s="69" t="inlineStr">
        <is>
          <t>https://amazon.com/dp/B071FSNL73</t>
        </is>
      </c>
      <c r="L91" s="183">
        <f>HYPERLINK(Table65[[#This Row],[Column1]])</f>
        <v/>
      </c>
    </row>
    <row r="92" ht="45" customHeight="1" s="314">
      <c r="A92" s="35" t="inlineStr">
        <is>
          <t>ANCEL AD410 PRO OBD2 Scanner and Battery Tester, 2-in-1 Car Diagnostic Tool, Check Engine Light, EVAP Test, Live Data, 12V Battery Analyzer with Cranking &amp; Charging System Test for Car Motorcycle</t>
        </is>
      </c>
      <c r="B92" s="35" t="inlineStr">
        <is>
          <t>B0BX3K8VGJ</t>
        </is>
      </c>
      <c r="C92" s="35" t="inlineStr">
        <is>
          <t>Handheld</t>
        </is>
      </c>
      <c r="D92" s="359" t="n">
        <v>62.35547598253275</v>
      </c>
      <c r="E92" s="66" t="n">
        <v>931202.0315384616</v>
      </c>
      <c r="F92" s="66" t="n">
        <v>71397.02</v>
      </c>
      <c r="G92" s="68" t="n">
        <v>12112</v>
      </c>
      <c r="H92" s="70" t="n">
        <v>1145</v>
      </c>
      <c r="I92" s="68" t="n">
        <v>4093</v>
      </c>
      <c r="J92" s="69" t="n">
        <v>4.6</v>
      </c>
      <c r="K92" s="69" t="inlineStr">
        <is>
          <t>https://amazon.com/dp/B0BX3K8VGJ</t>
        </is>
      </c>
      <c r="L92" s="183">
        <f>HYPERLINK(Table65[[#This Row],[Column1]])</f>
        <v/>
      </c>
    </row>
    <row r="93" ht="45" customHeight="1" s="314">
      <c r="A93" s="35" t="inlineStr">
        <is>
          <t>ANCEL VD500 OBD2 Scanner Diagnostic Tool for Volkswagen VW Audi Skoda Seat Diagnosis Check Engine Light EPB ABS SRS Code Reader Oil Throttle Position Adaption Brake Pad Reset</t>
        </is>
      </c>
      <c r="B93" s="35" t="inlineStr">
        <is>
          <t>B07BS7PDC2</t>
        </is>
      </c>
      <c r="C93" s="35" t="inlineStr">
        <is>
          <t>Handheld</t>
        </is>
      </c>
      <c r="D93" s="359" t="n">
        <v>65.69651651651652</v>
      </c>
      <c r="E93" s="66" t="n">
        <v>763249.91</v>
      </c>
      <c r="F93" s="66" t="n">
        <v>65630.82000000001</v>
      </c>
      <c r="G93" s="68" t="n">
        <v>11514</v>
      </c>
      <c r="H93" s="70" t="n">
        <v>999</v>
      </c>
      <c r="I93" s="68" t="n">
        <v>6329</v>
      </c>
      <c r="J93" s="69" t="n">
        <v>4.5</v>
      </c>
      <c r="K93" s="69" t="inlineStr">
        <is>
          <t>https://amazon.com/dp/B07BS7PDC2</t>
        </is>
      </c>
      <c r="L93" s="183">
        <f>HYPERLINK(Table65[[#This Row],[Column1]])</f>
        <v/>
      </c>
    </row>
    <row r="94" ht="45" customHeight="1" s="314">
      <c r="A94" s="35" t="inlineStr">
        <is>
          <t>ANCEL BD310 Bluetooth OBD2 Scanner, 2-in-1 Car Diagnostic Scan Tool &amp; Code Reader with App, Battery Test, Trip Analysis, Performance Test, for iPhone &amp; Android, All 1996+ Vehicles</t>
        </is>
      </c>
      <c r="B94" s="35" t="inlineStr">
        <is>
          <t>B07J51W9NS</t>
        </is>
      </c>
      <c r="C94" s="35" t="inlineStr">
        <is>
          <t>Handheld</t>
        </is>
      </c>
      <c r="D94" s="359" t="n">
        <v>59.07334630350195</v>
      </c>
      <c r="E94" s="66" t="n">
        <v>785997.5299999998</v>
      </c>
      <c r="F94" s="66" t="n">
        <v>45545.55</v>
      </c>
      <c r="G94" s="68" t="n">
        <v>12329</v>
      </c>
      <c r="H94" s="70" t="n">
        <v>771</v>
      </c>
      <c r="I94" s="68" t="n">
        <v>1574</v>
      </c>
      <c r="J94" s="69" t="n">
        <v>4.4</v>
      </c>
      <c r="K94" s="69" t="inlineStr">
        <is>
          <t>https://amazon.com/dp/B07J51W9NS</t>
        </is>
      </c>
      <c r="L94" s="183">
        <f>HYPERLINK(Table65[[#This Row],[Column1]])</f>
        <v/>
      </c>
    </row>
    <row r="95" ht="45" customHeight="1" s="314">
      <c r="A95" s="35" t="inlineStr">
        <is>
          <t>ANCEL AD530 OBD2 Scanner-Upgraded AD310, Car Code Reader for Check Engine Light, Full OBDII Scan Tool for Read &amp; Clear Fault Codes, Battery Test &amp; Live Data, OBD II Diagnostic Scanner for 1996+ Cars</t>
        </is>
      </c>
      <c r="B95" s="35" t="inlineStr">
        <is>
          <t>B07N66TTQG</t>
        </is>
      </c>
      <c r="C95" s="35" t="inlineStr">
        <is>
          <t>Handheld</t>
        </is>
      </c>
      <c r="D95" s="359" t="n">
        <v>63.87064263322884</v>
      </c>
      <c r="E95" s="66" t="n">
        <v>670695.59</v>
      </c>
      <c r="F95" s="66" t="n">
        <v>40749.47</v>
      </c>
      <c r="G95" s="68" t="n">
        <v>10286</v>
      </c>
      <c r="H95" s="70" t="n">
        <v>638</v>
      </c>
      <c r="I95" s="68" t="n">
        <v>4091</v>
      </c>
      <c r="J95" s="69" t="n">
        <v>4.5</v>
      </c>
      <c r="K95" s="69" t="inlineStr">
        <is>
          <t>https://amazon.com/dp/B07N66TTQG</t>
        </is>
      </c>
      <c r="L95" s="183">
        <f>HYPERLINK(Table65[[#This Row],[Column1]])</f>
        <v/>
      </c>
    </row>
    <row r="96" ht="45" customHeight="1" s="314">
      <c r="A96" s="35" t="inlineStr">
        <is>
          <t>ANCEL BD500 Bluetooth Diagnostic Scan Tool for VW Audi Seat Skoda Diagnosis, Full Systems Volkswagen OBD2 Scanner Vag Car Code Reader with Battery Check EPB Reset for iPhone, iPad &amp; Android</t>
        </is>
      </c>
      <c r="B96" s="35" t="inlineStr">
        <is>
          <t>B0B1MHSMBW</t>
        </is>
      </c>
      <c r="C96" s="35" t="inlineStr">
        <is>
          <t>Dongle</t>
        </is>
      </c>
      <c r="D96" s="359" t="n">
        <v>79.98407786885247</v>
      </c>
      <c r="E96" s="66" t="n">
        <v>120460.89</v>
      </c>
      <c r="F96" s="66" t="n">
        <v>39032.23</v>
      </c>
      <c r="G96" s="68" t="n">
        <v>1487</v>
      </c>
      <c r="H96" s="70" t="n">
        <v>488</v>
      </c>
      <c r="I96" s="68" t="n">
        <v>1713</v>
      </c>
      <c r="J96" s="69" t="n">
        <v>4.4</v>
      </c>
      <c r="K96" s="69" t="inlineStr">
        <is>
          <t>https://amazon.com/dp/B0B1MHSMBW</t>
        </is>
      </c>
      <c r="L96" s="183">
        <f>HYPERLINK(Table65[[#This Row],[Column1]])</f>
        <v/>
      </c>
    </row>
    <row r="97" ht="30" customHeight="1" s="314">
      <c r="A97" s="35" t="inlineStr">
        <is>
          <t>ANCEL BM500 OBD2 Scanner for BMW &amp; MINI, Simplified Battery Registration, EPB, Oil, Throttle, PCM Resets, I/M Readiness, Full System Diagnostics for Engine, Transmission, ABS, SRS, DSC &amp; More</t>
        </is>
      </c>
      <c r="B97" s="35" t="inlineStr">
        <is>
          <t>B08925H3H1</t>
        </is>
      </c>
      <c r="C97" s="35" t="inlineStr">
        <is>
          <t>Handheld</t>
        </is>
      </c>
      <c r="D97" s="359" t="n">
        <v>105.1284666666667</v>
      </c>
      <c r="E97" s="66" t="n">
        <v>476769.6499999999</v>
      </c>
      <c r="F97" s="66" t="n">
        <v>47307.81</v>
      </c>
      <c r="G97" s="68" t="n">
        <v>4868</v>
      </c>
      <c r="H97" s="70" t="n">
        <v>450</v>
      </c>
      <c r="I97" s="68" t="n">
        <v>881</v>
      </c>
      <c r="J97" s="69" t="n">
        <v>4.5</v>
      </c>
      <c r="K97" s="69" t="inlineStr">
        <is>
          <t>https://amazon.com/dp/B08925H3H1</t>
        </is>
      </c>
      <c r="L97" s="183">
        <f>HYPERLINK(Table65[[#This Row],[Column1]])</f>
        <v/>
      </c>
    </row>
    <row r="98" ht="45" customHeight="1" s="314">
      <c r="A98" s="35" t="inlineStr">
        <is>
          <t>ANCEL BD300 BMW Bluetooth OBD2 Scanner, Full System Code Reader and Diagnostic Tool for BMW with Battery Registration Service Reset EPB CBS ETC ABS Airbag &amp; Powerful OBD2 Functions</t>
        </is>
      </c>
      <c r="B98" s="35" t="inlineStr">
        <is>
          <t>B09ZPB3JV9</t>
        </is>
      </c>
      <c r="C98" s="35" t="inlineStr">
        <is>
          <t>Dongle</t>
        </is>
      </c>
      <c r="D98" s="359" t="n">
        <v>75.94614832535886</v>
      </c>
      <c r="E98" s="66" t="n">
        <v>189730.01</v>
      </c>
      <c r="F98" s="66" t="n">
        <v>31745.49</v>
      </c>
      <c r="G98" s="68" t="n">
        <v>2269</v>
      </c>
      <c r="H98" s="70" t="n">
        <v>418</v>
      </c>
      <c r="I98" s="68" t="n">
        <v>2231</v>
      </c>
      <c r="J98" s="69" t="n">
        <v>4.5</v>
      </c>
      <c r="K98" s="69" t="inlineStr">
        <is>
          <t>https://amazon.com/dp/B09ZPB3JV9</t>
        </is>
      </c>
      <c r="L98" s="183">
        <f>HYPERLINK(Table65[[#This Row],[Column1]])</f>
        <v/>
      </c>
    </row>
    <row r="99" ht="45" customHeight="1" s="314">
      <c r="A99" s="35" t="inlineStr">
        <is>
          <t>ANCEL Heavy Duty Truck Scanner HD601 All System Diesel Diagnostic Scan Tool fits for Cummins, Detroit, Freightliner, International, Paccar, Check Engine for Truck &amp; Car 2 in 1 Code Reader</t>
        </is>
      </c>
      <c r="B99" s="35" t="inlineStr">
        <is>
          <t>B0B452YDWT</t>
        </is>
      </c>
      <c r="C99" s="35" t="inlineStr">
        <is>
          <t>Handheld</t>
        </is>
      </c>
      <c r="D99" s="359" t="n">
        <v>147.8879177377892</v>
      </c>
      <c r="E99" s="66" t="n">
        <v>1225123.98</v>
      </c>
      <c r="F99" s="66" t="n">
        <v>57528.4</v>
      </c>
      <c r="G99" s="68" t="n">
        <v>7816</v>
      </c>
      <c r="H99" s="70" t="n">
        <v>389</v>
      </c>
      <c r="I99" s="68" t="n">
        <v>637</v>
      </c>
      <c r="J99" s="69" t="n">
        <v>4</v>
      </c>
      <c r="K99" s="69" t="inlineStr">
        <is>
          <t>https://amazon.com/dp/B0B452YDWT</t>
        </is>
      </c>
      <c r="L99" s="183">
        <f>HYPERLINK(Table65[[#This Row],[Column1]])</f>
        <v/>
      </c>
    </row>
    <row r="100" ht="45" customHeight="1" s="314">
      <c r="A100" s="35" t="inlineStr">
        <is>
          <t>ANCEL Protective Case Storage Bag for OBD2 Scanner Code Reader Diagnostic Scan Tool Battery Tester</t>
        </is>
      </c>
      <c r="B100" s="35" t="inlineStr">
        <is>
          <t>B07B49PHXD</t>
        </is>
      </c>
      <c r="C100" s="35" t="inlineStr">
        <is>
          <t>Other</t>
        </is>
      </c>
      <c r="D100" s="359" t="n">
        <v>20.49767195767196</v>
      </c>
      <c r="E100" s="66" t="n">
        <v>114324.2723076923</v>
      </c>
      <c r="F100" s="66" t="n">
        <v>7748.12</v>
      </c>
      <c r="G100" s="68" t="n">
        <v>4288</v>
      </c>
      <c r="H100" s="70" t="n">
        <v>378</v>
      </c>
      <c r="I100" s="68" t="n">
        <v>4095</v>
      </c>
      <c r="J100" s="69" t="n">
        <v>4.6</v>
      </c>
      <c r="K100" s="69" t="inlineStr">
        <is>
          <t>https://amazon.com/dp/B07B49PHXD</t>
        </is>
      </c>
      <c r="L100" s="183">
        <f>HYPERLINK(Table65[[#This Row],[Column1]])</f>
        <v/>
      </c>
    </row>
    <row r="101" ht="45" customHeight="1" s="314">
      <c r="A101" s="35" t="inlineStr">
        <is>
          <t>ANCEL X7HD 10'' Heavy Duty Truck Scanner, Semi Trucks Full System Diagnostic Tool, Bidirectional Diesel Scan Tool with DPF, ECU Coding, 40+ Reset for Cummins, Detroit, Caterpillar, Volvo, Paccar etc</t>
        </is>
      </c>
      <c r="B101" s="35" t="inlineStr">
        <is>
          <t>B0BZ82WQ4Q</t>
        </is>
      </c>
      <c r="C101" s="35" t="inlineStr">
        <is>
          <t>Tablet</t>
        </is>
      </c>
      <c r="D101" s="359" t="n">
        <v>774.4419436619719</v>
      </c>
      <c r="E101" s="66" t="n">
        <v>2419729.51</v>
      </c>
      <c r="F101" s="66" t="n">
        <v>274926.89</v>
      </c>
      <c r="G101" s="68" t="n">
        <v>2988</v>
      </c>
      <c r="H101" s="70" t="n">
        <v>355</v>
      </c>
      <c r="I101" s="68" t="n">
        <v>786</v>
      </c>
      <c r="J101" s="69" t="n">
        <v>3.8</v>
      </c>
      <c r="K101" s="69" t="inlineStr">
        <is>
          <t>https://amazon.com/dp/B0BZ82WQ4Q</t>
        </is>
      </c>
      <c r="L101" s="183">
        <f>HYPERLINK(Table65[[#This Row],[Column1]])</f>
        <v/>
      </c>
    </row>
    <row r="102" ht="60" customHeight="1" s="314">
      <c r="A102" s="35" t="inlineStr">
        <is>
          <t>ANCEL HD110 Heavy Duty Truck Scanner with DPF Regen and Reset for Detroit Paccar Engine, Full System HDOBD &amp; OBD2 Scanner for Diesel Trucks Lifetime Free Updates</t>
        </is>
      </c>
      <c r="B102" s="35" t="inlineStr">
        <is>
          <t>B0D3F2953F</t>
        </is>
      </c>
      <c r="C102" s="35" t="inlineStr">
        <is>
          <t>Cable/Adapter</t>
        </is>
      </c>
      <c r="D102" s="359" t="n">
        <v>184.2611842105263</v>
      </c>
      <c r="E102" s="66" t="n">
        <v>606451.5900000001</v>
      </c>
      <c r="F102" s="66" t="n">
        <v>56015.4</v>
      </c>
      <c r="G102" s="68" t="n">
        <v>3429</v>
      </c>
      <c r="H102" s="70" t="n">
        <v>304</v>
      </c>
      <c r="I102" s="68" t="n">
        <v>185</v>
      </c>
      <c r="J102" s="69" t="n">
        <v>4.2</v>
      </c>
      <c r="K102" s="69" t="inlineStr">
        <is>
          <t>https://amazon.com/dp/B0D3F2953F</t>
        </is>
      </c>
      <c r="L102" s="183">
        <f>HYPERLINK(Table65[[#This Row],[Column1]])</f>
        <v/>
      </c>
    </row>
    <row r="103" ht="45" customHeight="1" s="314">
      <c r="A103" s="35" t="inlineStr">
        <is>
          <t>ANCEL FX6100 Car Bidirectional Scan Tool, Full System OBD2 Scanner Diagnostic Tool for All Vehicles, Updates Included, AutoVIN, Active Test, ABS SRS TPMS Transmission EPB Oil Fault Code Read Reset</t>
        </is>
      </c>
      <c r="B103" s="35" t="inlineStr">
        <is>
          <t>B0F38JZ2PR</t>
        </is>
      </c>
      <c r="C103" s="35" t="inlineStr">
        <is>
          <t>Tablet</t>
        </is>
      </c>
      <c r="D103" s="359" t="n">
        <v>388.6911363636364</v>
      </c>
      <c r="E103" s="66" t="n">
        <v>943111.9000000001</v>
      </c>
      <c r="F103" s="66" t="n">
        <v>85512.05</v>
      </c>
      <c r="G103" s="68" t="n">
        <v>2722</v>
      </c>
      <c r="H103" s="70" t="n">
        <v>220</v>
      </c>
      <c r="I103" s="68" t="n">
        <v>277</v>
      </c>
      <c r="J103" s="69" t="n">
        <v>4.3</v>
      </c>
      <c r="K103" s="69" t="inlineStr">
        <is>
          <t>https://amazon.com/dp/B0F38JZ2PR</t>
        </is>
      </c>
      <c r="L103" s="183">
        <f>HYPERLINK(Table65[[#This Row],[Column1]])</f>
        <v/>
      </c>
    </row>
    <row r="104" ht="45" customHeight="1" s="314">
      <c r="A104" s="35" t="inlineStr">
        <is>
          <t>ANCEL HD100 Heavy Duty Truck Scanner with DPF Regen for Cummins &amp; CAT Engines, Bluetooth Diesel Diagnostic Tool with All-System Scan, HDOBD &amp; OBD2 Code Reader for Semi Trucks, Lifetime Free Updates</t>
        </is>
      </c>
      <c r="B104" s="35" t="inlineStr">
        <is>
          <t>B0CQ4V8X9L</t>
        </is>
      </c>
      <c r="C104" s="35" t="inlineStr">
        <is>
          <t>Dongle</t>
        </is>
      </c>
      <c r="D104" s="359" t="n">
        <v>174.25896373057</v>
      </c>
      <c r="E104" s="66" t="n">
        <v>331337.22</v>
      </c>
      <c r="F104" s="66" t="n">
        <v>33631.98</v>
      </c>
      <c r="G104" s="68" t="n">
        <v>1796</v>
      </c>
      <c r="H104" s="70" t="n">
        <v>193</v>
      </c>
      <c r="I104" s="68" t="n">
        <v>186</v>
      </c>
      <c r="J104" s="69" t="n">
        <v>4.2</v>
      </c>
      <c r="K104" s="69" t="inlineStr">
        <is>
          <t>https://amazon.com/dp/B0CQ4V8X9L</t>
        </is>
      </c>
      <c r="L104" s="183">
        <f>HYPERLINK(Table65[[#This Row],[Column1]])</f>
        <v/>
      </c>
    </row>
    <row r="105" ht="45" customHeight="1" s="314">
      <c r="A105" s="35" t="inlineStr">
        <is>
          <t>ANCEL HD3400 Pro Heavy Duty Truck Scanner | DPF Regeneration, Lifetime Free Update, Compatible with Commercial Vehicles with Cummins, Paccar, Caterpillar, Detroit, Volvo, Mack, International Engines</t>
        </is>
      </c>
      <c r="B105" s="35" t="inlineStr">
        <is>
          <t>B09R3L5BP2</t>
        </is>
      </c>
      <c r="C105" s="35" t="inlineStr">
        <is>
          <t>Tablet</t>
        </is>
      </c>
      <c r="D105" s="359" t="n">
        <v>442.0604712041885</v>
      </c>
      <c r="E105" s="66" t="n">
        <v>1018901.241538462</v>
      </c>
      <c r="F105" s="66" t="n">
        <v>84433.55</v>
      </c>
      <c r="G105" s="68" t="n">
        <v>2005</v>
      </c>
      <c r="H105" s="70" t="n">
        <v>191</v>
      </c>
      <c r="I105" s="68" t="n">
        <v>554</v>
      </c>
      <c r="J105" s="69" t="n">
        <v>4.1</v>
      </c>
      <c r="K105" s="69" t="inlineStr">
        <is>
          <t>https://amazon.com/dp/B09R3L5BP2</t>
        </is>
      </c>
      <c r="L105" s="183">
        <f>HYPERLINK(Table65[[#This Row],[Column1]])</f>
        <v/>
      </c>
    </row>
    <row r="106" ht="45" customHeight="1" s="314">
      <c r="A106" s="35" t="inlineStr">
        <is>
          <t>ANCEL DS500BT Bidirectional Scan Tool, Full-System Automotive Diagnostic Scanner with 28+ Services, Injector Coding, DPF/Brake/BMS/Oil/Gear/Throttle Functions, CAN FD Support, Lifetime Free Updates</t>
        </is>
      </c>
      <c r="B106" s="35" t="inlineStr">
        <is>
          <t>B0FN4JHLY7</t>
        </is>
      </c>
      <c r="C106" s="35" t="inlineStr">
        <is>
          <t>Tablet</t>
        </is>
      </c>
      <c r="D106" s="359" t="n">
        <v>558.973670212766</v>
      </c>
      <c r="E106" s="66" t="n">
        <v>1172184.424615385</v>
      </c>
      <c r="F106" s="66" t="n">
        <v>105087.05</v>
      </c>
      <c r="G106" s="68" t="n">
        <v>1158</v>
      </c>
      <c r="H106" s="70" t="n">
        <v>188</v>
      </c>
      <c r="I106" s="68" t="n">
        <v>1057</v>
      </c>
      <c r="J106" s="69" t="n">
        <v>4.5</v>
      </c>
      <c r="K106" s="69" t="inlineStr">
        <is>
          <t>https://amazon.com/dp/B0FN4JHLY7</t>
        </is>
      </c>
      <c r="L106" s="183">
        <f>HYPERLINK(Table65[[#This Row],[Column1]])</f>
        <v/>
      </c>
    </row>
    <row r="107" ht="45" customHeight="1" s="314">
      <c r="A107" s="35" t="inlineStr">
        <is>
          <t>ANCEL DS200 Full System OBD2 Scanner with 15+ Reset Services - Oil/BMS/Brake Reset, DPF Regen, Injector Coding, ABS Bleeding, Free Lifetime Updates, Online Customer Service</t>
        </is>
      </c>
      <c r="B107" s="35" t="inlineStr">
        <is>
          <t>B0DHX29NMC</t>
        </is>
      </c>
      <c r="C107" s="35" t="inlineStr">
        <is>
          <t>Tablet</t>
        </is>
      </c>
      <c r="D107" s="359" t="n">
        <v>294.6341208791209</v>
      </c>
      <c r="E107" s="66" t="n">
        <v>727570.77</v>
      </c>
      <c r="F107" s="66" t="n">
        <v>53623.41</v>
      </c>
      <c r="G107" s="68" t="n">
        <v>2604</v>
      </c>
      <c r="H107" s="70" t="n">
        <v>182</v>
      </c>
      <c r="I107" s="68" t="n">
        <v>209</v>
      </c>
      <c r="J107" s="69" t="n">
        <v>4.3</v>
      </c>
      <c r="K107" s="69" t="inlineStr">
        <is>
          <t>https://amazon.com/dp/B0DHX29NMC</t>
        </is>
      </c>
      <c r="L107" s="183">
        <f>HYPERLINK(Table65[[#This Row],[Column1]])</f>
        <v/>
      </c>
    </row>
    <row r="108" ht="45" customHeight="1" s="314">
      <c r="A108" s="35" t="inlineStr">
        <is>
          <t>ANCEL DS100 OBD2 Scanner: Fix Check Engine, ABS, SRS &amp; Transmission Issues with 7 Resets (Oil/Brake/BMS/SAS/ABS Bleeding/Throttle/Gear Learning), Lifetime Updates, Code Reader for All Cars 1996+</t>
        </is>
      </c>
      <c r="B108" s="35" t="inlineStr">
        <is>
          <t>B0DHX8FFVR</t>
        </is>
      </c>
      <c r="C108" s="35" t="inlineStr">
        <is>
          <t>Tablet</t>
        </is>
      </c>
      <c r="D108" s="359" t="n">
        <v>210.3632960893855</v>
      </c>
      <c r="E108" s="66" t="n">
        <v>812948.8500000001</v>
      </c>
      <c r="F108" s="66" t="n">
        <v>37655.03</v>
      </c>
      <c r="G108" s="68" t="n">
        <v>4407</v>
      </c>
      <c r="H108" s="70" t="n">
        <v>179</v>
      </c>
      <c r="I108" s="68" t="n">
        <v>376</v>
      </c>
      <c r="J108" s="69" t="n">
        <v>4.4</v>
      </c>
      <c r="K108" s="69" t="inlineStr">
        <is>
          <t>https://amazon.com/dp/B0DHX8FFVR</t>
        </is>
      </c>
      <c r="L108" s="183">
        <f>HYPERLINK(Table65[[#This Row],[Column1]])</f>
        <v/>
      </c>
    </row>
    <row r="109" ht="60" customHeight="1" s="314">
      <c r="A109" s="35" t="inlineStr">
        <is>
          <t>ANCEL OBD2 Scanner Extension Cable 2ft/0.65m, 16 Pin OBD 2 OBDII Car Scan Tool Male to Female Extender Cord Adapter for All OBD2 Vehicles</t>
        </is>
      </c>
      <c r="B109" s="35" t="inlineStr">
        <is>
          <t>B0DS56LD3K</t>
        </is>
      </c>
      <c r="C109" s="35" t="inlineStr">
        <is>
          <t>Handheld</t>
        </is>
      </c>
      <c r="D109" s="359" t="n">
        <v>15.92738562091503</v>
      </c>
      <c r="E109" s="66" t="n">
        <v>14260.21076923077</v>
      </c>
      <c r="F109" s="66" t="n">
        <v>2436.89</v>
      </c>
      <c r="G109" s="68" t="n">
        <v>539</v>
      </c>
      <c r="H109" s="70" t="n">
        <v>153</v>
      </c>
      <c r="I109" s="68" t="n">
        <v>36</v>
      </c>
      <c r="J109" s="69" t="n">
        <v>4.6</v>
      </c>
      <c r="K109" s="69" t="inlineStr">
        <is>
          <t>https://amazon.com/dp/B0DS56LD3K</t>
        </is>
      </c>
      <c r="L109" s="183">
        <f>HYPERLINK(Table65[[#This Row],[Column1]])</f>
        <v/>
      </c>
    </row>
    <row r="110" ht="45" customHeight="1" s="314">
      <c r="A110" s="35" t="inlineStr">
        <is>
          <t>ANCEL VD700 OBD2 Diagnostic Code Reader Scan Tool Fit for Volkswagen Audi VW Skoda Seat, All Functions OBD11 Scanner for VAG Vehicles with Battery Registration EPB Reset (Upgraded VD500)</t>
        </is>
      </c>
      <c r="B110" s="35" t="inlineStr">
        <is>
          <t>B07WD9B7GR</t>
        </is>
      </c>
      <c r="C110" s="35" t="inlineStr">
        <is>
          <t>Handheld</t>
        </is>
      </c>
      <c r="D110" s="359" t="n">
        <v>145.5480952380952</v>
      </c>
      <c r="E110" s="66" t="n">
        <v>788081.71</v>
      </c>
      <c r="F110" s="66" t="n">
        <v>21395.57</v>
      </c>
      <c r="G110" s="68" t="n">
        <v>5726</v>
      </c>
      <c r="H110" s="70" t="n">
        <v>147</v>
      </c>
      <c r="I110" s="68" t="n">
        <v>1709</v>
      </c>
      <c r="J110" s="69" t="n">
        <v>4.4</v>
      </c>
      <c r="K110" s="69" t="inlineStr">
        <is>
          <t>https://amazon.com/dp/B07WD9B7GR</t>
        </is>
      </c>
      <c r="L110" s="183">
        <f>HYPERLINK(Table65[[#This Row],[Column1]])</f>
        <v/>
      </c>
    </row>
    <row r="111" ht="45" customHeight="1" s="314">
      <c r="A111" s="35" t="inlineStr">
        <is>
          <t>ANCEL DS500 Elite Bidirectional Scan Tool, Full System Car Diagnostic Scanner with 28+ Services, Injector Coding, Active Test, ABS Bleeding Throttle BMS TPMS Reset, CAN-FD, FCA, Lifetime Free Update</t>
        </is>
      </c>
      <c r="B111" s="35" t="inlineStr">
        <is>
          <t>B0FVFQCJ41</t>
        </is>
      </c>
      <c r="C111" s="35" t="inlineStr">
        <is>
          <t>Tablet</t>
        </is>
      </c>
      <c r="D111" s="359" t="n">
        <v>476.8873015873016</v>
      </c>
      <c r="E111" s="66" t="n">
        <v>623999.630769231</v>
      </c>
      <c r="F111" s="66" t="n">
        <v>60087.8</v>
      </c>
      <c r="G111" s="68" t="n">
        <v>524</v>
      </c>
      <c r="H111" s="70" t="n">
        <v>126</v>
      </c>
      <c r="I111" s="68" t="n">
        <v>277</v>
      </c>
      <c r="J111" s="69" t="n">
        <v>4.3</v>
      </c>
      <c r="K111" s="69" t="inlineStr">
        <is>
          <t>https://amazon.com/dp/B0FVFQCJ41</t>
        </is>
      </c>
      <c r="L111" s="183">
        <f>HYPERLINK(Table65[[#This Row],[Column1]])</f>
        <v/>
      </c>
    </row>
    <row r="112" ht="45" customHeight="1" s="314">
      <c r="A112" s="35" t="inlineStr">
        <is>
          <t>ANCEL HD430 Heavy Duty Truck Scanner, DPF Reset &amp; Forced Regeneration for Cummins &amp; Caterpillar Engine, Full System HDOBD Diesel Scanner OBD2 Diagnostic Scan Tool Code Reader for Diesel Trucks &amp; Cars</t>
        </is>
      </c>
      <c r="B112" s="35" t="inlineStr">
        <is>
          <t>B0DBH27CQS</t>
        </is>
      </c>
      <c r="C112" s="35" t="inlineStr">
        <is>
          <t>Tablet</t>
        </is>
      </c>
      <c r="D112" s="359" t="n">
        <v>259.872735042735</v>
      </c>
      <c r="E112" s="66" t="n">
        <v>585727.41</v>
      </c>
      <c r="F112" s="66" t="n">
        <v>30405.11</v>
      </c>
      <c r="G112" s="68" t="n">
        <v>2127</v>
      </c>
      <c r="H112" s="70" t="n">
        <v>117</v>
      </c>
      <c r="I112" s="68" t="n">
        <v>640</v>
      </c>
      <c r="J112" s="69" t="n">
        <v>4</v>
      </c>
      <c r="K112" s="69" t="inlineStr">
        <is>
          <t>https://amazon.com/dp/B0DBH27CQS</t>
        </is>
      </c>
      <c r="L112" s="183">
        <f>HYPERLINK(Table65[[#This Row],[Column1]])</f>
        <v/>
      </c>
    </row>
    <row r="113" ht="45" customHeight="1" s="314">
      <c r="A113" s="35" t="inlineStr">
        <is>
          <t>ANCEL BM700 PRO Fit for BMW Scanner - Battery Registration Tool, Code Reader for BMW/Mini/RR, Advanced OBD2 Scanner Auto V-I-N, Full System Diagnostic for BMW Scan Tool with All Reset Services (Blue)</t>
        </is>
      </c>
      <c r="B113" s="35" t="inlineStr">
        <is>
          <t>B0F7R3JGYM</t>
        </is>
      </c>
      <c r="C113" s="35" t="inlineStr">
        <is>
          <t>Handheld</t>
        </is>
      </c>
      <c r="D113" s="359" t="n">
        <v>143.8791509433962</v>
      </c>
      <c r="E113" s="66" t="n">
        <v>528191.4046153846</v>
      </c>
      <c r="F113" s="66" t="n">
        <v>15251.19</v>
      </c>
      <c r="G113" s="68" t="n">
        <v>3313</v>
      </c>
      <c r="H113" s="70" t="n">
        <v>106</v>
      </c>
      <c r="I113" s="68" t="n">
        <v>2228</v>
      </c>
      <c r="J113" s="69" t="n">
        <v>4.5</v>
      </c>
      <c r="K113" s="69" t="inlineStr">
        <is>
          <t>https://amazon.com/dp/B0F7R3JGYM</t>
        </is>
      </c>
      <c r="L113" s="183">
        <f>HYPERLINK(Table65[[#This Row],[Column1]])</f>
        <v/>
      </c>
    </row>
    <row r="114" ht="45" customHeight="1" s="314">
      <c r="A114" s="35" t="inlineStr">
        <is>
          <t>ANCEL AD530 PRO 2 in 1 OBD2 Scanner &amp; Car Battery Tester, Car Scanner Diagnostic Tool with Live Data, 12V Battery Tester with Charging &amp; Cranking Test, Check Engine Code Reader for 1996+ Vehicles</t>
        </is>
      </c>
      <c r="B114" s="35" t="inlineStr">
        <is>
          <t>B0D6R66XZ5</t>
        </is>
      </c>
      <c r="C114" s="35" t="inlineStr">
        <is>
          <t>Handheld</t>
        </is>
      </c>
      <c r="D114" s="359" t="n">
        <v>86.90604166666667</v>
      </c>
      <c r="E114" s="66" t="n">
        <v>125047.7523076923</v>
      </c>
      <c r="F114" s="66" t="n">
        <v>8342.98</v>
      </c>
      <c r="G114" s="68" t="n">
        <v>1213</v>
      </c>
      <c r="H114" s="70" t="n">
        <v>96</v>
      </c>
      <c r="I114" s="68" t="n">
        <v>162</v>
      </c>
      <c r="J114" s="69" t="n">
        <v>4.6</v>
      </c>
      <c r="K114" s="69" t="inlineStr">
        <is>
          <t>https://amazon.com/dp/B0D6R66XZ5</t>
        </is>
      </c>
      <c r="L114" s="183">
        <f>HYPERLINK(Table65[[#This Row],[Column1]])</f>
        <v/>
      </c>
    </row>
    <row r="115" ht="45" customHeight="1" s="314">
      <c r="A115" s="35" t="inlineStr">
        <is>
          <t>ANCEL FD500 OBD2 Scanner fits for Ford Lincoln Mercury - All Systems Code Reader with Engine, ABS, SRS, Transmission, 4WD Diagnostics - Scan Tool with EPB, Throttle, Oil Reset, Battery Registration</t>
        </is>
      </c>
      <c r="B115" s="35" t="inlineStr">
        <is>
          <t>B08F7XXLW8</t>
        </is>
      </c>
      <c r="C115" s="35" t="inlineStr">
        <is>
          <t>Handheld</t>
        </is>
      </c>
      <c r="D115" s="359" t="n">
        <v>105.3228723404255</v>
      </c>
      <c r="E115" s="66" t="n">
        <v>128512.7975</v>
      </c>
      <c r="F115" s="66" t="n">
        <v>9900.35</v>
      </c>
      <c r="G115" s="68" t="n">
        <v>1327</v>
      </c>
      <c r="H115" s="70" t="n">
        <v>94</v>
      </c>
      <c r="I115" s="68" t="n">
        <v>551</v>
      </c>
      <c r="J115" s="69" t="n">
        <v>4.1</v>
      </c>
      <c r="K115" s="69" t="inlineStr">
        <is>
          <t>https://amazon.com/dp/B08F7XXLW8</t>
        </is>
      </c>
      <c r="L115" s="183">
        <f>HYPERLINK(Table65[[#This Row],[Column1]])</f>
        <v/>
      </c>
    </row>
    <row r="116" ht="45" customHeight="1" s="314">
      <c r="A116" s="35" t="inlineStr">
        <is>
          <t>ANCEL HD3600 Heavy Equipment Diagnostic Tool with D-P-F Regen, Full System Heavy Duty Truck Scanner Machinery Scanner Diesel Code Reader Fit for Cummins, Caterpillar, John Deere, Komatsu, Yanmar&amp;Case</t>
        </is>
      </c>
      <c r="B116" s="35" t="inlineStr">
        <is>
          <t>B0B1LD8663</t>
        </is>
      </c>
      <c r="C116" s="35" t="inlineStr">
        <is>
          <t>Tablet</t>
        </is>
      </c>
      <c r="D116" s="359" t="n">
        <v>494.7513829787234</v>
      </c>
      <c r="E116" s="66" t="n">
        <v>449699.31</v>
      </c>
      <c r="F116" s="66" t="n">
        <v>46506.63</v>
      </c>
      <c r="G116" s="68" t="n">
        <v>937</v>
      </c>
      <c r="H116" s="70" t="n">
        <v>94</v>
      </c>
      <c r="I116" s="68" t="n">
        <v>348</v>
      </c>
      <c r="J116" s="69" t="n">
        <v>3.9</v>
      </c>
      <c r="K116" s="69" t="inlineStr">
        <is>
          <t>https://amazon.com/dp/B0B1LD8663</t>
        </is>
      </c>
      <c r="L116" s="183">
        <f>HYPERLINK(Table65[[#This Row],[Column1]])</f>
        <v/>
      </c>
    </row>
    <row r="117" ht="60" customHeight="1" s="314">
      <c r="A117" s="35" t="inlineStr">
        <is>
          <t>ANCEL HD431 Heavy Duty Truck Scanner, DPF Regen &amp; Forced Reset for Paccar &amp; Detroit Engines, Full System Diagnostics Diesel Code Reader, Professional OBD2/HDOBD Mechanic Tool for Commercial Vehicles</t>
        </is>
      </c>
      <c r="B117" s="35" t="inlineStr">
        <is>
          <t>B0DB86T5F5</t>
        </is>
      </c>
      <c r="C117" s="35" t="inlineStr">
        <is>
          <t>Tablet</t>
        </is>
      </c>
      <c r="D117" s="359" t="n">
        <v>282.1613483146068</v>
      </c>
      <c r="E117" s="66" t="n">
        <v>190530.94</v>
      </c>
      <c r="F117" s="66" t="n">
        <v>25112.36</v>
      </c>
      <c r="G117" s="68" t="n">
        <v>655</v>
      </c>
      <c r="H117" s="70" t="n">
        <v>89</v>
      </c>
      <c r="I117" s="68" t="n">
        <v>197</v>
      </c>
      <c r="J117" s="69" t="n">
        <v>4.3</v>
      </c>
      <c r="K117" s="69" t="inlineStr">
        <is>
          <t>https://amazon.com/dp/B0DB86T5F5</t>
        </is>
      </c>
      <c r="L117" s="183">
        <f>HYPERLINK(Table65[[#This Row],[Column1]])</f>
        <v/>
      </c>
    </row>
    <row r="118" ht="45" customHeight="1" s="314">
      <c r="A118" s="35" t="inlineStr">
        <is>
          <t>ANCEL AD310BT Enhanced Bluetooth OBD2 Scanner, 2-in-1 Car Engine Fault Code Reader for iPhone &amp; Android, Battery Test, Trip Analysis, Performance Test, Car Diagnostic Scan Tool for All Vehicles 1996+</t>
        </is>
      </c>
      <c r="B118" s="35" t="inlineStr">
        <is>
          <t>B0CR42ZB1T</t>
        </is>
      </c>
      <c r="C118" s="35" t="inlineStr">
        <is>
          <t>Handheld</t>
        </is>
      </c>
      <c r="D118" s="359" t="n">
        <v>49.74735632183909</v>
      </c>
      <c r="E118" s="66" t="n">
        <v>111842.72</v>
      </c>
      <c r="F118" s="66" t="n">
        <v>4328.02</v>
      </c>
      <c r="G118" s="68" t="n">
        <v>2374</v>
      </c>
      <c r="H118" s="70" t="n">
        <v>87</v>
      </c>
      <c r="I118" s="68" t="n">
        <v>144</v>
      </c>
      <c r="J118" s="69" t="n">
        <v>4.5</v>
      </c>
      <c r="K118" s="69" t="inlineStr">
        <is>
          <t>https://amazon.com/dp/B0CR42ZB1T</t>
        </is>
      </c>
      <c r="L118" s="183">
        <f>HYPERLINK(Table65[[#This Row],[Column1]])</f>
        <v/>
      </c>
    </row>
    <row r="119" ht="45" customHeight="1" s="314">
      <c r="A119" s="35" t="inlineStr">
        <is>
          <t>ANCEL OBD2 Scanner Extension Cable 3.3ft/1m, 16 Pin OBDII OBD2 Male to Female Extender Cord, OBD2 Diagnostic Extender Connector for All OBD2 Vehicles</t>
        </is>
      </c>
      <c r="B119" s="35" t="inlineStr">
        <is>
          <t>B0DS453BBG</t>
        </is>
      </c>
      <c r="C119" s="35" t="inlineStr">
        <is>
          <t>Cable/Adapter</t>
        </is>
      </c>
      <c r="D119" s="359" t="n">
        <v>16.04913580246913</v>
      </c>
      <c r="E119" s="66" t="n">
        <v>14492.46153846154</v>
      </c>
      <c r="F119" s="66" t="n">
        <v>1299.98</v>
      </c>
      <c r="G119" s="68" t="n">
        <v>989</v>
      </c>
      <c r="H119" s="70" t="n">
        <v>81</v>
      </c>
      <c r="I119" s="68" t="n">
        <v>36</v>
      </c>
      <c r="J119" s="69" t="n">
        <v>4.6</v>
      </c>
      <c r="K119" s="69" t="inlineStr">
        <is>
          <t>https://amazon.com/dp/B0DS453BBG</t>
        </is>
      </c>
      <c r="L119" s="183">
        <f>HYPERLINK(Table65[[#This Row],[Column1]])</f>
        <v/>
      </c>
    </row>
    <row r="120" ht="45" customHeight="1" s="314">
      <c r="A120" s="35" t="inlineStr">
        <is>
          <t>ANCEL HD7000 Elite 7" Heavy Duty Truck Scanner with DPF Regen, Speed/Idle Adjustment, Service Reset, Diagnostic Tool for Cummins Detroit CAT Volvo Paccar Mack International, Lifetime Free Updates</t>
        </is>
      </c>
      <c r="B120" s="35" t="inlineStr">
        <is>
          <t>B0FP9BMYKG</t>
        </is>
      </c>
      <c r="C120" s="35" t="inlineStr">
        <is>
          <t>Tablet</t>
        </is>
      </c>
      <c r="D120" s="359" t="n">
        <v>510.95275</v>
      </c>
      <c r="E120" s="66" t="n">
        <v>486296.9776923078</v>
      </c>
      <c r="F120" s="66" t="n">
        <v>40876.22</v>
      </c>
      <c r="G120" s="68" t="n">
        <v>418</v>
      </c>
      <c r="H120" s="70" t="n">
        <v>80</v>
      </c>
      <c r="I120" s="68" t="n">
        <v>77</v>
      </c>
      <c r="J120" s="69" t="n">
        <v>3.5</v>
      </c>
      <c r="K120" s="69" t="inlineStr">
        <is>
          <t>https://amazon.com/dp/B0FP9BMYKG</t>
        </is>
      </c>
      <c r="L120" s="183">
        <f>HYPERLINK(Table65[[#This Row],[Column1]])</f>
        <v/>
      </c>
    </row>
    <row r="121" ht="45" customHeight="1" s="314">
      <c r="A121" s="35" t="inlineStr">
        <is>
          <t>ANCEL FD700 Ford Lincoln Mercury OBD2 Scanner, Full System Automotive Car Code Reader with All Functions, Including Battery Registration ABS SRS SAS BMS Oil Reset TPMS Engine IQA EPB Regen</t>
        </is>
      </c>
      <c r="B121" s="35" t="inlineStr">
        <is>
          <t>B08DQV1G7S</t>
        </is>
      </c>
      <c r="C121" s="35" t="inlineStr">
        <is>
          <t>Handheld</t>
        </is>
      </c>
      <c r="D121" s="359" t="n">
        <v>121.2924675324675</v>
      </c>
      <c r="E121" s="66" t="n">
        <v>44434.83538461538</v>
      </c>
      <c r="F121" s="66" t="n">
        <v>9339.52</v>
      </c>
      <c r="G121" s="68" t="n">
        <v>280</v>
      </c>
      <c r="H121" s="70" t="n">
        <v>77</v>
      </c>
      <c r="I121" s="68" t="n">
        <v>243</v>
      </c>
      <c r="J121" s="69" t="n">
        <v>4.4</v>
      </c>
      <c r="K121" s="69" t="inlineStr">
        <is>
          <t>https://amazon.com/dp/B08DQV1G7S</t>
        </is>
      </c>
      <c r="L121" s="183">
        <f>HYPERLINK(Table65[[#This Row],[Column1]])</f>
        <v/>
      </c>
    </row>
    <row r="122" ht="45" customHeight="1" s="314">
      <c r="A122" s="35" t="inlineStr">
        <is>
          <t>ANCEL Protective Case Storage Bag for OBD2 Scanner FX2000 FX6000, Code Reader AD530 VD500 BM700, Battery Tester BST200 BM200 BA301, Professional Waterproof Shockproof Carry Box with Zipper(Case Only)</t>
        </is>
      </c>
      <c r="B122" s="35" t="inlineStr">
        <is>
          <t>B08BNFSTTC</t>
        </is>
      </c>
      <c r="C122" s="35" t="inlineStr">
        <is>
          <t>Other</t>
        </is>
      </c>
      <c r="D122" s="359" t="n">
        <v>25</v>
      </c>
      <c r="E122" s="66" t="n">
        <v>26387.62</v>
      </c>
      <c r="F122" s="66" t="n">
        <v>1850</v>
      </c>
      <c r="G122" s="68" t="n">
        <v>1137</v>
      </c>
      <c r="H122" s="70" t="n">
        <v>74</v>
      </c>
      <c r="I122" s="68" t="n">
        <v>75</v>
      </c>
      <c r="J122" s="69" t="n">
        <v>4.2</v>
      </c>
      <c r="K122" s="69" t="inlineStr">
        <is>
          <t>https://amazon.com/dp/B08BNFSTTC</t>
        </is>
      </c>
      <c r="L122" s="183">
        <f>HYPERLINK(Table65[[#This Row],[Column1]])</f>
        <v/>
      </c>
    </row>
    <row r="123" ht="45" customHeight="1" s="314">
      <c r="A123" s="35" t="inlineStr">
        <is>
          <t>(Upgraded BD310) ANCEL BD330 Fit for BMW OBD2 Scanner – Battery Registration Tool, Code Reader for BMW/Mini/RR, BMW Diagnostic Scan Tool with Full System Diagnostics &amp; Free EPB/Oil/Throttle Resets</t>
        </is>
      </c>
      <c r="B123" s="35" t="inlineStr">
        <is>
          <t>B0CT39TV55</t>
        </is>
      </c>
      <c r="C123" s="35" t="inlineStr">
        <is>
          <t>Handheld</t>
        </is>
      </c>
      <c r="D123" s="359" t="n">
        <v>83.81848484848486</v>
      </c>
      <c r="E123" s="66" t="n">
        <v>55299.73000000001</v>
      </c>
      <c r="F123" s="66" t="n">
        <v>5532.02</v>
      </c>
      <c r="G123" s="68" t="n">
        <v>585</v>
      </c>
      <c r="H123" s="70" t="n">
        <v>66</v>
      </c>
      <c r="I123" s="68" t="n">
        <v>1575</v>
      </c>
      <c r="J123" s="69" t="n">
        <v>4.4</v>
      </c>
      <c r="K123" s="69" t="inlineStr">
        <is>
          <t>https://amazon.com/dp/B0CT39TV55</t>
        </is>
      </c>
      <c r="L123" s="183">
        <f>HYPERLINK(Table65[[#This Row],[Column1]])</f>
        <v/>
      </c>
    </row>
    <row r="124" ht="45" customHeight="1" s="314">
      <c r="A124" s="35" t="inlineStr">
        <is>
          <t>ANCEL Heavy Duty Truck Scanner HD601 All System Diesel Diagnostic Scan Tool fits for Cummins, Detroit, Freightliner, International, Paccar, Check Engine for Truck &amp; Car 2 in 1 Code Reader (Gray)</t>
        </is>
      </c>
      <c r="B124" s="35" t="inlineStr">
        <is>
          <t>B0G2XHXW61</t>
        </is>
      </c>
      <c r="C124" s="35" t="inlineStr">
        <is>
          <t>Handheld</t>
        </is>
      </c>
      <c r="D124" s="359" t="n">
        <v>169.2532307692308</v>
      </c>
      <c r="E124" s="66" t="n">
        <v>122708.5923076923</v>
      </c>
      <c r="F124" s="66" t="n">
        <v>11001.46</v>
      </c>
      <c r="G124" s="68" t="n">
        <v>65</v>
      </c>
      <c r="H124" s="70" t="n">
        <v>65</v>
      </c>
      <c r="I124" s="68" t="n">
        <v>640</v>
      </c>
      <c r="J124" s="69" t="n">
        <v>4</v>
      </c>
      <c r="K124" s="69" t="inlineStr">
        <is>
          <t>https://amazon.com/dp/B0G2XHXW61</t>
        </is>
      </c>
      <c r="L124" s="183">
        <f>HYPERLINK(Table65[[#This Row],[Column1]])</f>
        <v/>
      </c>
    </row>
    <row r="125" ht="45" customHeight="1" s="314">
      <c r="A125" s="35" t="inlineStr">
        <is>
          <t>ANCEL Large Protective Case for OBD2 Scanner and Code Reader, Diagnostic Scan Tool Battery Tester, Storage Box (L) Compatible with ANCEL Products</t>
        </is>
      </c>
      <c r="B125" s="35" t="inlineStr">
        <is>
          <t>B08B13BQK6</t>
        </is>
      </c>
      <c r="C125" s="35" t="inlineStr">
        <is>
          <t>Other</t>
        </is>
      </c>
      <c r="D125" s="359" t="n">
        <v>22.121875</v>
      </c>
      <c r="E125" s="66" t="n">
        <v>30072.46461538462</v>
      </c>
      <c r="F125" s="66" t="n">
        <v>1415.8</v>
      </c>
      <c r="G125" s="68" t="n">
        <v>1374</v>
      </c>
      <c r="H125" s="70" t="n">
        <v>64</v>
      </c>
      <c r="I125" s="68" t="n">
        <v>1072</v>
      </c>
      <c r="J125" s="69" t="n">
        <v>4.5</v>
      </c>
      <c r="K125" s="69" t="inlineStr">
        <is>
          <t>https://amazon.com/dp/B08B13BQK6</t>
        </is>
      </c>
      <c r="L125" s="183">
        <f>HYPERLINK(Table65[[#This Row],[Column1]])</f>
        <v/>
      </c>
    </row>
    <row r="126" ht="30" customHeight="1" s="314">
      <c r="A126" s="35" t="inlineStr">
        <is>
          <t>ANCEL JP700 JOBD OBD2 Japanese Car Scanner, JDM Automotive Code Reader Check Engine Light OBDII Diagnostic Scan Tool Fits for Toyota Nissan Honda Mazda Subaru Vehicle Diagnosis</t>
        </is>
      </c>
      <c r="B126" s="35" t="inlineStr">
        <is>
          <t>B07B8FV26L</t>
        </is>
      </c>
      <c r="C126" s="35" t="inlineStr">
        <is>
          <t>Handheld</t>
        </is>
      </c>
      <c r="D126" s="359" t="n">
        <v>49.79476190476191</v>
      </c>
      <c r="E126" s="66" t="n">
        <v>33158.81</v>
      </c>
      <c r="F126" s="66" t="n">
        <v>3137.07</v>
      </c>
      <c r="G126" s="68" t="n">
        <v>664</v>
      </c>
      <c r="H126" s="70" t="n">
        <v>63</v>
      </c>
      <c r="I126" s="68" t="n">
        <v>608</v>
      </c>
      <c r="J126" s="69" t="n">
        <v>3.9</v>
      </c>
      <c r="K126" s="69" t="inlineStr">
        <is>
          <t>https://amazon.com/dp/B07B8FV26L</t>
        </is>
      </c>
      <c r="L126" s="183">
        <f>HYPERLINK(Table65[[#This Row],[Column1]])</f>
        <v/>
      </c>
    </row>
    <row r="127" ht="45" customHeight="1" s="314">
      <c r="A127" s="35" t="inlineStr">
        <is>
          <t>ANCEL Waterproof Storage Case Bag for HD100 Heavy Duty Truck Scanner and Other Testers - Durable Zipper Carry Box (8.66’’ x 6.22’’ x 3.15’’)</t>
        </is>
      </c>
      <c r="B127" s="35" t="inlineStr">
        <is>
          <t>B0DPH4VF4Y</t>
        </is>
      </c>
      <c r="C127" s="35" t="inlineStr">
        <is>
          <t>Other</t>
        </is>
      </c>
      <c r="D127" s="359" t="n">
        <v>18.92327868852459</v>
      </c>
      <c r="E127" s="66" t="n">
        <v>7896.95</v>
      </c>
      <c r="F127" s="66" t="n">
        <v>1154.32</v>
      </c>
      <c r="G127" s="68" t="n">
        <v>409</v>
      </c>
      <c r="H127" s="70" t="n">
        <v>61</v>
      </c>
      <c r="I127" s="68" t="n">
        <v>173</v>
      </c>
      <c r="J127" s="69" t="n">
        <v>4.2</v>
      </c>
      <c r="K127" s="69" t="inlineStr">
        <is>
          <t>https://amazon.com/dp/B0DPH4VF4Y</t>
        </is>
      </c>
      <c r="L127" s="183">
        <f>HYPERLINK(Table65[[#This Row],[Column1]])</f>
        <v/>
      </c>
    </row>
    <row r="128" ht="45" customHeight="1" s="314">
      <c r="A128" s="35" t="inlineStr">
        <is>
          <t>ANCEL BZ700 Mercedes Benz Sprinter Smart OBD2 Scanner, Full System Automotive Car Code Reader with All Reset Services, Battery Registration ABS Bleed Airbag EPB Oil SAS TPS CKP Active Test</t>
        </is>
      </c>
      <c r="B128" s="35" t="inlineStr">
        <is>
          <t>B0B2NR31DQ</t>
        </is>
      </c>
      <c r="C128" s="35" t="inlineStr">
        <is>
          <t>Handheld</t>
        </is>
      </c>
      <c r="D128" s="359" t="n">
        <v>129.3881967213115</v>
      </c>
      <c r="E128" s="66" t="n">
        <v>68473.37000000001</v>
      </c>
      <c r="F128" s="66" t="n">
        <v>7892.68</v>
      </c>
      <c r="G128" s="68" t="n">
        <v>529</v>
      </c>
      <c r="H128" s="70" t="n">
        <v>61</v>
      </c>
      <c r="I128" s="68" t="n">
        <v>228</v>
      </c>
      <c r="J128" s="69" t="n">
        <v>3.7</v>
      </c>
      <c r="K128" s="69" t="inlineStr">
        <is>
          <t>https://amazon.com/dp/B0B2NR31DQ</t>
        </is>
      </c>
      <c r="L128" s="183">
        <f>HYPERLINK(Table65[[#This Row],[Column1]])</f>
        <v/>
      </c>
    </row>
    <row r="129" ht="45" customHeight="1" s="314">
      <c r="A129" s="35" t="inlineStr">
        <is>
          <t>ANCEL HD200 Bluetooth Heavy Duty Truck Scanner, Speed Limit and Idle Reset for Cummins &amp; Caterpillar Engines, J1939/J1708 Diesel Code Reader &amp; All-System Diagnostic Tool, Lifetime Free Updates</t>
        </is>
      </c>
      <c r="B129" s="35" t="inlineStr">
        <is>
          <t>B0D9JYL5Y5</t>
        </is>
      </c>
      <c r="C129" s="35" t="inlineStr">
        <is>
          <t>Cable/Adapter</t>
        </is>
      </c>
      <c r="D129" s="359" t="n">
        <v>175.8375</v>
      </c>
      <c r="E129" s="66" t="n">
        <v>174453.09</v>
      </c>
      <c r="F129" s="66" t="n">
        <v>10550.25</v>
      </c>
      <c r="G129" s="68" t="n">
        <v>942</v>
      </c>
      <c r="H129" s="70" t="n">
        <v>60</v>
      </c>
      <c r="I129" s="68" t="n">
        <v>111</v>
      </c>
      <c r="J129" s="69" t="n">
        <v>3.6</v>
      </c>
      <c r="K129" s="69" t="inlineStr">
        <is>
          <t>https://amazon.com/dp/B0D9JYL5Y5</t>
        </is>
      </c>
      <c r="L129" s="183">
        <f>HYPERLINK(Table65[[#This Row],[Column1]])</f>
        <v/>
      </c>
    </row>
    <row r="130" ht="45" customHeight="1" s="314">
      <c r="A130" s="35" t="inlineStr">
        <is>
          <t>ANCEL VOD700 All System OBD2 Scanner Fits for Volvo Car Code Reader Full Function Diagnostic Scan Tool ABS Bleeding Injector Oil ETC SRL BMS EPB TPMS Reset Tool</t>
        </is>
      </c>
      <c r="B130" s="35" t="inlineStr">
        <is>
          <t>B0B45WGSDX</t>
        </is>
      </c>
      <c r="C130" s="35" t="inlineStr">
        <is>
          <t>Handheld</t>
        </is>
      </c>
      <c r="D130" s="359" t="n">
        <v>129.7367857142857</v>
      </c>
      <c r="E130" s="66" t="n">
        <v>73901.41</v>
      </c>
      <c r="F130" s="66" t="n">
        <v>7265.26</v>
      </c>
      <c r="G130" s="68" t="n">
        <v>569</v>
      </c>
      <c r="H130" s="70" t="n">
        <v>56</v>
      </c>
      <c r="I130" s="68" t="n">
        <v>137</v>
      </c>
      <c r="J130" s="69" t="n">
        <v>4</v>
      </c>
      <c r="K130" s="69" t="inlineStr">
        <is>
          <t>https://amazon.com/dp/B0B45WGSDX</t>
        </is>
      </c>
      <c r="L130" s="183">
        <f>HYPERLINK(Table65[[#This Row],[Column1]])</f>
        <v/>
      </c>
    </row>
    <row r="131" ht="30" customHeight="1" s="314">
      <c r="A131" s="35" t="inlineStr">
        <is>
          <t>ANCEL Obd2 Female to 20 Pin Extension Convert Adapter OBD1 to OBD II Cable for 20 Pin E31 E32 E34 E36 E39 E38 E53 X 5 Z3</t>
        </is>
      </c>
      <c r="B131" s="35" t="inlineStr">
        <is>
          <t>B0B2LKYW3T</t>
        </is>
      </c>
      <c r="C131" s="35" t="inlineStr">
        <is>
          <t>Cable/Adapter</t>
        </is>
      </c>
      <c r="D131" s="359" t="n">
        <v>16.00903846153846</v>
      </c>
      <c r="E131" s="66" t="n">
        <v>9772.669999999998</v>
      </c>
      <c r="F131" s="66" t="n">
        <v>832.47</v>
      </c>
      <c r="G131" s="68" t="n">
        <v>612</v>
      </c>
      <c r="H131" s="70" t="n">
        <v>52</v>
      </c>
      <c r="I131" s="68" t="n">
        <v>241</v>
      </c>
      <c r="J131" s="69" t="n">
        <v>4.4</v>
      </c>
      <c r="K131" s="69" t="inlineStr">
        <is>
          <t>https://amazon.com/dp/B0B2LKYW3T</t>
        </is>
      </c>
      <c r="L131" s="183">
        <f>HYPERLINK(Table65[[#This Row],[Column1]])</f>
        <v/>
      </c>
    </row>
    <row r="132" ht="60" customHeight="1" s="314">
      <c r="A132" s="35" t="inlineStr">
        <is>
          <t>ANCEL MT500 PRO Motorcycle Scanner, Full-System OBD2 Diagnostic Tool with Quick Service Resets &amp; Advanced Programming, Fits for Harley, Honda, Yamaha, Indian, Kawasaki, Suzuki, Polaris, BRP, Victory</t>
        </is>
      </c>
      <c r="B132" s="35" t="inlineStr">
        <is>
          <t>B0BN1YCCD8</t>
        </is>
      </c>
      <c r="C132" s="35" t="inlineStr">
        <is>
          <t>Tablet</t>
        </is>
      </c>
      <c r="D132" s="359" t="n">
        <v>543.1451999999999</v>
      </c>
      <c r="E132" s="66" t="n">
        <v>160976.99</v>
      </c>
      <c r="F132" s="66" t="n">
        <v>27157.26</v>
      </c>
      <c r="G132" s="68" t="n">
        <v>291</v>
      </c>
      <c r="H132" s="70" t="n">
        <v>50</v>
      </c>
      <c r="I132" s="68" t="n">
        <v>130</v>
      </c>
      <c r="J132" s="69" t="n">
        <v>4.1</v>
      </c>
      <c r="K132" s="69" t="inlineStr">
        <is>
          <t>https://amazon.com/dp/B0BN1YCCD8</t>
        </is>
      </c>
      <c r="L132" s="183">
        <f>HYPERLINK(Table65[[#This Row],[Column1]])</f>
        <v/>
      </c>
    </row>
    <row r="133" ht="45" customHeight="1" s="314">
      <c r="A133" s="35" t="inlineStr">
        <is>
          <t>ANCEL FX6000 Bidirectional OBD2 Scanner - ABS, SRS, Transmission &amp; Engine, Car Scanner Diagnostic Tool with Oil/EPB/BMS/SAS Reset, ABS Bleeding, Auto Scan, CAN FD &amp; FCA, Free Update, Report Sharing ﻿</t>
        </is>
      </c>
      <c r="B133" s="35" t="inlineStr">
        <is>
          <t>B0F38MDM2H</t>
        </is>
      </c>
      <c r="C133" s="35" t="inlineStr">
        <is>
          <t>Tablet</t>
        </is>
      </c>
      <c r="D133" s="359" t="n">
        <v>259.0585714285714</v>
      </c>
      <c r="E133" s="66" t="n">
        <v>344623.7384615384</v>
      </c>
      <c r="F133" s="66" t="n">
        <v>12693.87</v>
      </c>
      <c r="G133" s="68" t="n">
        <v>1468</v>
      </c>
      <c r="H133" s="70" t="n">
        <v>49</v>
      </c>
      <c r="I133" s="68" t="n">
        <v>167</v>
      </c>
      <c r="J133" s="69" t="n">
        <v>4.4</v>
      </c>
      <c r="K133" s="69" t="inlineStr">
        <is>
          <t>https://amazon.com/dp/B0F38MDM2H</t>
        </is>
      </c>
      <c r="L133" s="183">
        <f>HYPERLINK(Table65[[#This Row],[Column1]])</f>
        <v/>
      </c>
    </row>
    <row r="134" ht="45" customHeight="1" s="314">
      <c r="A134" s="35" t="inlineStr">
        <is>
          <t>ANCEL FX2000-US OBD2 Scanner Diagnostic Tool, ABS SRS Transmission Airbag Car Scanner, Check Engine Car Code Reader, Automotive Diagnostic Tool Lifetime Free Upgrade</t>
        </is>
      </c>
      <c r="B134" s="35" t="inlineStr">
        <is>
          <t>B07N69PC3D</t>
        </is>
      </c>
      <c r="C134" s="35" t="inlineStr">
        <is>
          <t>Tablet</t>
        </is>
      </c>
      <c r="D134" s="359" t="n">
        <v>171.106</v>
      </c>
      <c r="E134" s="66" t="n">
        <v>431099.4300000001</v>
      </c>
      <c r="F134" s="66" t="n">
        <v>7699.77</v>
      </c>
      <c r="G134" s="68" t="n">
        <v>2937</v>
      </c>
      <c r="H134" s="70" t="n">
        <v>45</v>
      </c>
      <c r="I134" s="68" t="n">
        <v>4067</v>
      </c>
      <c r="J134" s="69" t="n">
        <v>4.3</v>
      </c>
      <c r="K134" s="69" t="inlineStr">
        <is>
          <t>https://amazon.com/dp/B07N69PC3D</t>
        </is>
      </c>
      <c r="L134" s="183">
        <f>HYPERLINK(Table65[[#This Row],[Column1]])</f>
        <v/>
      </c>
    </row>
    <row r="135" ht="30" customHeight="1" s="314">
      <c r="A135" s="35" t="inlineStr">
        <is>
          <t>ANCEL TD700 Fits for Toyota OBD2 Scanner, Engine Car Diagnostic Scan Tool Fit for Toyota Lexus Scion, All System Code Reader Reading/Erasing Code,1996-2021</t>
        </is>
      </c>
      <c r="B135" s="35" t="inlineStr">
        <is>
          <t>B0BLYXVR4K</t>
        </is>
      </c>
      <c r="C135" s="35" t="inlineStr">
        <is>
          <t>Handheld</t>
        </is>
      </c>
      <c r="D135" s="359" t="n">
        <v>141.4154761904762</v>
      </c>
      <c r="E135" s="66" t="n">
        <v>59772.5</v>
      </c>
      <c r="F135" s="66" t="n">
        <v>5939.45</v>
      </c>
      <c r="G135" s="68" t="n">
        <v>429</v>
      </c>
      <c r="H135" s="70" t="n">
        <v>42</v>
      </c>
      <c r="I135" s="68" t="n">
        <v>174</v>
      </c>
      <c r="J135" s="69" t="n">
        <v>4.1</v>
      </c>
      <c r="K135" s="69" t="inlineStr">
        <is>
          <t>https://amazon.com/dp/B0BLYXVR4K</t>
        </is>
      </c>
      <c r="L135" s="183">
        <f>HYPERLINK(Table65[[#This Row],[Column1]])</f>
        <v/>
      </c>
    </row>
    <row r="136" ht="45" customHeight="1" s="314">
      <c r="A136" s="35" t="inlineStr">
        <is>
          <t>ANCEL BM700 PRO Fit for BMW Scanner - Battery Registration Tool, Code Reader for BMW/Mini/RR, Advanced OBD2 Scanner Auto V-I-N, Full System Diagnostic for BMW Scan Tool with All Reset Services (Red)</t>
        </is>
      </c>
      <c r="B136" s="35" t="inlineStr">
        <is>
          <t>B0F7R5J5Y6</t>
        </is>
      </c>
      <c r="C136" s="35" t="inlineStr">
        <is>
          <t>Handheld</t>
        </is>
      </c>
      <c r="D136" s="359" t="n">
        <v>147.0736585365854</v>
      </c>
      <c r="E136" s="66" t="n">
        <v>174035.4369230769</v>
      </c>
      <c r="F136" s="66" t="n">
        <v>6030.02</v>
      </c>
      <c r="G136" s="68" t="n">
        <v>1070</v>
      </c>
      <c r="H136" s="70" t="n">
        <v>41</v>
      </c>
      <c r="I136" s="68" t="n">
        <v>2228</v>
      </c>
      <c r="J136" s="69" t="n">
        <v>4.5</v>
      </c>
      <c r="K136" s="69" t="inlineStr">
        <is>
          <t>https://amazon.com/dp/B0F7R5J5Y6</t>
        </is>
      </c>
      <c r="L136" s="183">
        <f>HYPERLINK(Table65[[#This Row],[Column1]])</f>
        <v/>
      </c>
    </row>
    <row r="137" ht="45" customHeight="1" s="314">
      <c r="A137" s="35" t="inlineStr">
        <is>
          <t>ANCEL BD200 OBD2 Scanner Bluetooth - Code Reader &amp; Check Engine Diagnostic Scan Tools with Car Battery Test, Exclusive App on iOS &amp; Android, Wireless OBDII Adapter Works for 1996 &amp; Newer Vehicles</t>
        </is>
      </c>
      <c r="B137" s="35" t="inlineStr">
        <is>
          <t>B08DFYMTS6</t>
        </is>
      </c>
      <c r="C137" s="35" t="inlineStr">
        <is>
          <t>Dongle</t>
        </is>
      </c>
      <c r="D137" s="359" t="n">
        <v>40.12230769230769</v>
      </c>
      <c r="E137" s="66" t="n">
        <v>33431.54</v>
      </c>
      <c r="F137" s="66" t="n">
        <v>1564.77</v>
      </c>
      <c r="G137" s="68" t="n">
        <v>847</v>
      </c>
      <c r="H137" s="70" t="n">
        <v>39</v>
      </c>
      <c r="I137" s="68" t="n">
        <v>1909</v>
      </c>
      <c r="J137" s="69" t="n">
        <v>4.3</v>
      </c>
      <c r="K137" s="69" t="inlineStr">
        <is>
          <t>https://amazon.com/dp/B08DFYMTS6</t>
        </is>
      </c>
      <c r="L137" s="183">
        <f>HYPERLINK(Table65[[#This Row],[Column1]])</f>
        <v/>
      </c>
    </row>
    <row r="138" ht="45" customHeight="1" s="314">
      <c r="A138" s="35" t="inlineStr">
        <is>
          <t>ANCEL HD120 Heavy Duty Truck Scanner with DPF Regen for Volvo &amp; International MaxxForce Engine, Full-System HDOBD &amp; OBD2 Diesel Truck Diagnostic Tool, Lifetime Free Updates</t>
        </is>
      </c>
      <c r="B138" s="35" t="inlineStr">
        <is>
          <t>B0F8MY1FJQ</t>
        </is>
      </c>
      <c r="C138" s="35" t="inlineStr">
        <is>
          <t>Tablet</t>
        </is>
      </c>
      <c r="D138" s="359" t="n">
        <v>179.2768571428571</v>
      </c>
      <c r="E138" s="66" t="n">
        <v>126030.8961538462</v>
      </c>
      <c r="F138" s="66" t="n">
        <v>6274.69</v>
      </c>
      <c r="G138" s="68" t="n">
        <v>550</v>
      </c>
      <c r="H138" s="70" t="n">
        <v>35</v>
      </c>
      <c r="I138" s="68" t="n">
        <v>74</v>
      </c>
      <c r="J138" s="69" t="n">
        <v>3.7</v>
      </c>
      <c r="K138" s="69" t="inlineStr">
        <is>
          <t>https://amazon.com/dp/B0F8MY1FJQ</t>
        </is>
      </c>
      <c r="L138" s="183">
        <f>HYPERLINK(Table65[[#This Row],[Column1]])</f>
        <v/>
      </c>
    </row>
    <row r="139" ht="45" customHeight="1" s="314">
      <c r="A139" s="35" t="inlineStr">
        <is>
          <t>ANCEL Echo OBD2 Scanner Bluetooth - All Systems Code Reader, Car Diagnostic Tool for iOS Android, Vehicle Scanner for Oil Light &amp; Brake Reset, Battery Registration - Bidirectional Scan Tool, Live Data</t>
        </is>
      </c>
      <c r="B139" s="35" t="inlineStr">
        <is>
          <t>B0D8HQG673</t>
        </is>
      </c>
      <c r="C139" s="35" t="inlineStr">
        <is>
          <t>Dongle</t>
        </is>
      </c>
      <c r="D139" s="359" t="n">
        <v>98.62866666666667</v>
      </c>
      <c r="E139" s="66" t="n">
        <v>83243.97</v>
      </c>
      <c r="F139" s="66" t="n">
        <v>2958.86</v>
      </c>
      <c r="G139" s="68" t="n">
        <v>869</v>
      </c>
      <c r="H139" s="70" t="n">
        <v>30</v>
      </c>
      <c r="I139" s="68" t="n">
        <v>263</v>
      </c>
      <c r="J139" s="69" t="n">
        <v>4.1</v>
      </c>
      <c r="K139" s="69" t="inlineStr">
        <is>
          <t>https://amazon.com/dp/B0D8HQG673</t>
        </is>
      </c>
      <c r="L139" s="183">
        <f>HYPERLINK(Table65[[#This Row],[Column1]])</f>
        <v/>
      </c>
    </row>
    <row r="140" ht="45" customHeight="1" s="314">
      <c r="A140" s="35" t="inlineStr">
        <is>
          <t>ANCEL AD610 Pro ABS SRS OBD2 Scanner, ABS Bleeding, SAS Calibration, ABS, Airbag, EPB, Oil Reset, Full OBD2 Functions, AutoVIN, Free Lifetime WiFi Updates</t>
        </is>
      </c>
      <c r="B140" s="35" t="inlineStr">
        <is>
          <t>B0DBZC9PRC</t>
        </is>
      </c>
      <c r="C140" s="35" t="inlineStr">
        <is>
          <t>Handheld</t>
        </is>
      </c>
      <c r="D140" s="359" t="n">
        <v>150.9976666666667</v>
      </c>
      <c r="E140" s="66" t="n">
        <v>131712.35</v>
      </c>
      <c r="F140" s="66" t="n">
        <v>4529.93</v>
      </c>
      <c r="G140" s="68" t="n">
        <v>912</v>
      </c>
      <c r="H140" s="70" t="n">
        <v>30</v>
      </c>
      <c r="I140" s="68" t="n">
        <v>197</v>
      </c>
      <c r="J140" s="69" t="n">
        <v>4.3</v>
      </c>
      <c r="K140" s="69" t="inlineStr">
        <is>
          <t>https://amazon.com/dp/B0DBZC9PRC</t>
        </is>
      </c>
      <c r="L140" s="183">
        <f>HYPERLINK(Table65[[#This Row],[Column1]])</f>
        <v/>
      </c>
    </row>
    <row r="141" ht="45" customHeight="1" s="314">
      <c r="A141" s="35" t="inlineStr">
        <is>
          <t>ANCEL MT700 Motorcycle OBD2 Scanner Full Systems, ABS Transmission Diagnostic Tool with 35+ Reset Functions for Aprilia/Benelli/MMW/BRP/Ducati/Harley/Honda/Indian/Suzuki,Android, 7” Touch Screen, 16GB</t>
        </is>
      </c>
      <c r="B141" s="35" t="inlineStr">
        <is>
          <t>B0BMZW65LJ</t>
        </is>
      </c>
      <c r="C141" s="35" t="inlineStr">
        <is>
          <t>Tablet</t>
        </is>
      </c>
      <c r="D141" s="359" t="n">
        <v>1000.519310344828</v>
      </c>
      <c r="E141" s="66" t="n">
        <v>141223.82</v>
      </c>
      <c r="F141" s="66" t="n">
        <v>29015.06</v>
      </c>
      <c r="G141" s="68" t="n">
        <v>142</v>
      </c>
      <c r="H141" s="70" t="n">
        <v>29</v>
      </c>
      <c r="I141" s="68" t="n">
        <v>882</v>
      </c>
      <c r="J141" s="69" t="n">
        <v>4.5</v>
      </c>
      <c r="K141" s="69" t="inlineStr">
        <is>
          <t>https://amazon.com/dp/B0BMZW65LJ</t>
        </is>
      </c>
      <c r="L141" s="183">
        <f>HYPERLINK(Table65[[#This Row],[Column1]])</f>
        <v/>
      </c>
    </row>
    <row r="142" ht="60" customHeight="1" s="314">
      <c r="A142" s="35" t="inlineStr">
        <is>
          <t>ANCEL AD610 Pro OBD2 Scanner - ABS SRS Code Reader, Check Engine Light Diagnostic Tool with ABS Bleeding, AutoVIN, Real-Time Data, Full OBD2 Functions, SAS/Oil/EPB Reset</t>
        </is>
      </c>
      <c r="B142" s="35" t="inlineStr">
        <is>
          <t>B0DN9H8Z6W</t>
        </is>
      </c>
      <c r="C142" s="35" t="inlineStr">
        <is>
          <t>Handheld</t>
        </is>
      </c>
      <c r="D142" s="359" t="n">
        <v>152.538</v>
      </c>
      <c r="E142" s="66" t="n">
        <v>77728.06</v>
      </c>
      <c r="F142" s="66" t="n">
        <v>3813.45</v>
      </c>
      <c r="G142" s="68" t="n">
        <v>528</v>
      </c>
      <c r="H142" s="70" t="n">
        <v>25</v>
      </c>
      <c r="I142" s="68" t="n">
        <v>96</v>
      </c>
      <c r="J142" s="69" t="n">
        <v>4.2</v>
      </c>
      <c r="K142" s="69" t="inlineStr">
        <is>
          <t>https://amazon.com/dp/B0DN9H8Z6W</t>
        </is>
      </c>
      <c r="L142" s="183">
        <f>HYPERLINK(Table65[[#This Row],[Column1]])</f>
        <v/>
      </c>
    </row>
    <row r="143" ht="45" customHeight="1" s="314">
      <c r="A143" s="35" t="inlineStr">
        <is>
          <t>ANCEL MR500 Marine Diagnostic Tool for Yamaha (2003–2024) – Jet Ski &amp; Outboard Engine Scanner, 15+ Service Functions, Read/Clear Codes, Live Data, Active Tests</t>
        </is>
      </c>
      <c r="B143" s="35" t="inlineStr">
        <is>
          <t>B0CQNVYKDH</t>
        </is>
      </c>
      <c r="C143" s="35" t="inlineStr">
        <is>
          <t>Tablet</t>
        </is>
      </c>
      <c r="D143" s="359" t="n">
        <v>690.0427272727273</v>
      </c>
      <c r="E143" s="66" t="n">
        <v>102387.71</v>
      </c>
      <c r="F143" s="66" t="n">
        <v>15180.94</v>
      </c>
      <c r="G143" s="68" t="n">
        <v>142</v>
      </c>
      <c r="H143" s="70" t="n">
        <v>22</v>
      </c>
      <c r="I143" s="68" t="n">
        <v>9</v>
      </c>
      <c r="J143" s="69" t="n">
        <v>4.1</v>
      </c>
      <c r="K143" s="69" t="inlineStr">
        <is>
          <t>https://amazon.com/dp/B0CQNVYKDH</t>
        </is>
      </c>
      <c r="L143" s="183">
        <f>HYPERLINK(Table65[[#This Row],[Column1]])</f>
        <v/>
      </c>
    </row>
    <row r="144" ht="45" customHeight="1" s="314">
      <c r="A144" s="35" t="inlineStr">
        <is>
          <t>ANCEL AD310 Pro 2-in-1 OBD2 Scanner &amp; Car Battery Tester, Diagnostic Tool with Bluetooth APP for iPhone &amp; Android, Performance Test, Trip Analysis, Engine Health Self Check for All 1996+ Vehicles</t>
        </is>
      </c>
      <c r="B144" s="35" t="inlineStr">
        <is>
          <t>B0F8QRT8MB</t>
        </is>
      </c>
      <c r="C144" s="35" t="inlineStr">
        <is>
          <t>Handheld</t>
        </is>
      </c>
      <c r="D144" s="359" t="n">
        <v>112.3740909090909</v>
      </c>
      <c r="E144" s="66" t="n">
        <v>57171.9053846154</v>
      </c>
      <c r="F144" s="66" t="n">
        <v>2472.23</v>
      </c>
      <c r="G144" s="68" t="n">
        <v>467</v>
      </c>
      <c r="H144" s="70" t="n">
        <v>22</v>
      </c>
      <c r="I144" s="68" t="n">
        <v>75</v>
      </c>
      <c r="J144" s="69" t="n">
        <v>4.8</v>
      </c>
      <c r="K144" s="69" t="inlineStr">
        <is>
          <t>https://amazon.com/dp/B0F8QRT8MB</t>
        </is>
      </c>
      <c r="L144" s="183">
        <f>HYPERLINK(Table65[[#This Row],[Column1]])</f>
        <v/>
      </c>
    </row>
    <row r="145" ht="45" customHeight="1" s="314">
      <c r="A145" s="35" t="inlineStr">
        <is>
          <t>ANCEL EVA Hard Protective Case for V5 HD PRO Heavy Truck Scanner, Waterproof Shockproof Storage Bag with Large Capacity, Smooth Zippers and Easy Carry Handle, Travel Ready</t>
        </is>
      </c>
      <c r="B145" s="35" t="inlineStr">
        <is>
          <t>B0828TC9T9</t>
        </is>
      </c>
      <c r="C145" s="35" t="inlineStr">
        <is>
          <t>Other</t>
        </is>
      </c>
      <c r="D145" s="359" t="n">
        <v>31.572</v>
      </c>
      <c r="E145" s="66" t="n">
        <v>7106.944615384618</v>
      </c>
      <c r="F145" s="66" t="n">
        <v>631.4400000000001</v>
      </c>
      <c r="G145" s="68" t="n">
        <v>22</v>
      </c>
      <c r="H145" s="70" t="n">
        <v>20</v>
      </c>
      <c r="I145" s="68" t="n">
        <v>172</v>
      </c>
      <c r="J145" s="69" t="n">
        <v>4.2</v>
      </c>
      <c r="K145" s="69" t="inlineStr">
        <is>
          <t>https://amazon.com/dp/B0828TC9T9</t>
        </is>
      </c>
      <c r="L145" s="183">
        <f>HYPERLINK(Table65[[#This Row],[Column1]])</f>
        <v/>
      </c>
    </row>
    <row r="146" ht="45" customHeight="1" s="314">
      <c r="A146" s="35" t="inlineStr">
        <is>
          <t>ANCEL CAN 3 - CAN 1 Crossover Cable for 2016 &amp; Newer Paccar Peterbilts/Kenworths/Cummins Engines, 9 Pin Heavy Duty Truck Scanner Diagnostic Adapter Tool</t>
        </is>
      </c>
      <c r="B146" s="35" t="inlineStr">
        <is>
          <t>B0C4FGGVZ4</t>
        </is>
      </c>
      <c r="C146" s="35" t="inlineStr">
        <is>
          <t>Cable/Adapter</t>
        </is>
      </c>
      <c r="D146" s="359" t="n">
        <v>40.4921052631579</v>
      </c>
      <c r="E146" s="66" t="n">
        <v>16426.63</v>
      </c>
      <c r="F146" s="66" t="n">
        <v>769.35</v>
      </c>
      <c r="G146" s="68" t="n">
        <v>320</v>
      </c>
      <c r="H146" s="70" t="n">
        <v>19</v>
      </c>
      <c r="I146" s="68" t="n">
        <v>16</v>
      </c>
      <c r="J146" s="69" t="n">
        <v>4.5</v>
      </c>
      <c r="K146" s="69" t="inlineStr">
        <is>
          <t>https://amazon.com/dp/B0C4FGGVZ4</t>
        </is>
      </c>
      <c r="L146" s="183">
        <f>HYPERLINK(Table65[[#This Row],[Column1]])</f>
        <v/>
      </c>
    </row>
    <row r="147" ht="45" customHeight="1" s="314">
      <c r="A147" s="35" t="inlineStr">
        <is>
          <t>ANCEL V5 HD PRO Heavy Duty Truck Scanner, New Bi-Directional Control Diesel Scanner, Full System Diagnostic Scan Tool with 40+ Resets, ABS SRS D-P-F Regen for Semi Trucks Commercial Vehicles</t>
        </is>
      </c>
      <c r="B147" s="35" t="inlineStr">
        <is>
          <t>B0FH4FPPLL</t>
        </is>
      </c>
      <c r="C147" s="35" t="inlineStr">
        <is>
          <t>Tablet</t>
        </is>
      </c>
      <c r="D147" s="359" t="n">
        <v>711.8111111111111</v>
      </c>
      <c r="E147" s="66" t="n">
        <v>175179.466923077</v>
      </c>
      <c r="F147" s="66" t="n">
        <v>12812.6</v>
      </c>
      <c r="G147" s="68" t="n">
        <v>164</v>
      </c>
      <c r="H147" s="70" t="n">
        <v>18</v>
      </c>
      <c r="I147" s="68" t="n">
        <v>172</v>
      </c>
      <c r="J147" s="69" t="n">
        <v>4.2</v>
      </c>
      <c r="K147" s="69" t="inlineStr">
        <is>
          <t>https://amazon.com/dp/B0FH4FPPLL</t>
        </is>
      </c>
      <c r="L147" s="183">
        <f>HYPERLINK(Table65[[#This Row],[Column1]])</f>
        <v/>
      </c>
    </row>
    <row r="148" ht="45" customHeight="1" s="314">
      <c r="A148" s="35" t="inlineStr">
        <is>
          <t>ANCEL OBD2 Scanner V5BT-US All Systems Bidirectional Scan Tool, Wireless Car Scanner with Active Test,Oil/TPMS/EPB/BMS/SAS/DPF/Throttle Reset, ABS Bleeding, Car Diagnostic Tool for All Vehicles</t>
        </is>
      </c>
      <c r="B148" s="35" t="inlineStr">
        <is>
          <t>B0CP2PFJWS</t>
        </is>
      </c>
      <c r="C148" s="35" t="inlineStr">
        <is>
          <t>Tablet</t>
        </is>
      </c>
      <c r="D148" s="359" t="n">
        <v>406.516875</v>
      </c>
      <c r="E148" s="66" t="n">
        <v>81253.32999999999</v>
      </c>
      <c r="F148" s="66" t="n">
        <v>6504.27</v>
      </c>
      <c r="G148" s="68" t="n">
        <v>177</v>
      </c>
      <c r="H148" s="70" t="n">
        <v>16</v>
      </c>
      <c r="I148" s="68" t="n">
        <v>77</v>
      </c>
      <c r="J148" s="69" t="n">
        <v>4.5</v>
      </c>
      <c r="K148" s="69" t="inlineStr">
        <is>
          <t>https://amazon.com/dp/B0CP2PFJWS</t>
        </is>
      </c>
      <c r="L148" s="183">
        <f>HYPERLINK(Table65[[#This Row],[Column1]])</f>
        <v/>
      </c>
    </row>
    <row r="149" ht="60" customHeight="1" s="314">
      <c r="A149" s="35" t="inlineStr">
        <is>
          <t>ANCEL Large Hard Protective Case for Heavy Duty Truck Scanner HD3300 Plus+ HD3600 HD430, OBD2 Scanner Diagnostic Tool FX6000 Elite FX6100, Automotive Smoke Machine Leak Detector S3000 S3000 PRO</t>
        </is>
      </c>
      <c r="B149" s="35" t="inlineStr">
        <is>
          <t>B0FJFJRX71</t>
        </is>
      </c>
      <c r="C149" s="35" t="inlineStr">
        <is>
          <t>Other</t>
        </is>
      </c>
      <c r="D149" s="359" t="n">
        <v>31.85846153846154</v>
      </c>
      <c r="E149" s="66" t="n">
        <v>7230.660769230767</v>
      </c>
      <c r="F149" s="66" t="n">
        <v>414.16</v>
      </c>
      <c r="G149" s="68" t="n">
        <v>142</v>
      </c>
      <c r="H149" s="70" t="n">
        <v>13</v>
      </c>
      <c r="I149" s="68" t="n">
        <v>108</v>
      </c>
      <c r="J149" s="69" t="n">
        <v>3.4</v>
      </c>
      <c r="K149" s="69" t="inlineStr">
        <is>
          <t>https://amazon.com/dp/B0FJFJRX71</t>
        </is>
      </c>
      <c r="L149" s="183">
        <f>HYPERLINK(Table65[[#This Row],[Column1]])</f>
        <v/>
      </c>
    </row>
    <row r="150" ht="45" customHeight="1" s="314">
      <c r="A150" s="35" t="inlineStr">
        <is>
          <t>ANCEL Large Hard Protective Case Storage Box for ANCEL HD8000 Heavy Duty Truck Scanner (Only the Case)</t>
        </is>
      </c>
      <c r="B150" s="35" t="inlineStr">
        <is>
          <t>B0DPH4CDJ3</t>
        </is>
      </c>
      <c r="C150" s="35" t="inlineStr">
        <is>
          <t>Other</t>
        </is>
      </c>
      <c r="D150" s="359" t="n">
        <v>31.07416666666667</v>
      </c>
      <c r="E150" s="66" t="n">
        <v>6787.639999999999</v>
      </c>
      <c r="F150" s="66" t="n">
        <v>372.89</v>
      </c>
      <c r="G150" s="68" t="n">
        <v>242</v>
      </c>
      <c r="H150" s="70" t="n">
        <v>12</v>
      </c>
      <c r="I150" s="68" t="n">
        <v>72</v>
      </c>
      <c r="J150" s="69" t="n">
        <v>3.7</v>
      </c>
      <c r="K150" s="69" t="inlineStr">
        <is>
          <t>https://amazon.com/dp/B0DPH4CDJ3</t>
        </is>
      </c>
      <c r="L150" s="183">
        <f>HYPERLINK(Table65[[#This Row],[Column1]])</f>
        <v/>
      </c>
    </row>
    <row r="151" ht="45" customHeight="1" s="314">
      <c r="A151" s="35" t="inlineStr">
        <is>
          <t>ANCEL MT500 Plus Motorcycle Scanner, Full-System OBD2 Diagnostic Tool with Quick Service Resets &amp; Advanced Programming, Fits for BMW, Honda, Yamaha, Ducati, KTM, Kawasaki, Suzuki, Triumph</t>
        </is>
      </c>
      <c r="B151" s="35" t="inlineStr">
        <is>
          <t>B0BN8PKJ28</t>
        </is>
      </c>
      <c r="C151" s="35" t="inlineStr">
        <is>
          <t>Tablet</t>
        </is>
      </c>
      <c r="D151" s="359" t="n">
        <v>506.2828571428572</v>
      </c>
      <c r="E151" s="66" t="n">
        <v>45310.28</v>
      </c>
      <c r="F151" s="66" t="n">
        <v>3543.98</v>
      </c>
      <c r="G151" s="68" t="n">
        <v>82</v>
      </c>
      <c r="H151" s="70" t="n">
        <v>7</v>
      </c>
      <c r="I151" s="68" t="n">
        <v>16</v>
      </c>
      <c r="J151" s="69" t="n">
        <v>3.5</v>
      </c>
      <c r="K151" s="69" t="inlineStr">
        <is>
          <t>https://amazon.com/dp/B0BN8PKJ28</t>
        </is>
      </c>
      <c r="L151" s="183">
        <f>HYPERLINK(Table65[[#This Row],[Column1]])</f>
        <v/>
      </c>
    </row>
    <row r="152" ht="45" customHeight="1" s="314">
      <c r="A152" s="35" t="inlineStr">
        <is>
          <t>ANCEL MT700 Motorcycle Diagnostic Tool for Harley BMW Kawasaki Suzuki Piaggio Ducati Obd2 Scanner, ABS Bleeding Check Engine Code Reader with Oil Light Reset, 31+ Function, 16 Brand-Specific Adapters</t>
        </is>
      </c>
      <c r="B152" s="35" t="inlineStr">
        <is>
          <t>B0CGXFXRJY</t>
        </is>
      </c>
      <c r="C152" s="35" t="inlineStr">
        <is>
          <t>Tablet</t>
        </is>
      </c>
      <c r="D152" s="359" t="n">
        <v>844.0933333333334</v>
      </c>
      <c r="E152" s="66" t="n">
        <v>38555.69</v>
      </c>
      <c r="F152" s="66" t="n">
        <v>5064.56</v>
      </c>
      <c r="G152" s="68" t="n">
        <v>42</v>
      </c>
      <c r="H152" s="70" t="n">
        <v>6</v>
      </c>
      <c r="I152" s="68" t="n">
        <v>2</v>
      </c>
      <c r="J152" s="69" t="n">
        <v>2</v>
      </c>
      <c r="K152" s="69" t="inlineStr">
        <is>
          <t>https://amazon.com/dp/B0CGXFXRJY</t>
        </is>
      </c>
      <c r="L152" s="183">
        <f>HYPERLINK(Table65[[#This Row],[Column1]])</f>
        <v/>
      </c>
    </row>
    <row r="153" ht="45" customHeight="1" s="314">
      <c r="A153" s="35" t="inlineStr">
        <is>
          <t>ANCEL New HD601 Heavy Duty Truck Scanner, Diesel Full System Diagnostic Scan Tool Fits for Cummins, Detroit, Volvo, Paccar &amp; Caterpillar, 2 in 1 HDOBD &amp; OBD2 Code Reader for Commercial Vehicles &amp; Cars</t>
        </is>
      </c>
      <c r="B153" s="35" t="inlineStr">
        <is>
          <t>B0GL73Z9VW</t>
        </is>
      </c>
      <c r="C153" s="35" t="inlineStr">
        <is>
          <t>Tablet</t>
        </is>
      </c>
      <c r="D153" s="359" t="n">
        <v>169.9866666666667</v>
      </c>
      <c r="E153" s="66" t="n">
        <v>12317.49538461538</v>
      </c>
      <c r="F153" s="66" t="n">
        <v>1019.92</v>
      </c>
      <c r="G153" s="68" t="n">
        <v>6</v>
      </c>
      <c r="H153" s="70" t="n">
        <v>6</v>
      </c>
      <c r="I153" s="68" t="n"/>
      <c r="J153" s="69" t="n"/>
      <c r="K153" s="69" t="inlineStr">
        <is>
          <t>https://amazon.com/dp/B0GL73Z9VW</t>
        </is>
      </c>
      <c r="L153" s="183">
        <f>HYPERLINK(Table65[[#This Row],[Column1]])</f>
        <v/>
      </c>
    </row>
    <row r="154" ht="45" customHeight="1" s="314">
      <c r="A154" s="35" t="inlineStr">
        <is>
          <t>ANCEL HD Series-Compatible Printer for HD3100, HD3100 PRO, HD3200, HD3300, HD3400, HD3500, HD3600: Exclusive Heavy Duty Truck Scanner Diagnostic Tool Accessory for Diesel Vehicle Reports</t>
        </is>
      </c>
      <c r="B154" s="35" t="inlineStr">
        <is>
          <t>B097D8JHJG</t>
        </is>
      </c>
      <c r="C154" s="35" t="inlineStr">
        <is>
          <t>Other</t>
        </is>
      </c>
      <c r="D154" s="359" t="n">
        <v>134.78</v>
      </c>
      <c r="E154" s="66" t="n">
        <v>9418.449999999999</v>
      </c>
      <c r="F154" s="66" t="n">
        <v>808.6799999999999</v>
      </c>
      <c r="G154" s="68" t="n">
        <v>62</v>
      </c>
      <c r="H154" s="70" t="n">
        <v>6</v>
      </c>
      <c r="I154" s="68" t="n">
        <v>25</v>
      </c>
      <c r="J154" s="69" t="n">
        <v>3.8</v>
      </c>
      <c r="K154" s="69" t="inlineStr">
        <is>
          <t>https://amazon.com/dp/B097D8JHJG</t>
        </is>
      </c>
      <c r="L154" s="183">
        <f>HYPERLINK(Table65[[#This Row],[Column1]])</f>
        <v/>
      </c>
    </row>
    <row r="155" ht="45" customHeight="1" s="314">
      <c r="A155" s="35" t="inlineStr">
        <is>
          <t>ANCEL BD200 Pro OBD2 Scanner Bluetooth, Enhanced Wireless Code Readers ABS SRS Transmission Airbag Car Scanner Diagnostic Tool with Battery Test, Check Engine Light Exclusive App for iPhone &amp; Android</t>
        </is>
      </c>
      <c r="B155" s="35" t="inlineStr">
        <is>
          <t>B0CWN69XH4</t>
        </is>
      </c>
      <c r="C155" s="35" t="inlineStr">
        <is>
          <t>Dongle</t>
        </is>
      </c>
      <c r="D155" s="359" t="n">
        <v>73.312</v>
      </c>
      <c r="E155" s="66" t="n">
        <v>7603.463076923077</v>
      </c>
      <c r="F155" s="66" t="n">
        <v>366.56</v>
      </c>
      <c r="G155" s="68" t="n">
        <v>95</v>
      </c>
      <c r="H155" s="70" t="n">
        <v>5</v>
      </c>
      <c r="I155" s="68" t="n">
        <v>74</v>
      </c>
      <c r="J155" s="69" t="n">
        <v>3.5</v>
      </c>
      <c r="K155" s="69" t="inlineStr">
        <is>
          <t>https://amazon.com/dp/B0CWN69XH4</t>
        </is>
      </c>
      <c r="L155" s="183">
        <f>HYPERLINK(Table65[[#This Row],[Column1]])</f>
        <v/>
      </c>
    </row>
    <row r="156" ht="45" customHeight="1" s="314">
      <c r="A156" s="35" t="inlineStr">
        <is>
          <t>ANCEL Heavy Duty Truck Scanner HD3300 Plus+, D.P.F Reset/Force Regen, Full System Truck Scanner for Detroit, Cummins, Caterpillar, Paccar, Volvo Engine &amp; Commercial Trucks, Lifetime Free Update</t>
        </is>
      </c>
      <c r="B156" s="35" t="inlineStr">
        <is>
          <t>B0DPH5KRBX</t>
        </is>
      </c>
      <c r="C156" s="35" t="inlineStr">
        <is>
          <t>Tablet</t>
        </is>
      </c>
      <c r="D156" s="359" t="n">
        <v>482.096</v>
      </c>
      <c r="E156" s="66" t="n">
        <v>312510.51</v>
      </c>
      <c r="F156" s="66" t="n">
        <v>2410.48</v>
      </c>
      <c r="G156" s="68" t="n">
        <v>659</v>
      </c>
      <c r="H156" s="70" t="n">
        <v>5</v>
      </c>
      <c r="I156" s="68" t="n">
        <v>108</v>
      </c>
      <c r="J156" s="69" t="n">
        <v>3.4</v>
      </c>
      <c r="K156" s="69" t="inlineStr">
        <is>
          <t>https://amazon.com/dp/B0DPH5KRBX</t>
        </is>
      </c>
      <c r="L156" s="183">
        <f>HYPERLINK(Table65[[#This Row],[Column1]])</f>
        <v/>
      </c>
    </row>
    <row r="157" ht="45" customHeight="1" s="314">
      <c r="A157" s="35" t="inlineStr">
        <is>
          <t>ANCEL HD8000 Heavy Duty Truck Diagnostic Scanner, Advanced Diesel Scanner with DPF Regen, Idle &amp; Speed Limit Adjustment, Full-System ECU Diagnostics, Lifetime Free Updates</t>
        </is>
      </c>
      <c r="B157" s="35" t="inlineStr">
        <is>
          <t>B0CY542RHB</t>
        </is>
      </c>
      <c r="C157" s="35" t="inlineStr">
        <is>
          <t>Tablet</t>
        </is>
      </c>
      <c r="D157" s="359" t="n">
        <v>1093.715</v>
      </c>
      <c r="E157" s="66" t="n">
        <v>98784.73999999999</v>
      </c>
      <c r="F157" s="66" t="n">
        <v>4374.86</v>
      </c>
      <c r="G157" s="68" t="n">
        <v>85</v>
      </c>
      <c r="H157" s="70" t="n">
        <v>4</v>
      </c>
      <c r="I157" s="68" t="n">
        <v>72</v>
      </c>
      <c r="J157" s="69" t="n">
        <v>3.7</v>
      </c>
      <c r="K157" s="69" t="inlineStr">
        <is>
          <t>https://amazon.com/dp/B0CY542RHB</t>
        </is>
      </c>
      <c r="L157" s="183">
        <f>HYPERLINK(Table65[[#This Row],[Column1]])</f>
        <v/>
      </c>
    </row>
    <row r="158" ht="45" customHeight="1" s="314">
      <c r="A158" s="35" t="inlineStr">
        <is>
          <t>ANCEL FX2000 Plus OBD2 Scanner Diagnostic Tool with Protective Bag, ABS SRS Transmission Airbag Scan Tool, Check Engine Code Reader, Scanner for Car Lifetime Free Upgrade</t>
        </is>
      </c>
      <c r="B158" s="35" t="inlineStr">
        <is>
          <t>B0DQPJ8QVK</t>
        </is>
      </c>
      <c r="C158" s="35" t="inlineStr">
        <is>
          <t>Tablet</t>
        </is>
      </c>
      <c r="D158" s="359" t="n">
        <v>162.2</v>
      </c>
      <c r="E158" s="66" t="n">
        <v>29719.71230769231</v>
      </c>
      <c r="F158" s="66" t="n">
        <v>648.8</v>
      </c>
      <c r="G158" s="68" t="n">
        <v>191</v>
      </c>
      <c r="H158" s="70" t="n">
        <v>4</v>
      </c>
      <c r="I158" s="68" t="n">
        <v>48</v>
      </c>
      <c r="J158" s="69" t="n">
        <v>4.1</v>
      </c>
      <c r="K158" s="69" t="inlineStr">
        <is>
          <t>https://amazon.com/dp/B0DQPJ8QVK</t>
        </is>
      </c>
      <c r="L158" s="183">
        <f>HYPERLINK(Table65[[#This Row],[Column1]])</f>
        <v/>
      </c>
    </row>
    <row r="159" ht="45" customHeight="1" s="314">
      <c r="A159" s="35" t="inlineStr">
        <is>
          <t>ANCEL DS600 Elite OBD2 Scanner, 2025 New Bidirectional Full System Scan Tool with 34+Resets, ECU Online Coding, FCA SGW AutoAuth, VAG Guide, Wireless Car Scanner Diagnostic Tool with 2-Year Update</t>
        </is>
      </c>
      <c r="B159" s="35" t="inlineStr">
        <is>
          <t>B0CWNP8JDD</t>
        </is>
      </c>
      <c r="C159" s="35" t="inlineStr">
        <is>
          <t>Tablet</t>
        </is>
      </c>
      <c r="D159" s="359" t="n">
        <v>350.92</v>
      </c>
      <c r="E159" s="66" t="n">
        <v>14213.97</v>
      </c>
      <c r="F159" s="66" t="n">
        <v>350.92</v>
      </c>
      <c r="G159" s="68" t="n">
        <v>19</v>
      </c>
      <c r="H159" s="70" t="n">
        <v>1</v>
      </c>
      <c r="I159" s="68" t="n">
        <v>15</v>
      </c>
      <c r="J159" s="69" t="n">
        <v>3.4</v>
      </c>
      <c r="K159" s="69" t="inlineStr">
        <is>
          <t>https://amazon.com/dp/B0CWNP8JDD</t>
        </is>
      </c>
      <c r="L159" s="183">
        <f>HYPERLINK(Table65[[#This Row],[Column1]])</f>
        <v/>
      </c>
    </row>
    <row r="160" ht="17" customHeight="1" s="314">
      <c r="A160" s="35" t="inlineStr">
        <is>
          <t>ANCEL DS600 Plus Top Bi-Directional Scan Tool OEM All System Automotive OBD2 Scanner for All Cars, 34+ Reset Services Car Diagnostic Tablet, Online Coding, Active Test</t>
        </is>
      </c>
      <c r="B160" s="35" t="inlineStr">
        <is>
          <t>B0B1JD8D4H</t>
        </is>
      </c>
      <c r="C160" s="35" t="inlineStr">
        <is>
          <t>Tablet</t>
        </is>
      </c>
      <c r="D160" s="359" t="n">
        <v>359.99</v>
      </c>
      <c r="E160" s="66" t="n">
        <v>14518.16</v>
      </c>
      <c r="F160" s="66" t="n">
        <v>359.99</v>
      </c>
      <c r="G160" s="68" t="n">
        <v>22</v>
      </c>
      <c r="H160" s="70" t="n">
        <v>1</v>
      </c>
      <c r="I160" s="68" t="n">
        <v>12</v>
      </c>
      <c r="J160" s="69" t="n">
        <v>4.7</v>
      </c>
      <c r="K160" s="69" t="inlineStr">
        <is>
          <t>https://amazon.com/dp/B0B1JD8D4H</t>
        </is>
      </c>
      <c r="L160" s="183">
        <f>HYPERLINK(Table65[[#This Row],[Column1]])</f>
        <v/>
      </c>
    </row>
    <row r="161" ht="30" customHeight="1" s="314">
      <c r="A161" s="35" t="inlineStr">
        <is>
          <t>ANCEL Protective Case Storage Bag for OBD2 Scanner &amp; Small Diagnostic Tools – Compatible with BD310, Code Readers &amp; Battery Testers</t>
        </is>
      </c>
      <c r="B161" s="35" t="inlineStr">
        <is>
          <t>B0G8DGNVR7</t>
        </is>
      </c>
      <c r="C161" s="35" t="inlineStr">
        <is>
          <t>Other</t>
        </is>
      </c>
      <c r="D161" s="359" t="n">
        <v>19.98</v>
      </c>
      <c r="E161" s="66" t="n">
        <v>241.296923076923</v>
      </c>
      <c r="F161" s="66" t="n">
        <v>19.98</v>
      </c>
      <c r="G161" s="68" t="n">
        <v>1</v>
      </c>
      <c r="H161" s="70" t="n">
        <v>1</v>
      </c>
      <c r="I161" s="68" t="n"/>
      <c r="J161" s="69" t="n"/>
      <c r="K161" s="69" t="inlineStr">
        <is>
          <t>https://amazon.com/dp/B0G8DGNVR7</t>
        </is>
      </c>
      <c r="L161" s="183">
        <f>HYPERLINK(Table65[[#This Row],[Column1]])</f>
        <v/>
      </c>
    </row>
    <row r="162" ht="45" customHeight="1" s="314">
      <c r="A162" s="35" t="inlineStr">
        <is>
          <t>ANCEL Large Hard Protective Case, Waterproof Storage Box Diagnostic Scanner Tool (Only The Case), 13.39" x 8.27" x 4.92"</t>
        </is>
      </c>
      <c r="B162" s="35" t="inlineStr">
        <is>
          <t>B0FLXQ35LZ</t>
        </is>
      </c>
      <c r="C162" s="35" t="inlineStr">
        <is>
          <t>Other</t>
        </is>
      </c>
      <c r="D162" s="359" t="n">
        <v>29.29</v>
      </c>
      <c r="E162" s="66" t="n">
        <v>353.7330769230769</v>
      </c>
      <c r="F162" s="66" t="n">
        <v>29.29</v>
      </c>
      <c r="G162" s="68" t="n">
        <v>1</v>
      </c>
      <c r="H162" s="70" t="n">
        <v>1</v>
      </c>
      <c r="I162" s="68" t="n"/>
      <c r="J162" s="69" t="n"/>
      <c r="K162" s="69" t="inlineStr">
        <is>
          <t>https://amazon.com/dp/B0FLXQ35LZ</t>
        </is>
      </c>
      <c r="L162" s="183">
        <f>HYPERLINK(Table65[[#This Row],[Column1]])</f>
        <v/>
      </c>
    </row>
    <row r="163" ht="45" customHeight="1" s="314">
      <c r="A163" s="35" t="inlineStr">
        <is>
          <t>ANCEL Protective Case Storage Bag for HD100, HD110, HD120, HD200, HD210 Heavy Duty Truck Scanners(Only The Case)</t>
        </is>
      </c>
      <c r="B163" s="35" t="inlineStr">
        <is>
          <t>B0FX24WF6Q</t>
        </is>
      </c>
      <c r="C163" s="35" t="inlineStr">
        <is>
          <t>Other</t>
        </is>
      </c>
      <c r="D163" s="359" t="n">
        <v>19.99</v>
      </c>
      <c r="E163" s="66" t="n">
        <v>0</v>
      </c>
      <c r="F163" s="66" t="n">
        <v>0</v>
      </c>
      <c r="G163" s="68" t="n">
        <v>0</v>
      </c>
      <c r="H163" s="70" t="n">
        <v>0</v>
      </c>
      <c r="I163" s="68" t="n"/>
      <c r="J163" s="69" t="n"/>
      <c r="K163" s="69" t="inlineStr">
        <is>
          <t>https://amazon.com/dp/B0FX24WF6Q</t>
        </is>
      </c>
      <c r="L163" s="183">
        <f>HYPERLINK(Table65[[#This Row],[Column1]])</f>
        <v/>
      </c>
    </row>
    <row r="164" ht="17" customHeight="1" s="314">
      <c r="A164" s="35" t="inlineStr">
        <is>
          <t>ANCEL HD210 Bluetooth Heavy Duty Truck Scanner, Speed Limit and Idle Reset for Volvo &amp; International Engine, All System Diesel HDOBD/OBD2 Scanner Diagnostic Tool, Lifetime F-Ree Update Code Reader</t>
        </is>
      </c>
      <c r="B164" s="35" t="inlineStr">
        <is>
          <t>B0D9KB3GWR</t>
        </is>
      </c>
      <c r="C164" s="35" t="inlineStr">
        <is>
          <t>Cable/Adapter</t>
        </is>
      </c>
      <c r="D164" s="359" t="n">
        <v>172.2333333333333</v>
      </c>
      <c r="E164" s="66" t="n">
        <v>29768.75</v>
      </c>
      <c r="F164" s="66" t="n">
        <v>0</v>
      </c>
      <c r="G164" s="68" t="n">
        <v>156</v>
      </c>
      <c r="H164" s="70" t="n">
        <v>0</v>
      </c>
      <c r="I164" s="68" t="n">
        <v>59</v>
      </c>
      <c r="J164" s="69" t="n">
        <v>3</v>
      </c>
      <c r="K164" s="69" t="inlineStr">
        <is>
          <t>https://amazon.com/dp/B0D9KB3GWR</t>
        </is>
      </c>
      <c r="L164" s="183">
        <f>HYPERLINK(Table65[[#This Row],[Column1]])</f>
        <v/>
      </c>
    </row>
    <row r="165">
      <c r="A165" s="35" t="inlineStr">
        <is>
          <t>Ancel BD320 OBD2 Scanner Diagnostic Tool for VW Audi Skoda Seat, Full-System Diagnostics with EPB, Oil &amp; Throttle Reset, Battery Check, 3-in-1 Bluetooth Wired HUD Code Reader(Upgraded BD310)</t>
        </is>
      </c>
      <c r="B165" s="35" t="inlineStr">
        <is>
          <t>B0CRDY7JG5</t>
        </is>
      </c>
      <c r="C165" s="35" t="inlineStr">
        <is>
          <t>Dongle</t>
        </is>
      </c>
      <c r="D165" s="359" t="n">
        <v>61.944</v>
      </c>
      <c r="E165" s="66" t="n">
        <v>3760.340000000001</v>
      </c>
      <c r="F165" s="66" t="n">
        <v>0</v>
      </c>
      <c r="G165" s="68" t="n">
        <v>59</v>
      </c>
      <c r="H165" s="70" t="n">
        <v>0</v>
      </c>
      <c r="I165" s="68" t="n">
        <v>45</v>
      </c>
      <c r="J165" s="69" t="n">
        <v>3.5</v>
      </c>
      <c r="K165" s="69" t="inlineStr">
        <is>
          <t>https://amazon.com/dp/B0CRDY7JG5</t>
        </is>
      </c>
      <c r="L165" s="183">
        <f>HYPERLINK(TABLE165)</f>
        <v/>
      </c>
    </row>
    <row r="166">
      <c r="A166" s="41" t="inlineStr">
        <is>
          <t>Total</t>
        </is>
      </c>
      <c r="B166" s="40" t="n"/>
      <c r="C166" s="360" t="n"/>
      <c r="D166" s="72" t="n"/>
      <c r="E166" s="40" t="n"/>
      <c r="F166" s="40" t="n"/>
      <c r="G166" s="44">
        <f>SUM(G90:G165)</f>
        <v/>
      </c>
      <c r="H166" s="44">
        <f>SUM(H90:H165)</f>
        <v/>
      </c>
      <c r="I166" s="44" t="n"/>
      <c r="J166" s="150" t="n"/>
      <c r="K166" s="151" t="n"/>
      <c r="L166" s="40" t="n"/>
      <c r="M166" s="40" t="n"/>
      <c r="N166" s="40" t="n"/>
      <c r="O166" s="40" t="n"/>
      <c r="P166" s="40" t="n"/>
      <c r="Q166" s="40" t="n"/>
    </row>
    <row r="167">
      <c r="G167" s="44" t="n"/>
      <c r="H167" s="44" t="n"/>
      <c r="I167" s="150" t="n"/>
      <c r="J167" s="40" t="n"/>
      <c r="K167" s="40" t="n"/>
      <c r="L167" s="40" t="n"/>
      <c r="M167" s="40" t="n"/>
      <c r="N167" s="40" t="n"/>
      <c r="O167" s="40" t="n"/>
      <c r="P167" s="40" t="n"/>
      <c r="Q167" s="40" t="n"/>
    </row>
    <row r="168">
      <c r="G168" s="44" t="n"/>
      <c r="H168" s="44" t="n"/>
      <c r="I168" s="150" t="n"/>
      <c r="J168" s="40" t="n"/>
      <c r="K168" s="40" t="n"/>
      <c r="L168" s="40" t="n"/>
      <c r="M168" s="40" t="n"/>
      <c r="N168" s="40" t="n"/>
      <c r="O168" s="40" t="n"/>
      <c r="P168" s="40" t="n"/>
      <c r="Q168" s="40" t="n"/>
    </row>
    <row r="169">
      <c r="G169" s="44" t="n"/>
      <c r="H169" s="44" t="n"/>
      <c r="I169" s="150" t="n"/>
      <c r="J169" s="40" t="n"/>
      <c r="K169" s="40" t="n"/>
      <c r="L169" s="40" t="n"/>
      <c r="M169" s="40" t="n"/>
      <c r="N169" s="40" t="n"/>
      <c r="O169" s="40" t="n"/>
      <c r="P169" s="40" t="n"/>
      <c r="Q169" s="40" t="n"/>
    </row>
    <row r="170">
      <c r="G170" s="44" t="n"/>
      <c r="H170" s="44" t="n"/>
      <c r="I170" s="150" t="n"/>
      <c r="J170" s="40" t="n"/>
      <c r="K170" s="40" t="n"/>
      <c r="L170" s="40" t="n"/>
      <c r="M170" s="40" t="n"/>
      <c r="N170" s="40" t="n"/>
      <c r="O170" s="40" t="n"/>
      <c r="P170" s="40" t="n"/>
      <c r="Q170" s="40" t="n"/>
    </row>
    <row r="171">
      <c r="G171" s="44" t="n"/>
      <c r="H171" s="44" t="n"/>
      <c r="I171" s="150" t="n"/>
      <c r="J171" s="40" t="n"/>
      <c r="K171" s="40" t="n"/>
      <c r="L171" s="40" t="n"/>
      <c r="M171" s="40" t="n"/>
      <c r="N171" s="40" t="n"/>
      <c r="O171" s="40" t="n"/>
      <c r="P171" s="40" t="n"/>
      <c r="Q171" s="40" t="n"/>
    </row>
    <row r="172">
      <c r="G172" s="44" t="n"/>
      <c r="H172" s="44" t="n"/>
      <c r="I172" s="150" t="n"/>
      <c r="J172" s="40" t="n"/>
      <c r="K172" s="40" t="n"/>
      <c r="L172" s="40" t="n"/>
      <c r="M172" s="40" t="n"/>
      <c r="N172" s="40" t="n"/>
      <c r="O172" s="40" t="n"/>
      <c r="P172" s="40" t="n"/>
      <c r="Q172" s="40" t="n"/>
    </row>
    <row r="173">
      <c r="G173" s="44" t="n"/>
      <c r="H173" s="44" t="n"/>
      <c r="I173" s="150" t="n"/>
      <c r="J173" s="40" t="n"/>
      <c r="K173" s="40" t="n"/>
      <c r="L173" s="40" t="n"/>
      <c r="M173" s="40" t="n"/>
      <c r="N173" s="40" t="n"/>
      <c r="O173" s="40" t="n"/>
      <c r="P173" s="40" t="n"/>
      <c r="Q173" s="40" t="n"/>
    </row>
    <row r="174">
      <c r="G174" s="44" t="n"/>
      <c r="H174" s="44" t="n"/>
      <c r="I174" s="150" t="n"/>
      <c r="J174" s="40" t="n"/>
      <c r="K174" s="40" t="n"/>
      <c r="L174" s="40" t="n"/>
      <c r="M174" s="40" t="n"/>
      <c r="N174" s="40" t="n"/>
      <c r="O174" s="40" t="n"/>
      <c r="P174" s="40" t="n"/>
      <c r="Q174" s="40" t="n"/>
    </row>
    <row r="175">
      <c r="G175" s="44" t="n"/>
      <c r="H175" s="44" t="n"/>
      <c r="I175" s="150" t="n"/>
      <c r="J175" s="40" t="n"/>
      <c r="K175" s="40" t="n"/>
      <c r="L175" s="40" t="n"/>
      <c r="M175" s="40" t="n"/>
      <c r="N175" s="40" t="n"/>
      <c r="O175" s="40" t="n"/>
      <c r="P175" s="40" t="n"/>
      <c r="Q175" s="40" t="n"/>
    </row>
    <row r="176">
      <c r="G176" s="44" t="n"/>
      <c r="H176" s="44" t="n"/>
      <c r="I176" s="150" t="n"/>
      <c r="J176" s="40" t="n"/>
      <c r="K176" s="40" t="n"/>
      <c r="L176" s="40" t="n"/>
      <c r="M176" s="40" t="n"/>
      <c r="N176" s="40" t="n"/>
      <c r="O176" s="40" t="n"/>
      <c r="P176" s="40" t="n"/>
      <c r="Q176" s="40" t="n"/>
    </row>
    <row r="177">
      <c r="G177" s="44" t="n"/>
      <c r="H177" s="44" t="n"/>
      <c r="I177" s="150" t="n"/>
      <c r="J177" s="40" t="n"/>
      <c r="K177" s="40" t="n"/>
      <c r="L177" s="40" t="n"/>
      <c r="M177" s="40" t="n"/>
      <c r="N177" s="40" t="n"/>
      <c r="O177" s="40" t="n"/>
      <c r="P177" s="40" t="n"/>
      <c r="Q177" s="40" t="n"/>
    </row>
    <row r="178">
      <c r="G178" s="44" t="n"/>
      <c r="H178" s="44" t="n"/>
      <c r="I178" s="150" t="n"/>
      <c r="J178" s="40" t="n"/>
      <c r="K178" s="40" t="n"/>
      <c r="L178" s="40" t="n"/>
      <c r="M178" s="40" t="n"/>
      <c r="N178" s="40" t="n"/>
      <c r="O178" s="40" t="n"/>
      <c r="P178" s="40" t="n"/>
      <c r="Q178" s="40" t="n"/>
    </row>
    <row r="179">
      <c r="G179" s="44" t="n"/>
      <c r="H179" s="44" t="n"/>
      <c r="I179" s="150" t="n"/>
      <c r="J179" s="40" t="n"/>
      <c r="K179" s="40" t="n"/>
      <c r="L179" s="40" t="n"/>
      <c r="M179" s="40" t="n"/>
      <c r="N179" s="40" t="n"/>
      <c r="O179" s="40" t="n"/>
      <c r="P179" s="40" t="n"/>
      <c r="Q179" s="40" t="n"/>
    </row>
    <row r="180">
      <c r="G180" s="44" t="n"/>
      <c r="H180" s="44" t="n"/>
      <c r="I180" s="150" t="n"/>
      <c r="J180" s="40" t="n"/>
      <c r="K180" s="40" t="n"/>
      <c r="L180" s="40" t="n"/>
      <c r="M180" s="40" t="n"/>
      <c r="N180" s="40" t="n"/>
      <c r="O180" s="40" t="n"/>
      <c r="P180" s="40" t="n"/>
      <c r="Q180" s="40" t="n"/>
    </row>
    <row r="181">
      <c r="G181" s="44" t="n"/>
      <c r="H181" s="44" t="n"/>
      <c r="I181" s="150" t="n"/>
      <c r="J181" s="40" t="n"/>
      <c r="K181" s="40" t="n"/>
      <c r="L181" s="40" t="n"/>
      <c r="M181" s="40" t="n"/>
      <c r="N181" s="40" t="n"/>
      <c r="O181" s="40" t="n"/>
      <c r="P181" s="40" t="n"/>
      <c r="Q181" s="40" t="n"/>
    </row>
    <row r="182">
      <c r="G182" s="44" t="n"/>
      <c r="H182" s="44" t="n"/>
      <c r="I182" s="150" t="n"/>
      <c r="J182" s="40" t="n"/>
      <c r="K182" s="40" t="n"/>
      <c r="L182" s="40" t="n"/>
      <c r="M182" s="40" t="n"/>
      <c r="N182" s="40" t="n"/>
      <c r="O182" s="40" t="n"/>
      <c r="P182" s="40" t="n"/>
      <c r="Q182" s="40" t="n"/>
    </row>
    <row r="183">
      <c r="G183" s="44" t="n"/>
      <c r="H183" s="44" t="n"/>
      <c r="I183" s="150" t="n"/>
      <c r="J183" s="40" t="n"/>
      <c r="K183" s="40" t="n"/>
      <c r="L183" s="40" t="n"/>
      <c r="M183" s="40" t="n"/>
      <c r="N183" s="40" t="n"/>
      <c r="O183" s="40" t="n"/>
      <c r="P183" s="40" t="n"/>
      <c r="Q183" s="40" t="n"/>
    </row>
    <row r="184">
      <c r="G184" s="44" t="n"/>
      <c r="H184" s="44" t="n"/>
      <c r="I184" s="150" t="n"/>
      <c r="J184" s="40" t="n"/>
      <c r="K184" s="40" t="n"/>
      <c r="L184" s="40" t="n"/>
      <c r="M184" s="40" t="n"/>
      <c r="N184" s="40" t="n"/>
      <c r="O184" s="40" t="n"/>
      <c r="P184" s="40" t="n"/>
      <c r="Q184" s="40" t="n"/>
    </row>
    <row r="185">
      <c r="G185" s="44" t="n"/>
      <c r="H185" s="44" t="n"/>
      <c r="I185" s="150" t="n"/>
      <c r="J185" s="40" t="n"/>
      <c r="K185" s="40" t="n"/>
      <c r="L185" s="40" t="n"/>
      <c r="M185" s="40" t="n"/>
      <c r="N185" s="40" t="n"/>
      <c r="O185" s="40" t="n"/>
      <c r="P185" s="40" t="n"/>
      <c r="Q185" s="40" t="n"/>
    </row>
    <row r="186">
      <c r="G186" s="44" t="n"/>
      <c r="H186" s="44" t="n"/>
      <c r="I186" s="150" t="n"/>
      <c r="J186" s="40" t="n"/>
      <c r="K186" s="40" t="n"/>
      <c r="L186" s="40" t="n"/>
      <c r="M186" s="40" t="n"/>
      <c r="N186" s="40" t="n"/>
      <c r="O186" s="40" t="n"/>
      <c r="P186" s="40" t="n"/>
      <c r="Q186" s="40" t="n"/>
    </row>
    <row r="187">
      <c r="G187" s="44" t="n"/>
      <c r="H187" s="44" t="n"/>
      <c r="I187" s="150" t="n"/>
      <c r="J187" s="40" t="n"/>
      <c r="K187" s="40" t="n"/>
      <c r="L187" s="40" t="n"/>
      <c r="M187" s="40" t="n"/>
      <c r="N187" s="40" t="n"/>
      <c r="O187" s="40" t="n"/>
      <c r="P187" s="40" t="n"/>
      <c r="Q187" s="40" t="n"/>
    </row>
    <row r="188">
      <c r="G188" s="44" t="n"/>
      <c r="H188" s="44" t="n"/>
      <c r="I188" s="150" t="n"/>
      <c r="J188" s="40" t="n"/>
      <c r="K188" s="40" t="n"/>
      <c r="L188" s="40" t="n"/>
      <c r="M188" s="40" t="n"/>
      <c r="N188" s="40" t="n"/>
      <c r="O188" s="40" t="n"/>
      <c r="P188" s="40" t="n"/>
      <c r="Q188" s="40" t="n"/>
    </row>
    <row r="189">
      <c r="G189" s="44" t="n"/>
      <c r="H189" s="44" t="n"/>
      <c r="I189" s="150" t="n"/>
      <c r="J189" s="40" t="n"/>
      <c r="K189" s="40" t="n"/>
      <c r="L189" s="40" t="n"/>
      <c r="M189" s="40" t="n"/>
      <c r="N189" s="40" t="n"/>
      <c r="O189" s="40" t="n"/>
      <c r="P189" s="40" t="n"/>
      <c r="Q189" s="40" t="n"/>
    </row>
    <row r="190">
      <c r="G190" s="44" t="n"/>
      <c r="H190" s="44" t="n"/>
      <c r="I190" s="150" t="n"/>
      <c r="J190" s="40" t="n"/>
      <c r="K190" s="40" t="n"/>
      <c r="L190" s="40" t="n"/>
      <c r="M190" s="40" t="n"/>
      <c r="N190" s="40" t="n"/>
      <c r="O190" s="40" t="n"/>
      <c r="P190" s="40" t="n"/>
      <c r="Q190" s="40" t="n"/>
    </row>
    <row r="191">
      <c r="G191" s="44" t="n"/>
      <c r="H191" s="44" t="n"/>
      <c r="I191" s="150" t="n"/>
      <c r="J191" s="40" t="n"/>
      <c r="K191" s="40" t="n"/>
      <c r="L191" s="40" t="n"/>
      <c r="M191" s="40" t="n"/>
      <c r="N191" s="40" t="n"/>
      <c r="O191" s="40" t="n"/>
      <c r="P191" s="40" t="n"/>
      <c r="Q191" s="40" t="n"/>
    </row>
    <row r="192">
      <c r="G192" s="44" t="n"/>
      <c r="H192" s="44" t="n"/>
      <c r="I192" s="150" t="n"/>
      <c r="J192" s="40" t="n"/>
      <c r="K192" s="40" t="n"/>
      <c r="L192" s="40" t="n"/>
      <c r="M192" s="40" t="n"/>
      <c r="N192" s="40" t="n"/>
      <c r="O192" s="40" t="n"/>
      <c r="P192" s="40" t="n"/>
      <c r="Q192" s="40" t="n"/>
    </row>
    <row r="193">
      <c r="G193" s="44" t="n"/>
      <c r="H193" s="44" t="n"/>
      <c r="I193" s="150" t="n"/>
      <c r="J193" s="40" t="n"/>
      <c r="K193" s="40" t="n"/>
      <c r="L193" s="40" t="n"/>
      <c r="M193" s="40" t="n"/>
      <c r="N193" s="40" t="n"/>
      <c r="O193" s="40" t="n"/>
      <c r="P193" s="40" t="n"/>
      <c r="Q193" s="40" t="n"/>
    </row>
    <row r="194">
      <c r="G194" s="44" t="n"/>
      <c r="H194" s="44" t="n"/>
      <c r="I194" s="150" t="n"/>
      <c r="J194" s="40" t="n"/>
      <c r="K194" s="40" t="n"/>
      <c r="L194" s="40" t="n"/>
      <c r="M194" s="40" t="n"/>
      <c r="N194" s="40" t="n"/>
      <c r="O194" s="40" t="n"/>
      <c r="P194" s="40" t="n"/>
      <c r="Q194" s="40" t="n"/>
    </row>
    <row r="195">
      <c r="G195" s="44" t="n"/>
      <c r="H195" s="44" t="n"/>
      <c r="I195" s="150" t="n"/>
      <c r="J195" s="40" t="n"/>
      <c r="K195" s="40" t="n"/>
      <c r="L195" s="40" t="n"/>
      <c r="M195" s="40" t="n"/>
      <c r="N195" s="40" t="n"/>
      <c r="O195" s="40" t="n"/>
      <c r="P195" s="40" t="n"/>
      <c r="Q195" s="40" t="n"/>
    </row>
    <row r="196">
      <c r="G196" s="44" t="n"/>
      <c r="H196" s="44" t="n"/>
      <c r="I196" s="150" t="n"/>
      <c r="J196" s="40" t="n"/>
      <c r="K196" s="40" t="n"/>
      <c r="L196" s="40" t="n"/>
      <c r="M196" s="40" t="n"/>
      <c r="N196" s="40" t="n"/>
      <c r="O196" s="40" t="n"/>
      <c r="P196" s="40" t="n"/>
      <c r="Q196" s="40" t="n"/>
    </row>
    <row r="197">
      <c r="G197" s="44" t="n"/>
      <c r="H197" s="44" t="n"/>
      <c r="I197" s="150" t="n"/>
      <c r="J197" s="40" t="n"/>
      <c r="K197" s="40" t="n"/>
      <c r="L197" s="40" t="n"/>
      <c r="M197" s="40" t="n"/>
      <c r="N197" s="40" t="n"/>
      <c r="O197" s="40" t="n"/>
      <c r="P197" s="40" t="n"/>
      <c r="Q197" s="40" t="n"/>
    </row>
    <row r="198">
      <c r="G198" s="44" t="n"/>
      <c r="H198" s="44" t="n"/>
      <c r="I198" s="150" t="n"/>
      <c r="J198" s="40" t="n"/>
      <c r="K198" s="40" t="n"/>
      <c r="L198" s="40" t="n"/>
      <c r="M198" s="40" t="n"/>
      <c r="N198" s="40" t="n"/>
      <c r="O198" s="40" t="n"/>
      <c r="P198" s="40" t="n"/>
      <c r="Q198" s="40" t="n"/>
    </row>
    <row r="199">
      <c r="G199" s="44" t="n"/>
      <c r="H199" s="44" t="n"/>
      <c r="I199" s="150" t="n"/>
      <c r="J199" s="40" t="n"/>
      <c r="K199" s="40" t="n"/>
      <c r="L199" s="40" t="n"/>
      <c r="M199" s="40" t="n"/>
      <c r="N199" s="40" t="n"/>
      <c r="O199" s="40" t="n"/>
      <c r="P199" s="40" t="n"/>
      <c r="Q199" s="40" t="n"/>
    </row>
    <row r="200">
      <c r="G200" s="44" t="n"/>
      <c r="H200" s="44" t="n"/>
      <c r="I200" s="150" t="n"/>
      <c r="J200" s="40" t="n"/>
      <c r="K200" s="40" t="n"/>
      <c r="L200" s="40" t="n"/>
      <c r="M200" s="40" t="n"/>
      <c r="N200" s="40" t="n"/>
      <c r="O200" s="40" t="n"/>
      <c r="P200" s="40" t="n"/>
      <c r="Q200" s="40" t="n"/>
    </row>
    <row r="201">
      <c r="G201" s="44" t="n"/>
      <c r="H201" s="44" t="n"/>
      <c r="I201" s="150" t="n"/>
      <c r="J201" s="40" t="n"/>
      <c r="K201" s="40" t="n"/>
      <c r="L201" s="40" t="n"/>
      <c r="M201" s="40" t="n"/>
      <c r="N201" s="40" t="n"/>
      <c r="O201" s="40" t="n"/>
      <c r="P201" s="40" t="n"/>
      <c r="Q201" s="40" t="n"/>
    </row>
    <row r="202">
      <c r="G202" s="44" t="n"/>
      <c r="H202" s="44" t="n"/>
      <c r="I202" s="150" t="n"/>
      <c r="J202" s="40" t="n"/>
      <c r="K202" s="40" t="n"/>
      <c r="L202" s="40" t="n"/>
      <c r="M202" s="40" t="n"/>
      <c r="N202" s="40" t="n"/>
      <c r="O202" s="40" t="n"/>
      <c r="P202" s="40" t="n"/>
      <c r="Q202" s="40" t="n"/>
    </row>
    <row r="203">
      <c r="G203" s="44" t="n"/>
      <c r="H203" s="44" t="n"/>
      <c r="I203" s="150" t="n"/>
      <c r="J203" s="40" t="n"/>
      <c r="K203" s="40" t="n"/>
      <c r="L203" s="40" t="n"/>
      <c r="M203" s="40" t="n"/>
      <c r="N203" s="40" t="n"/>
      <c r="O203" s="40" t="n"/>
      <c r="P203" s="40" t="n"/>
      <c r="Q203" s="40" t="n"/>
    </row>
    <row r="204">
      <c r="G204" s="44" t="n"/>
      <c r="H204" s="44" t="n"/>
      <c r="I204" s="150" t="n"/>
      <c r="J204" s="40" t="n"/>
      <c r="K204" s="40" t="n"/>
      <c r="L204" s="40" t="n"/>
      <c r="M204" s="40" t="n"/>
      <c r="N204" s="40" t="n"/>
      <c r="O204" s="40" t="n"/>
      <c r="P204" s="40" t="n"/>
      <c r="Q204" s="40" t="n"/>
    </row>
    <row r="205">
      <c r="G205" s="44" t="n"/>
      <c r="H205" s="44" t="n"/>
      <c r="I205" s="150" t="n"/>
      <c r="J205" s="40" t="n"/>
      <c r="K205" s="40" t="n"/>
      <c r="L205" s="40" t="n"/>
      <c r="M205" s="40" t="n"/>
      <c r="N205" s="40" t="n"/>
      <c r="O205" s="40" t="n"/>
      <c r="P205" s="40" t="n"/>
      <c r="Q205" s="40" t="n"/>
    </row>
    <row r="206">
      <c r="G206" s="44" t="n"/>
      <c r="H206" s="44" t="n"/>
      <c r="I206" s="150" t="n"/>
      <c r="J206" s="40" t="n"/>
      <c r="K206" s="40" t="n"/>
      <c r="L206" s="40" t="n"/>
      <c r="M206" s="40" t="n"/>
      <c r="N206" s="40" t="n"/>
      <c r="O206" s="40" t="n"/>
      <c r="P206" s="40" t="n"/>
      <c r="Q206" s="40" t="n"/>
    </row>
    <row r="207">
      <c r="G207" s="44" t="n"/>
      <c r="H207" s="44" t="n"/>
      <c r="I207" s="150" t="n"/>
      <c r="J207" s="40" t="n"/>
      <c r="K207" s="40" t="n"/>
      <c r="L207" s="40" t="n"/>
      <c r="M207" s="40" t="n"/>
      <c r="N207" s="40" t="n"/>
      <c r="O207" s="40" t="n"/>
      <c r="P207" s="40" t="n"/>
      <c r="Q207" s="40" t="n"/>
    </row>
    <row r="208">
      <c r="G208" s="44" t="n"/>
      <c r="H208" s="44" t="n"/>
      <c r="I208" s="150" t="n"/>
      <c r="J208" s="40" t="n"/>
      <c r="K208" s="40" t="n"/>
      <c r="L208" s="40" t="n"/>
      <c r="M208" s="40" t="n"/>
      <c r="N208" s="40" t="n"/>
      <c r="O208" s="40" t="n"/>
      <c r="P208" s="40" t="n"/>
      <c r="Q208" s="40" t="n"/>
    </row>
    <row r="209">
      <c r="G209" s="44" t="n"/>
      <c r="H209" s="44" t="n"/>
      <c r="I209" s="150" t="n"/>
      <c r="J209" s="40" t="n"/>
      <c r="K209" s="40" t="n"/>
      <c r="L209" s="40" t="n"/>
      <c r="M209" s="40" t="n"/>
      <c r="N209" s="40" t="n"/>
      <c r="O209" s="40" t="n"/>
      <c r="P209" s="40" t="n"/>
      <c r="Q209" s="40" t="n"/>
    </row>
    <row r="210">
      <c r="G210" s="44" t="n"/>
      <c r="H210" s="44" t="n"/>
      <c r="I210" s="150" t="n"/>
      <c r="J210" s="40" t="n"/>
      <c r="K210" s="40" t="n"/>
      <c r="L210" s="40" t="n"/>
      <c r="M210" s="40" t="n"/>
      <c r="N210" s="40" t="n"/>
      <c r="O210" s="40" t="n"/>
      <c r="P210" s="40" t="n"/>
      <c r="Q210" s="40" t="n"/>
    </row>
    <row r="211">
      <c r="G211" s="44" t="n"/>
      <c r="H211" s="44" t="n"/>
      <c r="I211" s="150" t="n"/>
      <c r="J211" s="40" t="n"/>
      <c r="K211" s="40" t="n"/>
      <c r="L211" s="40" t="n"/>
    </row>
    <row r="212">
      <c r="G212" s="44" t="n"/>
      <c r="H212" s="44" t="n"/>
      <c r="I212" s="150" t="n"/>
      <c r="J212" s="40" t="n"/>
      <c r="K212" s="40" t="n"/>
      <c r="L212" s="40" t="n"/>
    </row>
    <row r="213">
      <c r="G213" s="44" t="n"/>
      <c r="H213" s="44" t="n"/>
      <c r="I213" s="150" t="n"/>
      <c r="J213" s="40" t="n"/>
      <c r="K213" s="40" t="n"/>
      <c r="L213" s="40" t="n"/>
    </row>
    <row r="214">
      <c r="G214" s="44" t="n"/>
      <c r="H214" s="44" t="n"/>
      <c r="I214" s="150" t="n"/>
      <c r="J214" s="40" t="n"/>
      <c r="K214" s="40" t="n"/>
      <c r="L214" s="40" t="n"/>
    </row>
    <row r="215">
      <c r="G215" s="44" t="n"/>
      <c r="H215" s="44" t="n"/>
      <c r="I215" s="150" t="n"/>
      <c r="J215" s="40" t="n"/>
      <c r="K215" s="40" t="n"/>
      <c r="L215" s="40" t="n"/>
    </row>
    <row r="216">
      <c r="G216" s="44" t="n"/>
      <c r="H216" s="44" t="n"/>
      <c r="I216" s="150" t="n"/>
      <c r="J216" s="40" t="n"/>
      <c r="K216" s="40" t="n"/>
      <c r="L216" s="40" t="n"/>
    </row>
    <row r="217">
      <c r="G217" s="44" t="n"/>
      <c r="H217" s="44" t="n"/>
      <c r="I217" s="150" t="n"/>
      <c r="J217" s="40" t="n"/>
      <c r="K217" s="40" t="n"/>
      <c r="L217" s="40" t="n"/>
    </row>
    <row r="218">
      <c r="G218" s="44" t="n"/>
      <c r="H218" s="44" t="n"/>
      <c r="I218" s="150" t="n"/>
      <c r="J218" s="40" t="n"/>
      <c r="K218" s="40" t="n"/>
      <c r="L218" s="40" t="n"/>
    </row>
    <row r="219">
      <c r="G219" s="44" t="n"/>
      <c r="H219" s="44" t="n"/>
      <c r="I219" s="150" t="n"/>
      <c r="J219" s="40" t="n"/>
      <c r="K219" s="40" t="n"/>
      <c r="L219" s="40" t="n"/>
    </row>
    <row r="220">
      <c r="G220" s="44" t="n"/>
      <c r="H220" s="44" t="n"/>
      <c r="I220" s="150" t="n"/>
      <c r="J220" s="40" t="n"/>
      <c r="K220" s="40" t="n"/>
      <c r="L220" s="40" t="n"/>
    </row>
    <row r="221">
      <c r="G221" s="44" t="n"/>
      <c r="H221" s="44" t="n"/>
      <c r="I221" s="150" t="n"/>
      <c r="J221" s="40" t="n"/>
      <c r="K221" s="40" t="n"/>
      <c r="L221" s="40" t="n"/>
    </row>
    <row r="222">
      <c r="G222" s="44" t="n"/>
      <c r="H222" s="44" t="n"/>
      <c r="I222" s="150" t="n"/>
      <c r="J222" s="40" t="n"/>
      <c r="K222" s="40" t="n"/>
      <c r="L222" s="40" t="n"/>
    </row>
    <row r="223">
      <c r="G223" s="44" t="n"/>
      <c r="H223" s="44" t="n"/>
      <c r="I223" s="150" t="n"/>
      <c r="J223" s="40" t="n"/>
      <c r="K223" s="40" t="n"/>
      <c r="L223" s="40" t="n"/>
    </row>
    <row r="224">
      <c r="G224" s="44" t="n"/>
      <c r="H224" s="44" t="n"/>
      <c r="I224" s="150" t="n"/>
      <c r="J224" s="40" t="n"/>
      <c r="K224" s="40" t="n"/>
      <c r="L224" s="40" t="n"/>
    </row>
    <row r="225">
      <c r="G225" s="44" t="n"/>
      <c r="H225" s="44" t="n"/>
      <c r="I225" s="150" t="n"/>
      <c r="J225" s="40" t="n"/>
      <c r="K225" s="40" t="n"/>
      <c r="L225" s="40" t="n"/>
    </row>
    <row r="226">
      <c r="G226" s="44" t="n"/>
      <c r="H226" s="44" t="n"/>
      <c r="I226" s="150" t="n"/>
      <c r="J226" s="40" t="n"/>
      <c r="K226" s="40" t="n"/>
      <c r="L226" s="40" t="n"/>
    </row>
    <row r="227">
      <c r="G227" s="44" t="n"/>
      <c r="H227" s="44" t="n"/>
      <c r="I227" s="150" t="n"/>
      <c r="J227" s="40" t="n"/>
      <c r="K227" s="40" t="n"/>
      <c r="L227" s="40" t="n"/>
    </row>
    <row r="228">
      <c r="G228" s="44" t="n"/>
      <c r="H228" s="44" t="n"/>
      <c r="I228" s="150" t="n"/>
      <c r="J228" s="40" t="n"/>
      <c r="K228" s="40" t="n"/>
      <c r="L228" s="40" t="n"/>
    </row>
    <row r="229">
      <c r="G229" s="44" t="n"/>
      <c r="H229" s="44" t="n"/>
      <c r="I229" s="150" t="n"/>
      <c r="J229" s="40" t="n"/>
      <c r="K229" s="40" t="n"/>
      <c r="L229" s="40" t="n"/>
    </row>
    <row r="230">
      <c r="G230" s="44" t="n"/>
      <c r="H230" s="44" t="n"/>
      <c r="I230" s="150" t="n"/>
      <c r="J230" s="40" t="n"/>
      <c r="K230" s="40" t="n"/>
      <c r="L230" s="40" t="n"/>
    </row>
    <row r="231">
      <c r="G231" s="44" t="n"/>
      <c r="H231" s="44" t="n"/>
      <c r="I231" s="150" t="n"/>
      <c r="J231" s="40" t="n"/>
      <c r="K231" s="40" t="n"/>
      <c r="L231" s="40" t="n"/>
    </row>
    <row r="232">
      <c r="G232" s="44" t="n"/>
      <c r="H232" s="44" t="n"/>
      <c r="I232" s="150" t="n"/>
      <c r="J232" s="40" t="n"/>
      <c r="K232" s="40" t="n"/>
      <c r="L232" s="40" t="n"/>
    </row>
    <row r="233">
      <c r="G233" s="44" t="n"/>
      <c r="H233" s="44" t="n"/>
      <c r="I233" s="150" t="n"/>
      <c r="J233" s="40" t="n"/>
      <c r="K233" s="40" t="n"/>
      <c r="L233" s="40" t="n"/>
    </row>
    <row r="234">
      <c r="G234" s="44" t="n"/>
      <c r="H234" s="44" t="n"/>
      <c r="I234" s="150" t="n"/>
      <c r="J234" s="40" t="n"/>
      <c r="K234" s="40" t="n"/>
      <c r="L234" s="40" t="n"/>
    </row>
    <row r="235">
      <c r="G235" s="44" t="n"/>
      <c r="H235" s="44" t="n"/>
      <c r="I235" s="150" t="n"/>
      <c r="J235" s="40" t="n"/>
      <c r="K235" s="40" t="n"/>
      <c r="L235" s="40" t="n"/>
    </row>
    <row r="236">
      <c r="G236" s="44" t="n"/>
      <c r="H236" s="44" t="n"/>
      <c r="I236" s="150" t="n"/>
      <c r="J236" s="40" t="n"/>
      <c r="K236" s="40" t="n"/>
      <c r="L236" s="40" t="n"/>
    </row>
    <row r="237">
      <c r="G237" s="44" t="n"/>
      <c r="H237" s="44" t="n"/>
      <c r="I237" s="150" t="n"/>
      <c r="J237" s="40" t="n"/>
      <c r="K237" s="40" t="n"/>
      <c r="L237" s="40" t="n"/>
    </row>
    <row r="238">
      <c r="G238" s="44" t="n"/>
      <c r="H238" s="44" t="n"/>
      <c r="I238" s="150" t="n"/>
      <c r="J238" s="40" t="n"/>
      <c r="K238" s="40" t="n"/>
      <c r="L238" s="40" t="n"/>
    </row>
    <row r="239">
      <c r="G239" s="44" t="n"/>
      <c r="H239" s="44" t="n"/>
      <c r="I239" s="150" t="n"/>
      <c r="J239" s="40" t="n"/>
      <c r="K239" s="40" t="n"/>
      <c r="L239" s="40" t="n"/>
    </row>
    <row r="240">
      <c r="G240" s="44" t="n"/>
      <c r="H240" s="44" t="n"/>
      <c r="I240" s="150" t="n"/>
      <c r="J240" s="40" t="n"/>
      <c r="K240" s="40" t="n"/>
      <c r="L240" s="40" t="n"/>
    </row>
  </sheetData>
  <mergeCells count="3">
    <mergeCell ref="A1:L5"/>
    <mergeCell ref="A87:L87"/>
    <mergeCell ref="A7:L7"/>
  </mergeCells>
  <pageMargins left="0.7" right="0.7" top="0.75" bottom="0.75" header="0.3" footer="0.3"/>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codeName="Sheet7">
    <outlinePr summaryBelow="1" summaryRight="1"/>
    <pageSetUpPr/>
  </sheetPr>
  <dimension ref="A1:L1148"/>
  <sheetViews>
    <sheetView zoomScale="107" workbookViewId="0">
      <selection activeCell="A10" sqref="A10"/>
    </sheetView>
  </sheetViews>
  <sheetFormatPr baseColWidth="10" defaultColWidth="50.6640625" defaultRowHeight="16"/>
  <cols>
    <col width="50.6640625" customWidth="1" style="308" min="1" max="1"/>
    <col width="12.6640625" customWidth="1" style="308" min="2" max="2"/>
    <col width="12.6640625" customWidth="1" style="357" min="3" max="3"/>
    <col width="10.83203125" bestFit="1" customWidth="1" style="357" min="4" max="4"/>
    <col width="24.83203125" bestFit="1" customWidth="1" style="357"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21" min="10" max="10"/>
    <col hidden="1" width="30.33203125" customWidth="1" style="308" min="11" max="11"/>
    <col width="35.6640625" customWidth="1" style="308" min="12" max="12"/>
    <col width="12.6640625" customWidth="1" style="308" min="13" max="14"/>
    <col width="50.6640625" customWidth="1" style="308" min="15" max="16384"/>
  </cols>
  <sheetData>
    <row r="1">
      <c r="A1" s="320" t="inlineStr">
        <is>
          <t>Autel Monthly Summary</t>
        </is>
      </c>
    </row>
    <row r="2"/>
    <row r="3"/>
    <row r="4"/>
    <row r="5"/>
    <row r="6">
      <c r="A6" s="34" t="n"/>
      <c r="B6" s="34" t="n"/>
      <c r="C6" s="358" t="n"/>
      <c r="D6" s="358" t="n"/>
      <c r="E6" s="358" t="n"/>
      <c r="F6" s="57" t="n"/>
      <c r="G6" s="57" t="n"/>
      <c r="H6" s="57" t="n"/>
      <c r="I6" s="58" t="n"/>
      <c r="J6" s="59"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Autel Scanner MaxiCOM MK808S: 2026 Bidirectional Tool as MX808S MK808BT Pro M808Z, Work as MaxiCheck MX900 MK900BT, 28+ Service, 3000+ Active Tests, All System OBD2 Diagnostics, OS 11, 10X Faster</t>
        </is>
      </c>
      <c r="B9" s="35" t="inlineStr">
        <is>
          <t>B0744B55QV</t>
        </is>
      </c>
      <c r="C9" s="35" t="inlineStr">
        <is>
          <t>Tablet</t>
        </is>
      </c>
      <c r="D9" s="359" t="n">
        <v>455.0867040358744</v>
      </c>
      <c r="E9" s="359" t="n">
        <v>7885233.039999999</v>
      </c>
      <c r="F9" s="361" t="n">
        <v>608906.01</v>
      </c>
      <c r="G9" s="68" t="n">
        <v>17363</v>
      </c>
      <c r="H9" s="68" t="n">
        <v>1338</v>
      </c>
      <c r="I9" s="68" t="n">
        <v>3847</v>
      </c>
      <c r="J9" s="69" t="n">
        <v>4.4</v>
      </c>
      <c r="K9" s="69" t="inlineStr">
        <is>
          <t>https://amazon.com/dp/B0744B55QV</t>
        </is>
      </c>
      <c r="L9" s="114">
        <f>HYPERLINK(Table1311[[#This Row],[Column1]])</f>
        <v/>
      </c>
    </row>
    <row r="10" ht="60" customHeight="1" s="314">
      <c r="A10" s="35" t="inlineStr">
        <is>
          <t>Autel Scanner MaxiCOM MK900BT, 2026 MK900-BT V2.0 Bidirectional Diagnostic Tool, 8in Up of MK900 MX900 MK808S MK808BT MX808S MK808Z, 3000+ Active Tests, 40+ Service, CAN-FD&amp;DOIP, All System, FCA 11 OS</t>
        </is>
      </c>
      <c r="B10" s="35" t="inlineStr">
        <is>
          <t>B098PYB8XG</t>
        </is>
      </c>
      <c r="C10" s="35" t="inlineStr">
        <is>
          <t>Tablet</t>
        </is>
      </c>
      <c r="D10" s="359" t="n">
        <v>658.7687378640776</v>
      </c>
      <c r="E10" s="359" t="n">
        <v>6159075.856923075</v>
      </c>
      <c r="F10" s="361" t="n">
        <v>542825.4399999999</v>
      </c>
      <c r="G10" s="68" t="n">
        <v>8585</v>
      </c>
      <c r="H10" s="68" t="n">
        <v>824</v>
      </c>
      <c r="I10" s="68" t="n">
        <v>708</v>
      </c>
      <c r="J10" s="69" t="n">
        <v>4.5</v>
      </c>
      <c r="K10" s="69" t="inlineStr">
        <is>
          <t>https://amazon.com/dp/B098PYB8XG</t>
        </is>
      </c>
      <c r="L10" s="114">
        <f>HYPERLINK(Table1311[[#This Row],[Column1]])</f>
        <v/>
      </c>
    </row>
    <row r="11" ht="45" customHeight="1" s="314">
      <c r="A11" s="35" t="inlineStr">
        <is>
          <t>Autel Scanner MaxiCheck MX808S, 2026 US Ver. of MaxiCOM MK808S MK808Z, Bidirectional 3000+ Active Test 11OS as MK900 MK900BT MX900, 28+ Service, OE All Systems OBD2 Diagnostic Tool, FCA, 10X Faster</t>
        </is>
      </c>
      <c r="B11" s="35" t="inlineStr">
        <is>
          <t>B08ML7T7KZ</t>
        </is>
      </c>
      <c r="C11" s="35" t="inlineStr">
        <is>
          <t>Tablet</t>
        </is>
      </c>
      <c r="D11" s="359" t="n">
        <v>430.9935983263599</v>
      </c>
      <c r="E11" s="359" t="n">
        <v>3546450.44</v>
      </c>
      <c r="F11" s="361" t="n">
        <v>206014.94</v>
      </c>
      <c r="G11" s="68" t="n">
        <v>8226</v>
      </c>
      <c r="H11" s="68" t="n">
        <v>478</v>
      </c>
      <c r="I11" s="68" t="n">
        <v>711</v>
      </c>
      <c r="J11" s="69" t="n">
        <v>4.7</v>
      </c>
      <c r="K11" s="69" t="inlineStr">
        <is>
          <t>https://amazon.com/dp/B08ML7T7KZ</t>
        </is>
      </c>
      <c r="L11" s="114">
        <f>HYPERLINK(Table1311[[#This Row],[Column1]])</f>
        <v/>
      </c>
    </row>
    <row r="12" ht="60" customHeight="1" s="314">
      <c r="A12" s="35" t="inlineStr">
        <is>
          <t>Autel Scanner MaxiCOM MK900BT, 2026 MK900-BT Bidirectional Diagnostic Scan Tool, 2.0 BT Ver. of MK900 MX900, 8in Up of MK808S MK808BT PRO MX808S MK808Z, 40+ Reset, 3K+ Active Tests, CAN FD &amp; DoIP, FCA</t>
        </is>
      </c>
      <c r="B12" s="35" t="inlineStr">
        <is>
          <t>B09712X5CW</t>
        </is>
      </c>
      <c r="C12" s="35" t="inlineStr">
        <is>
          <t>Tablet</t>
        </is>
      </c>
      <c r="D12" s="359" t="n">
        <v>658.3624742268041</v>
      </c>
      <c r="E12" s="359" t="n">
        <v>1561721.28</v>
      </c>
      <c r="F12" s="361" t="n">
        <v>191583.48</v>
      </c>
      <c r="G12" s="68" t="n">
        <v>2370</v>
      </c>
      <c r="H12" s="68" t="n">
        <v>291</v>
      </c>
      <c r="I12" s="68" t="n">
        <v>208</v>
      </c>
      <c r="J12" s="69" t="n">
        <v>4.6</v>
      </c>
      <c r="K12" s="69" t="inlineStr">
        <is>
          <t>https://amazon.com/dp/B09712X5CW</t>
        </is>
      </c>
      <c r="L12" s="114">
        <f>HYPERLINK(Table1311[[#This Row],[Column1]])</f>
        <v/>
      </c>
    </row>
    <row r="13" ht="60" customHeight="1" s="314">
      <c r="A13" s="35" t="inlineStr">
        <is>
          <t>Autel Scanner MaxiCOM MK900: 2026 Updated as MK900BT MK900-BT MX900 Bidirectional Diagnostic Tool, 8in Up of MK808S MK808BT Pro MX808S 808Z, 3K+ Active Tests, 40+ Service, CAN-FD&amp;DOIP, All System, FCA</t>
        </is>
      </c>
      <c r="B13" s="35" t="inlineStr">
        <is>
          <t>B073CQMF25</t>
        </is>
      </c>
      <c r="C13" s="35" t="inlineStr">
        <is>
          <t>Tablet</t>
        </is>
      </c>
      <c r="D13" s="359" t="n">
        <v>559.1208823529412</v>
      </c>
      <c r="E13" s="359" t="n">
        <v>2154287.09</v>
      </c>
      <c r="F13" s="361" t="n">
        <v>171090.99</v>
      </c>
      <c r="G13" s="68" t="n">
        <v>3794</v>
      </c>
      <c r="H13" s="68" t="n">
        <v>306</v>
      </c>
      <c r="I13" s="68" t="n">
        <v>371</v>
      </c>
      <c r="J13" s="69" t="n">
        <v>4.4</v>
      </c>
      <c r="K13" s="69" t="inlineStr">
        <is>
          <t>https://amazon.com/dp/B073CQMF25</t>
        </is>
      </c>
      <c r="L13" s="114">
        <f>HYPERLINK(Table1311[[#This Row],[Column1]])</f>
        <v/>
      </c>
    </row>
    <row r="14" ht="45" customHeight="1" s="314">
      <c r="A14" s="35" t="inlineStr">
        <is>
          <t>Autel Scanner MaxiCOM MK900BT: 2026 8in MK900-BT V2.0 Bidirectional Scan Tool, 33ft BT Ver. of MK900 MX900 MK808S MK808BT PRO MX808S MK808Z, 40+ Service, 3K+ Active Tests, DOIP CANFD, All System, FCA</t>
        </is>
      </c>
      <c r="B14" s="35" t="inlineStr">
        <is>
          <t>B07PGYY8SS</t>
        </is>
      </c>
      <c r="C14" s="35" t="inlineStr">
        <is>
          <t>Tablet</t>
        </is>
      </c>
      <c r="D14" s="359" t="n">
        <v>658.3173469387755</v>
      </c>
      <c r="E14" s="359" t="n">
        <v>1188045.54</v>
      </c>
      <c r="F14" s="361" t="n">
        <v>161287.75</v>
      </c>
      <c r="G14" s="68" t="n">
        <v>1578</v>
      </c>
      <c r="H14" s="68" t="n">
        <v>245</v>
      </c>
      <c r="I14" s="68" t="n">
        <v>173</v>
      </c>
      <c r="J14" s="69" t="n">
        <v>4.5</v>
      </c>
      <c r="K14" s="69" t="inlineStr">
        <is>
          <t>https://amazon.com/dp/B07PGYY8SS</t>
        </is>
      </c>
      <c r="L14" s="114">
        <f>HYPERLINK(Table1311[[#This Row],[Column1]])</f>
        <v/>
      </c>
    </row>
    <row r="15" ht="60" customHeight="1" s="314">
      <c r="A15" s="35" t="inlineStr">
        <is>
          <t>Autel Scanner MaxiCOM MK808BT PRO, 2026 Bidirectional Tool as MK900BT, Up Ver. of MK900 MaxiCheck MX900 MK808S MX808S, 3000+ Test, 28+ Service, All System Diagnostic, Injector Coding, FCA Android 11</t>
        </is>
      </c>
      <c r="B15" s="35" t="inlineStr">
        <is>
          <t>B07MBSZH48</t>
        </is>
      </c>
      <c r="C15" s="35" t="inlineStr">
        <is>
          <t>Tablet</t>
        </is>
      </c>
      <c r="D15" s="359" t="n">
        <v>548.6857421875</v>
      </c>
      <c r="E15" s="359" t="n">
        <v>1830531.78</v>
      </c>
      <c r="F15" s="361" t="n">
        <v>140463.55</v>
      </c>
      <c r="G15" s="68" t="n">
        <v>3407</v>
      </c>
      <c r="H15" s="68" t="n">
        <v>256</v>
      </c>
      <c r="I15" s="68" t="n">
        <v>1785</v>
      </c>
      <c r="J15" s="69" t="n">
        <v>4.6</v>
      </c>
      <c r="K15" s="69" t="inlineStr">
        <is>
          <t>https://amazon.com/dp/B07MBSZH48</t>
        </is>
      </c>
      <c r="L15" s="114">
        <f>HYPERLINK(Table1311[[#This Row],[Column1]])</f>
        <v/>
      </c>
    </row>
    <row r="16" ht="45" customHeight="1" s="314">
      <c r="A16" s="35" t="inlineStr">
        <is>
          <t>Autel MaxiCOM MK900 Bidirectional Scanner: 2026 Up of MaxiCheck MX808S MK808S, Work as MK900-BT MK900BT MX900 OBD2 Diagnostic Tool w/ 3000+ Active Test, 40+ Service, CAN-FD&amp;DOIP, All System, FCA 11 OS</t>
        </is>
      </c>
      <c r="B16" s="35" t="inlineStr">
        <is>
          <t>B0GDY7WJB7</t>
        </is>
      </c>
      <c r="C16" s="35" t="inlineStr">
        <is>
          <t>Tablet</t>
        </is>
      </c>
      <c r="D16" s="359" t="n">
        <v>589.6067948717948</v>
      </c>
      <c r="E16" s="359" t="n">
        <v>1403053.259230769</v>
      </c>
      <c r="F16" s="361" t="n">
        <v>137967.99</v>
      </c>
      <c r="G16" s="68" t="n">
        <v>435</v>
      </c>
      <c r="H16" s="68" t="n">
        <v>234</v>
      </c>
      <c r="I16" s="68" t="n">
        <v>23</v>
      </c>
      <c r="J16" s="69" t="n">
        <v>5</v>
      </c>
      <c r="K16" s="69" t="inlineStr">
        <is>
          <t>https://amazon.com/dp/B0GDY7WJB7</t>
        </is>
      </c>
      <c r="L16" s="114">
        <f>HYPERLINK(Table1311[[#This Row],[Column1]])</f>
        <v/>
      </c>
    </row>
    <row r="17" ht="45" customHeight="1" s="314">
      <c r="A17" s="35" t="inlineStr">
        <is>
          <t>Autel MaxiSys Ultra S2 Scanner, 2026 Top Intelligen Scan Diagnostic with AI, 6-in-1 VCMI2, Up of MSUltra MS919, Topology 3.0, Multi-Point DVI, Motor Truspeed Repair, EV Test, 48+ Service, ECU Program</t>
        </is>
      </c>
      <c r="B17" s="35" t="inlineStr">
        <is>
          <t>B0DZC1M7MZ</t>
        </is>
      </c>
      <c r="C17" s="35" t="inlineStr">
        <is>
          <t>Tablet</t>
        </is>
      </c>
      <c r="D17" s="359" t="n">
        <v>5558.342608695652</v>
      </c>
      <c r="E17" s="359" t="n">
        <v>1461214.87</v>
      </c>
      <c r="F17" s="361" t="n">
        <v>127841.88</v>
      </c>
      <c r="G17" s="68" t="n">
        <v>272</v>
      </c>
      <c r="H17" s="68" t="n">
        <v>23</v>
      </c>
      <c r="I17" s="68" t="n">
        <v>22</v>
      </c>
      <c r="J17" s="69" t="n">
        <v>4.8</v>
      </c>
      <c r="K17" s="69" t="inlineStr">
        <is>
          <t>https://amazon.com/dp/B0DZC1M7MZ</t>
        </is>
      </c>
      <c r="L17" s="114">
        <f>HYPERLINK(Table1311[[#This Row],[Column1]])</f>
        <v/>
      </c>
    </row>
    <row r="18" ht="45" customHeight="1" s="314">
      <c r="A18" s="35" t="inlineStr">
        <is>
          <t>Autel MaxiCheck MX900 Scanner, 2026 Bidirectional Scan Tool with 3000+ Active Test, DoIP&amp;CAN FD, 40+ Service, US Ver. of MaxiCOM MK900 MK900BT, Up of MK808BT MK808S MX808S, All-Sys Diagnose, FCA 11OS</t>
        </is>
      </c>
      <c r="B18" s="35" t="inlineStr">
        <is>
          <t>B09JFXPYKL</t>
        </is>
      </c>
      <c r="C18" s="35" t="inlineStr">
        <is>
          <t>Tablet</t>
        </is>
      </c>
      <c r="D18" s="359" t="n">
        <v>559.3285572139304</v>
      </c>
      <c r="E18" s="359" t="n">
        <v>712617.9700000001</v>
      </c>
      <c r="F18" s="361" t="n">
        <v>112425.04</v>
      </c>
      <c r="G18" s="68" t="n">
        <v>1274</v>
      </c>
      <c r="H18" s="68" t="n">
        <v>201</v>
      </c>
      <c r="I18" s="68" t="n">
        <v>117</v>
      </c>
      <c r="J18" s="69" t="n">
        <v>4.6</v>
      </c>
      <c r="K18" s="69" t="inlineStr">
        <is>
          <t>https://amazon.com/dp/B09JFXPYKL</t>
        </is>
      </c>
      <c r="L18" s="114">
        <f>HYPERLINK(Table1311[[#This Row],[Column1]])</f>
        <v/>
      </c>
    </row>
    <row r="19" ht="60" customHeight="1" s="314">
      <c r="A19" s="35" t="inlineStr">
        <is>
          <t>Autel Professional OBD2 Scanner AL319 Code Reader, Enhanced Check and Reset Engine Fault Code, Live Data, Freeze Frame, CAN Car Diagnostic Scan Tools for All OBDII Vehicles After 1996, 2026 Upgraded</t>
        </is>
      </c>
      <c r="B19" s="35" t="inlineStr">
        <is>
          <t>B007XE8C74</t>
        </is>
      </c>
      <c r="C19" s="35" t="inlineStr">
        <is>
          <t>Handheld</t>
        </is>
      </c>
      <c r="D19" s="359" t="n">
        <v>33.92090459901178</v>
      </c>
      <c r="E19" s="359" t="n">
        <v>1146321.48</v>
      </c>
      <c r="F19" s="361" t="n">
        <v>89245.89999999999</v>
      </c>
      <c r="G19" s="68" t="n">
        <v>34132</v>
      </c>
      <c r="H19" s="68" t="n">
        <v>2631</v>
      </c>
      <c r="I19" s="68" t="n">
        <v>25897</v>
      </c>
      <c r="J19" s="69" t="n">
        <v>4.6</v>
      </c>
      <c r="K19" s="69" t="inlineStr">
        <is>
          <t>https://amazon.com/dp/B007XE8C74</t>
        </is>
      </c>
      <c r="L19" s="114">
        <f>HYPERLINK(Table1311[[#This Row],[Column1]])</f>
        <v/>
      </c>
    </row>
    <row r="20" ht="45" customHeight="1" s="314">
      <c r="A20" s="35" t="inlineStr">
        <is>
          <t>Autel Scanner MaxiCOM MK808BT PRO, 2026 Bidirectional Diagnostic Scan Tool as MK900BT, 2.0 BT Ver. of MK808S MX808S MX900 MK900, 3000+ Active Tests, 28+ Reset, Injector Coding, All Systems, FCA, OS 11</t>
        </is>
      </c>
      <c r="B20" s="35" t="inlineStr">
        <is>
          <t>B07FFT8SCC</t>
        </is>
      </c>
      <c r="C20" s="35" t="inlineStr">
        <is>
          <t>Tablet</t>
        </is>
      </c>
      <c r="D20" s="359" t="n">
        <v>550.0850943396226</v>
      </c>
      <c r="E20" s="359" t="n">
        <v>631410.39</v>
      </c>
      <c r="F20" s="361" t="n">
        <v>87463.53</v>
      </c>
      <c r="G20" s="68" t="n">
        <v>1148</v>
      </c>
      <c r="H20" s="68" t="n">
        <v>159</v>
      </c>
      <c r="I20" s="68" t="n">
        <v>663</v>
      </c>
      <c r="J20" s="69" t="n">
        <v>4.5</v>
      </c>
      <c r="K20" s="69" t="inlineStr">
        <is>
          <t>https://amazon.com/dp/B07FFT8SCC</t>
        </is>
      </c>
      <c r="L20" s="114">
        <f>HYPERLINK(Table1311[[#This Row],[Column1]])</f>
        <v/>
      </c>
    </row>
    <row r="21" ht="45" customHeight="1" s="314">
      <c r="A21" s="35" t="inlineStr">
        <is>
          <t>Autel Scanner MaxiIM KM100 (X), Lifetime Free Updates, 2026 New Automotive Diagnostic OBD2 Scan Tool, V200 Wireless BT Connection, Auto Scan &amp; Auto VIN, Android 9.0, 2GB &amp; 64GB, 5.5in 1280 * 720</t>
        </is>
      </c>
      <c r="B21" s="35" t="inlineStr">
        <is>
          <t>B0FLKG4BTQ</t>
        </is>
      </c>
      <c r="C21" s="35" t="inlineStr">
        <is>
          <t>Tablet</t>
        </is>
      </c>
      <c r="D21" s="359" t="n">
        <v>520.1753703703704</v>
      </c>
      <c r="E21" s="359" t="n">
        <v>670104.6876923076</v>
      </c>
      <c r="F21" s="361" t="n">
        <v>84268.41</v>
      </c>
      <c r="G21" s="68" t="n">
        <v>384</v>
      </c>
      <c r="H21" s="68" t="n">
        <v>162</v>
      </c>
      <c r="I21" s="68" t="n">
        <v>19</v>
      </c>
      <c r="J21" s="69" t="n">
        <v>4.2</v>
      </c>
      <c r="K21" s="69" t="inlineStr">
        <is>
          <t>https://amazon.com/dp/B0FLKG4BTQ</t>
        </is>
      </c>
      <c r="L21" s="114">
        <f>HYPERLINK(Table1311[[#This Row],[Column1]])</f>
        <v/>
      </c>
    </row>
    <row r="22" ht="60" customHeight="1" s="314">
      <c r="A22" s="35" t="inlineStr">
        <is>
          <t>Autel Scanner MaxiCheck MX808S, 2026 US Ver of MaxiCOM MK808S MK808Z, Full Bidirectional Diagnostic Scan Tool as MK900 MX900 MK900BT MK808BT PRO, 3K+ Active Test, 28+ Service, OE All System, OS11, FCA</t>
        </is>
      </c>
      <c r="B22" s="35" t="inlineStr">
        <is>
          <t>B08TWMTD35</t>
        </is>
      </c>
      <c r="C22" s="35" t="inlineStr">
        <is>
          <t>Tablet</t>
        </is>
      </c>
      <c r="D22" s="359" t="n">
        <v>448.3831764705882</v>
      </c>
      <c r="E22" s="359" t="n">
        <v>598786.13</v>
      </c>
      <c r="F22" s="361" t="n">
        <v>76225.14</v>
      </c>
      <c r="G22" s="68" t="n">
        <v>1331</v>
      </c>
      <c r="H22" s="68" t="n">
        <v>170</v>
      </c>
      <c r="I22" s="68" t="n">
        <v>587</v>
      </c>
      <c r="J22" s="69" t="n">
        <v>4.6</v>
      </c>
      <c r="K22" s="69" t="inlineStr">
        <is>
          <t>https://amazon.com/dp/B08TWMTD35</t>
        </is>
      </c>
      <c r="L22" s="114">
        <f>HYPERLINK(Table1311[[#This Row],[Column1]])</f>
        <v/>
      </c>
    </row>
    <row r="23" ht="60" customHeight="1" s="314">
      <c r="A23" s="35" t="inlineStr">
        <is>
          <t>Autel MaxiSys MS906MAX 2026 Way Better Than MS906 Pro, Autel Scanner, Top Scan Tool DoIP CANFD Diagnostic Tool, Upgrade of MK900 MP900BT MS906BT MK908 3000+Active Test All System Diagnosis</t>
        </is>
      </c>
      <c r="B23" s="35" t="inlineStr">
        <is>
          <t>B0DRHX4MYX</t>
        </is>
      </c>
      <c r="C23" s="35" t="inlineStr">
        <is>
          <t>Tablet</t>
        </is>
      </c>
      <c r="D23" s="359" t="n">
        <v>1575.688</v>
      </c>
      <c r="E23" s="359" t="n">
        <v>728494.03</v>
      </c>
      <c r="F23" s="361" t="n">
        <v>63027.52</v>
      </c>
      <c r="G23" s="68" t="n">
        <v>466</v>
      </c>
      <c r="H23" s="68" t="n">
        <v>40</v>
      </c>
      <c r="I23" s="68" t="n">
        <v>32</v>
      </c>
      <c r="J23" s="69" t="n">
        <v>4.7</v>
      </c>
      <c r="K23" s="69" t="inlineStr">
        <is>
          <t>https://amazon.com/dp/B0DRHX4MYX</t>
        </is>
      </c>
      <c r="L23" s="114">
        <f>HYPERLINK(Table1311[[#This Row],[Column1]])</f>
        <v/>
      </c>
    </row>
    <row r="24" ht="45" customHeight="1" s="314">
      <c r="A24" s="35" t="inlineStr">
        <is>
          <t>2026 Autel MaxiCOM MK900TS Scanner, MK900-TS Up of MK808S-TS MK900BT MK900 MX900, Bidirectional Scan Tool w/Top TPMS Function, All System, CAN FD &amp; DoIP, 3000+ Active Test, 40+ Service, FCA, OS 11.0</t>
        </is>
      </c>
      <c r="B24" s="35" t="inlineStr">
        <is>
          <t>B08PB6DHBS</t>
        </is>
      </c>
      <c r="C24" s="35" t="inlineStr">
        <is>
          <t>Tablet</t>
        </is>
      </c>
      <c r="D24" s="359" t="n">
        <v>874.6203333333334</v>
      </c>
      <c r="E24" s="359" t="n">
        <v>313027.51</v>
      </c>
      <c r="F24" s="361" t="n">
        <v>52477.22</v>
      </c>
      <c r="G24" s="68" t="n">
        <v>356</v>
      </c>
      <c r="H24" s="68" t="n">
        <v>60</v>
      </c>
      <c r="I24" s="68" t="n">
        <v>88</v>
      </c>
      <c r="J24" s="69" t="n">
        <v>4.8</v>
      </c>
      <c r="K24" s="69" t="inlineStr">
        <is>
          <t>https://amazon.com/dp/B08PB6DHBS</t>
        </is>
      </c>
      <c r="L24" s="114">
        <f>HYPERLINK(Table1311[[#This Row],[Column1]])</f>
        <v/>
      </c>
    </row>
    <row r="25" ht="45" customHeight="1" s="314">
      <c r="A25" s="35" t="inlineStr">
        <is>
          <t>2026 Autel Scanner MaxiIM IM508S PRO: OBD2 Diagnostic Scan Tool, Full Bundle Pro Version, Enhanced All System Diagnose w/ 3000+ Active Test, 40+ Service, OS11.0, FCA SGW</t>
        </is>
      </c>
      <c r="B25" s="35" t="inlineStr">
        <is>
          <t>B01DDKAF8K</t>
        </is>
      </c>
      <c r="C25" s="35" t="inlineStr">
        <is>
          <t>Tablet</t>
        </is>
      </c>
      <c r="D25" s="359" t="n">
        <v>1589.451212121212</v>
      </c>
      <c r="E25" s="359" t="n">
        <v>217067.63</v>
      </c>
      <c r="F25" s="361" t="n">
        <v>52451.89</v>
      </c>
      <c r="G25" s="68" t="n">
        <v>146</v>
      </c>
      <c r="H25" s="68" t="n">
        <v>33</v>
      </c>
      <c r="I25" s="68" t="n">
        <v>91</v>
      </c>
      <c r="J25" s="69" t="n">
        <v>4.6</v>
      </c>
      <c r="K25" s="69" t="inlineStr">
        <is>
          <t>https://amazon.com/dp/B01DDKAF8K</t>
        </is>
      </c>
      <c r="L25" s="114">
        <f>HYPERLINK(Table1311[[#This Row],[Column1]])</f>
        <v/>
      </c>
    </row>
    <row r="26" ht="60" customHeight="1" s="314">
      <c r="A26" s="35" t="inlineStr">
        <is>
          <t>Autel MaxiSys Elite II Pro Scanner, 2026 Elite 2 Pro with 2 Years Update, J2534 Tool as MS Ultra MS909 MS919 Up of MS908S PRO II MK908P, Motor TruSpeed Repair, 40+ Resets, 3K+ Active Test, DOIP CANFD</t>
        </is>
      </c>
      <c r="B26" s="35" t="inlineStr">
        <is>
          <t>B09KNDC9PP</t>
        </is>
      </c>
      <c r="C26" s="35" t="inlineStr">
        <is>
          <t>Tablet</t>
        </is>
      </c>
      <c r="D26" s="359" t="n">
        <v>2407.118095238096</v>
      </c>
      <c r="E26" s="359" t="n">
        <v>428536.11</v>
      </c>
      <c r="F26" s="361" t="n">
        <v>50549.48</v>
      </c>
      <c r="G26" s="68" t="n">
        <v>178</v>
      </c>
      <c r="H26" s="68" t="n">
        <v>21</v>
      </c>
      <c r="I26" s="68" t="n">
        <v>57</v>
      </c>
      <c r="J26" s="69" t="n">
        <v>4.6</v>
      </c>
      <c r="K26" s="69" t="inlineStr">
        <is>
          <t>https://amazon.com/dp/B09KNDC9PP</t>
        </is>
      </c>
      <c r="L26" s="114">
        <f>HYPERLINK(Table1311[[#This Row],[Column1]])</f>
        <v/>
      </c>
    </row>
    <row r="27" ht="45" customHeight="1" s="314">
      <c r="A27" s="35" t="inlineStr">
        <is>
          <t>Autel Scanner MaxiSYS MS906 PRO-TS, 2026 MS906PROTS Same as MS906 PRO2-TS Up of MS906MAX MS906PRO MP900TS, Top TPMS &amp; OE C0d-ing, Bidirectional, 36+ Service, CAN FD&amp;DoIP, Auto Scan 2.0, FCA OS 10</t>
        </is>
      </c>
      <c r="B27" s="35" t="inlineStr">
        <is>
          <t>B09JG9L1QC</t>
        </is>
      </c>
      <c r="C27" s="35" t="inlineStr">
        <is>
          <t>Tablet</t>
        </is>
      </c>
      <c r="D27" s="359" t="n">
        <v>1550.966875</v>
      </c>
      <c r="E27" s="359" t="n">
        <v>746839.02</v>
      </c>
      <c r="F27" s="361" t="n">
        <v>49630.94</v>
      </c>
      <c r="G27" s="68" t="n">
        <v>477</v>
      </c>
      <c r="H27" s="68" t="n">
        <v>32</v>
      </c>
      <c r="I27" s="68" t="n">
        <v>197</v>
      </c>
      <c r="J27" s="69" t="n">
        <v>4.7</v>
      </c>
      <c r="K27" s="69" t="inlineStr">
        <is>
          <t>https://amazon.com/dp/B09JG9L1QC</t>
        </is>
      </c>
      <c r="L27" s="114">
        <f>HYPERLINK(Table1311[[#This Row],[Column1]])</f>
        <v/>
      </c>
    </row>
    <row r="28" ht="60" customHeight="1" s="314">
      <c r="A28" s="35" t="inlineStr">
        <is>
          <t>Autel PowerScan PS100 Automotive Circuit Tester 2.0, 12-24V Power Circuit Probe Tool, Electrical Short Open Circuit Finder, AC/DC/Resistance/Component/Signal/Test Light Automotive, 20ft Extension Cord</t>
        </is>
      </c>
      <c r="B28" s="35" t="inlineStr">
        <is>
          <t>B0BW48DKFG</t>
        </is>
      </c>
      <c r="C28" s="35" t="inlineStr">
        <is>
          <t>Probe</t>
        </is>
      </c>
      <c r="D28" s="359" t="n">
        <v>89.97608286252354</v>
      </c>
      <c r="E28" s="359" t="n">
        <v>509231.6592307692</v>
      </c>
      <c r="F28" s="361" t="n">
        <v>47777.3</v>
      </c>
      <c r="G28" s="68" t="n">
        <v>4189</v>
      </c>
      <c r="H28" s="68" t="n">
        <v>531</v>
      </c>
      <c r="I28" s="68" t="n">
        <v>366</v>
      </c>
      <c r="J28" s="69" t="n">
        <v>4.7</v>
      </c>
      <c r="K28" s="69" t="inlineStr">
        <is>
          <t>https://amazon.com/dp/B0BW48DKFG</t>
        </is>
      </c>
      <c r="L28" s="114">
        <f>HYPERLINK(Table1311[[#This Row],[Column1]])</f>
        <v/>
      </c>
    </row>
    <row r="29" ht="45" customHeight="1" s="314">
      <c r="A29" s="35" t="inlineStr">
        <is>
          <t>Autel Scanner MaxiIM IM608 PRO II, 2026 IM608 PRO 2 Diagnostic Scan Tool with $1314 Full KIT, 40 Services, ECU as Elite II Pro, 3K+ Bidirectional Tool, OE Full System, DOIP CANFD, OS10, 4G&amp;128G, 16MP</t>
        </is>
      </c>
      <c r="B29" s="35" t="inlineStr">
        <is>
          <t>B07VHN3PZ3</t>
        </is>
      </c>
      <c r="C29" s="35" t="inlineStr">
        <is>
          <t>Tablet</t>
        </is>
      </c>
      <c r="D29" s="359" t="n">
        <v>3364.228571428571</v>
      </c>
      <c r="E29" s="359" t="n">
        <v>312991.6</v>
      </c>
      <c r="F29" s="361" t="n">
        <v>47099.2</v>
      </c>
      <c r="G29" s="68" t="n">
        <v>96</v>
      </c>
      <c r="H29" s="68" t="n">
        <v>14</v>
      </c>
      <c r="I29" s="68" t="n">
        <v>50</v>
      </c>
      <c r="J29" s="69" t="n">
        <v>4.6</v>
      </c>
      <c r="K29" s="69" t="inlineStr">
        <is>
          <t>https://amazon.com/dp/B07VHN3PZ3</t>
        </is>
      </c>
      <c r="L29" s="114">
        <f>HYPERLINK(Table1311[[#This Row],[Column1]])</f>
        <v/>
      </c>
    </row>
    <row r="30" ht="45" customHeight="1" s="314">
      <c r="A30" s="35" t="inlineStr">
        <is>
          <t>Autel Scanner MaxilM KM100 Diagnostic Tool 2026, 2026 New KM100 OBD Scan Tool for 99% Vehicles, Lifetime Update, IM508S &amp; IM608 PRO II Lite Model, No IP Limit</t>
        </is>
      </c>
      <c r="B30" s="35" t="inlineStr">
        <is>
          <t>B0G2LT49CN</t>
        </is>
      </c>
      <c r="C30" s="35" t="inlineStr">
        <is>
          <t>Tablet</t>
        </is>
      </c>
      <c r="D30" s="359" t="n">
        <v>467.3973195876289</v>
      </c>
      <c r="E30" s="359" t="n">
        <v>354597.2484615384</v>
      </c>
      <c r="F30" s="361" t="n">
        <v>45337.54</v>
      </c>
      <c r="G30" s="68" t="n">
        <v>128</v>
      </c>
      <c r="H30" s="68" t="n">
        <v>97</v>
      </c>
      <c r="I30" s="68" t="n">
        <v>3</v>
      </c>
      <c r="J30" s="69" t="n">
        <v>5</v>
      </c>
      <c r="K30" s="69" t="inlineStr">
        <is>
          <t>https://amazon.com/dp/B0G2LT49CN</t>
        </is>
      </c>
      <c r="L30" s="114">
        <f>HYPERLINK(Table1311[[#This Row],[Column1]])</f>
        <v/>
      </c>
    </row>
    <row r="31" ht="45" customHeight="1" s="314">
      <c r="A31" s="35" t="inlineStr">
        <is>
          <t>Autel MaxiPRO MP900TS Scanner, 2026 8in MP900-TS up of MaxiSYS MS906 PRO MS906TS MP900-BT MK900-TS, Top TPMS as MS906 Pro-TS, Car Bidirectional Scan Tool, 40+ Service, All System, CAN FD&amp;DOIP, OS 11.0</t>
        </is>
      </c>
      <c r="B31" s="35" t="inlineStr">
        <is>
          <t>B08R3MHLG7</t>
        </is>
      </c>
      <c r="C31" s="35" t="inlineStr">
        <is>
          <t>Tablet</t>
        </is>
      </c>
      <c r="D31" s="359" t="n">
        <v>1097.467317073171</v>
      </c>
      <c r="E31" s="359" t="n">
        <v>482064.07</v>
      </c>
      <c r="F31" s="361" t="n">
        <v>44996.16</v>
      </c>
      <c r="G31" s="68" t="n">
        <v>434</v>
      </c>
      <c r="H31" s="68" t="n">
        <v>41</v>
      </c>
      <c r="I31" s="68" t="n">
        <v>119</v>
      </c>
      <c r="J31" s="69" t="n">
        <v>4.6</v>
      </c>
      <c r="K31" s="69" t="inlineStr">
        <is>
          <t>https://amazon.com/dp/B08R3MHLG7</t>
        </is>
      </c>
      <c r="L31" s="114">
        <f>HYPERLINK(Table1311[[#This Row],[Column1]])</f>
        <v/>
      </c>
    </row>
    <row r="32" ht="45" customHeight="1" s="314">
      <c r="A32" s="35" t="inlineStr">
        <is>
          <t>Autel Scanner MaxiIM IM508S PRO w/ $512 PRO Bundle, 2026 Same as IM608 PRO 2/ IM608S II, Enhanced of IM508S IM508, Bidirectional Diagnostic Scan Tool, 3000+ Tests, 40+ Service, All-Sys, OS 11.0, FCA</t>
        </is>
      </c>
      <c r="B32" s="35" t="inlineStr">
        <is>
          <t>B07W6YYLY8</t>
        </is>
      </c>
      <c r="C32" s="35" t="inlineStr">
        <is>
          <t>Tablet</t>
        </is>
      </c>
      <c r="D32" s="359" t="n">
        <v>1610.449230769231</v>
      </c>
      <c r="E32" s="359" t="n">
        <v>562358.35</v>
      </c>
      <c r="F32" s="361" t="n">
        <v>41871.68</v>
      </c>
      <c r="G32" s="68" t="n">
        <v>332</v>
      </c>
      <c r="H32" s="68" t="n">
        <v>26</v>
      </c>
      <c r="I32" s="68" t="n">
        <v>83</v>
      </c>
      <c r="J32" s="69" t="n">
        <v>4.4</v>
      </c>
      <c r="K32" s="69" t="inlineStr">
        <is>
          <t>https://amazon.com/dp/B07W6YYLY8</t>
        </is>
      </c>
      <c r="L32" s="114">
        <f>HYPERLINK(Table1311[[#This Row],[Column1]])</f>
        <v/>
      </c>
    </row>
    <row r="33" ht="60" customHeight="1" s="314">
      <c r="A33" s="35" t="inlineStr">
        <is>
          <t>Autel MaxiIM IM608 PRO 2 Scanner, 2026 IM608 PRO II Automotive Diagnostic Tool with $1316 Bundle, Advanced as Elite II Pro, 3000+ Tests, 40 Reset Services Bidirectional Tool, OS10 4/128GB CAN FD DoIP</t>
        </is>
      </c>
      <c r="B33" s="35" t="inlineStr">
        <is>
          <t>B08PNTTMQ8</t>
        </is>
      </c>
      <c r="C33" s="35" t="inlineStr">
        <is>
          <t>Tablet</t>
        </is>
      </c>
      <c r="D33" s="359" t="n">
        <v>3216.47</v>
      </c>
      <c r="E33" s="359" t="n">
        <v>1050334.14</v>
      </c>
      <c r="F33" s="361" t="n">
        <v>41814.11</v>
      </c>
      <c r="G33" s="68" t="n">
        <v>320</v>
      </c>
      <c r="H33" s="68" t="n">
        <v>13</v>
      </c>
      <c r="I33" s="68" t="n">
        <v>79</v>
      </c>
      <c r="J33" s="69" t="n">
        <v>4.8</v>
      </c>
      <c r="K33" s="69" t="inlineStr">
        <is>
          <t>https://amazon.com/dp/B08PNTTMQ8</t>
        </is>
      </c>
      <c r="L33" s="114">
        <f>HYPERLINK(Table1311[[#This Row],[Column1]])</f>
        <v/>
      </c>
    </row>
    <row r="34" ht="60" customHeight="1" s="314">
      <c r="A34" s="35" t="inlineStr">
        <is>
          <t>Autel MaxiPRO MP900-BT KIT Scanner: 2026 Same as MS906 Pro MS906 MAX MK908 w/OE C0ding, 3000+ Test, 40+ Service, 150+ Makes, Up of MP900-BT MP900BT w/ 200 Bucks 11 PCS OBD Cables, CAN FD &amp; FCA SGW</t>
        </is>
      </c>
      <c r="B34" s="35" t="inlineStr">
        <is>
          <t>B0751G1W5C</t>
        </is>
      </c>
      <c r="C34" s="35" t="inlineStr">
        <is>
          <t>Tablet</t>
        </is>
      </c>
      <c r="D34" s="359" t="n">
        <v>942.283953488372</v>
      </c>
      <c r="E34" s="359" t="n">
        <v>420490.92</v>
      </c>
      <c r="F34" s="361" t="n">
        <v>40518.21</v>
      </c>
      <c r="G34" s="68" t="n">
        <v>442</v>
      </c>
      <c r="H34" s="68" t="n">
        <v>43</v>
      </c>
      <c r="I34" s="68" t="n">
        <v>145</v>
      </c>
      <c r="J34" s="69" t="n">
        <v>4.6</v>
      </c>
      <c r="K34" s="69" t="inlineStr">
        <is>
          <t>https://amazon.com/dp/B0751G1W5C</t>
        </is>
      </c>
      <c r="L34" s="114">
        <f>HYPERLINK(Table1311[[#This Row],[Column1]])</f>
        <v/>
      </c>
    </row>
    <row r="35" ht="45" customHeight="1" s="314">
      <c r="A35" s="35" t="inlineStr">
        <is>
          <t>Autel MaxiAP AP200 OBD2 Scanner Bluetooth Wireless OBDII Auto Diagnostic Tool with Full System Diagnostic, 19 Reset Functions, AutoVIN, Check Engine Light Code Reader for iPhone Android</t>
        </is>
      </c>
      <c r="B35" s="35" t="inlineStr">
        <is>
          <t>B07QD4GZW4</t>
        </is>
      </c>
      <c r="C35" s="35" t="inlineStr">
        <is>
          <t>Dongle</t>
        </is>
      </c>
      <c r="D35" s="359" t="n">
        <v>62.67936608557845</v>
      </c>
      <c r="E35" s="359" t="n">
        <v>548747.09</v>
      </c>
      <c r="F35" s="361" t="n">
        <v>39550.68</v>
      </c>
      <c r="G35" s="68" t="n">
        <v>8571</v>
      </c>
      <c r="H35" s="68" t="n">
        <v>631</v>
      </c>
      <c r="I35" s="68" t="n">
        <v>3186</v>
      </c>
      <c r="J35" s="69" t="n">
        <v>4.1</v>
      </c>
      <c r="K35" s="69" t="inlineStr">
        <is>
          <t>https://amazon.com/dp/B07QD4GZW4</t>
        </is>
      </c>
      <c r="L35" s="114">
        <f>HYPERLINK(Table1311[[#This Row],[Column1]])</f>
        <v/>
      </c>
    </row>
    <row r="36" ht="60" customHeight="1" s="314">
      <c r="A36" s="35" t="inlineStr">
        <is>
          <t>Autel MaxiSys MS906 PRO Scanner, 2026 MS906Pro Same as MS906MAX, Top ECU Elite 2.0 of MS906BT MP900BT MP900 MS908S, Bidirectional 3K+ Test, OE All Sys, CAN FD DoIP, 36+ Service, AutoScan 2.0</t>
        </is>
      </c>
      <c r="B36" s="35" t="inlineStr">
        <is>
          <t>B00UEHHI3G</t>
        </is>
      </c>
      <c r="C36" s="35" t="inlineStr">
        <is>
          <t>Tablet</t>
        </is>
      </c>
      <c r="D36" s="359" t="n">
        <v>1358.563793103448</v>
      </c>
      <c r="E36" s="359" t="n">
        <v>336133.61</v>
      </c>
      <c r="F36" s="361" t="n">
        <v>39398.35</v>
      </c>
      <c r="G36" s="68" t="n">
        <v>262</v>
      </c>
      <c r="H36" s="68" t="n">
        <v>29</v>
      </c>
      <c r="I36" s="68" t="n">
        <v>26</v>
      </c>
      <c r="J36" s="69" t="n">
        <v>4.6</v>
      </c>
      <c r="K36" s="69" t="inlineStr">
        <is>
          <t>https://amazon.com/dp/B00UEHHI3G</t>
        </is>
      </c>
      <c r="L36" s="114">
        <f>HYPERLINK(Table1311[[#This Row],[Column1]])</f>
        <v/>
      </c>
    </row>
    <row r="37" ht="45" customHeight="1" s="314">
      <c r="A37" s="35" t="inlineStr">
        <is>
          <t>Autel MaxiSYS MS906 PRO Scanner: 2026 MS906PRO V2.0 Same as MS906MAX Up of MS906BT MP900BT MS908S, CAN FD DoIP, 36+ Resets, Bidirectional 3K+ Tests, Full Diagnostic, Auto Scan 2.0, FCA</t>
        </is>
      </c>
      <c r="B37" s="35" t="inlineStr">
        <is>
          <t>B086DRGM15</t>
        </is>
      </c>
      <c r="C37" s="35" t="inlineStr">
        <is>
          <t>Tablet</t>
        </is>
      </c>
      <c r="D37" s="359" t="n">
        <v>1498.8628</v>
      </c>
      <c r="E37" s="359" t="n">
        <v>388605.7</v>
      </c>
      <c r="F37" s="361" t="n">
        <v>37471.57</v>
      </c>
      <c r="G37" s="68" t="n">
        <v>265</v>
      </c>
      <c r="H37" s="68" t="n">
        <v>25</v>
      </c>
      <c r="I37" s="68" t="n">
        <v>88</v>
      </c>
      <c r="J37" s="69" t="n">
        <v>4.4</v>
      </c>
      <c r="K37" s="69" t="inlineStr">
        <is>
          <t>https://amazon.com/dp/B086DRGM15</t>
        </is>
      </c>
      <c r="L37" s="114">
        <f>HYPERLINK(Table1311[[#This Row],[Column1]])</f>
        <v/>
      </c>
    </row>
    <row r="38" ht="45" customHeight="1" s="314">
      <c r="A38" s="35" t="inlineStr">
        <is>
          <t>Autel Scanner MaxiIM KM100(X), 2026 New Car Diagnostic Scan Tool, Lifetime Fre.e Updates, OBD-Learn on 95% Car, Wireless Auto Tool, Auto VIN &amp; Scan VIN/License, Android 9.0, 2+64GB, 5.5in 1280x720</t>
        </is>
      </c>
      <c r="B38" s="35" t="inlineStr">
        <is>
          <t>B0G6DZWVJ5</t>
        </is>
      </c>
      <c r="C38" s="35" t="inlineStr">
        <is>
          <t>Tablet</t>
        </is>
      </c>
      <c r="D38" s="359" t="n">
        <v>537.8907462686567</v>
      </c>
      <c r="E38" s="359" t="n">
        <v>546068.6707692306</v>
      </c>
      <c r="F38" s="361" t="n">
        <v>36038.68</v>
      </c>
      <c r="G38" s="68" t="n">
        <v>548</v>
      </c>
      <c r="H38" s="68" t="n">
        <v>67</v>
      </c>
      <c r="I38" s="68" t="n">
        <v>80</v>
      </c>
      <c r="J38" s="69" t="n">
        <v>4.3</v>
      </c>
      <c r="K38" s="69" t="inlineStr">
        <is>
          <t>https://amazon.com/dp/B0G6DZWVJ5</t>
        </is>
      </c>
      <c r="L38" s="114">
        <f>HYPERLINK(Table1311[[#This Row],[Column1]])</f>
        <v/>
      </c>
    </row>
    <row r="39" ht="60" customHeight="1" s="314">
      <c r="A39" s="35" t="inlineStr">
        <is>
          <t>Autel MaxiCOM MK808Z OBD2 Scanner, 2026 Bidirectional Scan Tool Same As MK808S MX808S, Work as MaxiCheck MX900 MK900BT, Active Test, 28+ Service, All System Diagnose, Injector Coding, FCA Autoauth</t>
        </is>
      </c>
      <c r="B39" s="35" t="inlineStr">
        <is>
          <t>B094VZN94S</t>
        </is>
      </c>
      <c r="C39" s="35" t="inlineStr">
        <is>
          <t>Tablet</t>
        </is>
      </c>
      <c r="D39" s="359" t="n">
        <v>411.8664705882353</v>
      </c>
      <c r="E39" s="359" t="n">
        <v>310011.6776923077</v>
      </c>
      <c r="F39" s="361" t="n">
        <v>35008.65</v>
      </c>
      <c r="G39" s="68" t="n">
        <v>425</v>
      </c>
      <c r="H39" s="68" t="n">
        <v>85</v>
      </c>
      <c r="I39" s="68" t="n">
        <v>66</v>
      </c>
      <c r="J39" s="69" t="n">
        <v>4.4</v>
      </c>
      <c r="K39" s="69" t="inlineStr">
        <is>
          <t>https://amazon.com/dp/B094VZN94S</t>
        </is>
      </c>
      <c r="L39" s="114">
        <f>HYPERLINK(Table1311[[#This Row],[Column1]])</f>
        <v/>
      </c>
    </row>
    <row r="40" ht="45" customHeight="1" s="314">
      <c r="A40" s="35" t="inlineStr">
        <is>
          <t>Autel MaxiCOM Ultra Lite Intelligent Scanner: 2 Years Free Update, 2026 Ultra Lite Up of Elite II Pro MS909 MS919, Same as MaxiSys Ultra, Motor TruSpeed Repair, Topology 2.0, 40+ Services, DOIP CANFD</t>
        </is>
      </c>
      <c r="B40" s="35" t="inlineStr">
        <is>
          <t>B07MNY9VW3</t>
        </is>
      </c>
      <c r="C40" s="35" t="inlineStr">
        <is>
          <t>Tablet</t>
        </is>
      </c>
      <c r="D40" s="359" t="n">
        <v>2900.336666666667</v>
      </c>
      <c r="E40" s="359" t="n">
        <v>484350.91</v>
      </c>
      <c r="F40" s="361" t="n">
        <v>34804.04</v>
      </c>
      <c r="G40" s="68" t="n">
        <v>163</v>
      </c>
      <c r="H40" s="68" t="n">
        <v>12</v>
      </c>
      <c r="I40" s="68" t="n">
        <v>47</v>
      </c>
      <c r="J40" s="69" t="n">
        <v>4.1</v>
      </c>
      <c r="K40" s="69" t="inlineStr">
        <is>
          <t>https://amazon.com/dp/B07MNY9VW3</t>
        </is>
      </c>
      <c r="L40" s="114">
        <f>HYPERLINK(Table1311[[#This Row],[Column1]])</f>
        <v/>
      </c>
    </row>
    <row r="41" ht="45" customHeight="1" s="314">
      <c r="A41" s="35" t="inlineStr">
        <is>
          <t>Autel MaxiSYS MS906 PRO Scanner, 2026 MS906PRO V2.0 Same as MS906 MAX, 3K+ Bidirectional Diagnostic Scan Tool, Top ECU Function Up of MP900BT MS906BT MS908 MK908, CAN FD DoIP, 36+ Reset, Auto Scan 2.0</t>
        </is>
      </c>
      <c r="B41" s="35" t="inlineStr">
        <is>
          <t>B09JGL9BXC</t>
        </is>
      </c>
      <c r="C41" s="35" t="inlineStr">
        <is>
          <t>Tablet</t>
        </is>
      </c>
      <c r="D41" s="359" t="n">
        <v>1470.948260869565</v>
      </c>
      <c r="E41" s="359" t="n">
        <v>357960.65</v>
      </c>
      <c r="F41" s="361" t="n">
        <v>33831.81</v>
      </c>
      <c r="G41" s="68" t="n">
        <v>253</v>
      </c>
      <c r="H41" s="68" t="n">
        <v>23</v>
      </c>
      <c r="I41" s="68" t="n">
        <v>65</v>
      </c>
      <c r="J41" s="69" t="n">
        <v>4.8</v>
      </c>
      <c r="K41" s="69" t="inlineStr">
        <is>
          <t>https://amazon.com/dp/B09JGL9BXC</t>
        </is>
      </c>
      <c r="L41" s="114">
        <f>HYPERLINK(Table1311[[#This Row],[Column1]])</f>
        <v/>
      </c>
    </row>
    <row r="42" ht="60" customHeight="1" s="314">
      <c r="A42" s="35" t="inlineStr">
        <is>
          <t>Autel MaxiIM IM608S II Scanner: 2026 Global Ver. of IM608 PRO 2 with $1316 Full KIT, Bidirectional Scan Tool, ECU Function as Elite II Pro, 40+ Services, 3K+ Tests, OE Full Sys, CANFD DoIP, OS10, FCA</t>
        </is>
      </c>
      <c r="B42" s="35" t="inlineStr">
        <is>
          <t>B089GGB6TV</t>
        </is>
      </c>
      <c r="C42" s="35" t="inlineStr">
        <is>
          <t>Tablet</t>
        </is>
      </c>
      <c r="D42" s="359" t="n">
        <v>3378.005</v>
      </c>
      <c r="E42" s="359" t="n">
        <v>278937.57</v>
      </c>
      <c r="F42" s="361" t="n">
        <v>33780.05</v>
      </c>
      <c r="G42" s="68" t="n">
        <v>85</v>
      </c>
      <c r="H42" s="68" t="n">
        <v>10</v>
      </c>
      <c r="I42" s="68" t="n">
        <v>42</v>
      </c>
      <c r="J42" s="69" t="n">
        <v>4.5</v>
      </c>
      <c r="K42" s="69" t="inlineStr">
        <is>
          <t>https://amazon.com/dp/B089GGB6TV</t>
        </is>
      </c>
      <c r="L42" s="114">
        <f>HYPERLINK(Table1311[[#This Row],[Column1]])</f>
        <v/>
      </c>
    </row>
    <row r="43" ht="45" customHeight="1" s="314">
      <c r="A43" s="35" t="inlineStr">
        <is>
          <t>Autel OBD2 Scanner AutoLink AL549(Upgraded Ver. of AL519)Code Reader with AutoVin, Read/Erase DTCs for ABS, Universal Car Battery Test,OBD2 Scan with Live Data,Check Engine Fault OBD2 Diagnostic Tool</t>
        </is>
      </c>
      <c r="B43" s="35" t="inlineStr">
        <is>
          <t>B0CZ8TZCQS</t>
        </is>
      </c>
      <c r="C43" s="35" t="inlineStr">
        <is>
          <t>Handheld</t>
        </is>
      </c>
      <c r="D43" s="359" t="n">
        <v>64.31249500998004</v>
      </c>
      <c r="E43" s="359" t="n">
        <v>249406.0753846154</v>
      </c>
      <c r="F43" s="361" t="n">
        <v>32220.56</v>
      </c>
      <c r="G43" s="68" t="n">
        <v>3383</v>
      </c>
      <c r="H43" s="68" t="n">
        <v>501</v>
      </c>
      <c r="I43" s="68" t="n">
        <v>571</v>
      </c>
      <c r="J43" s="69" t="n">
        <v>4.4</v>
      </c>
      <c r="K43" s="69" t="inlineStr">
        <is>
          <t>https://amazon.com/dp/B0CZ8TZCQS</t>
        </is>
      </c>
      <c r="L43" s="114">
        <f>HYPERLINK(Table1311[[#This Row],[Column1]])</f>
        <v/>
      </c>
    </row>
    <row r="44" ht="45" customHeight="1" s="314">
      <c r="A44" s="35" t="inlineStr">
        <is>
          <t>Autel Scanner MaxiSys Elite 2 PRO: 2026 2-Year Updates Elite II PRO w/ MV105S, J2534 Programming as Ultra MS909 MS919 Up of MS908S PRO II, Motor TruSpeed Repair, 40+ Resets, 3K Active Test, DOIP CANFD</t>
        </is>
      </c>
      <c r="B44" s="35" t="inlineStr">
        <is>
          <t>B0GCJVNQY1</t>
        </is>
      </c>
      <c r="C44" s="35" t="inlineStr">
        <is>
          <t>Tablet</t>
        </is>
      </c>
      <c r="D44" s="359" t="n">
        <v>2579.396666666667</v>
      </c>
      <c r="E44" s="359" t="n">
        <v>332215.3761538462</v>
      </c>
      <c r="F44" s="361" t="n">
        <v>30952.76</v>
      </c>
      <c r="G44" s="68" t="n">
        <v>30</v>
      </c>
      <c r="H44" s="68" t="n">
        <v>12</v>
      </c>
      <c r="I44" s="68" t="n">
        <v>1</v>
      </c>
      <c r="J44" s="69" t="n">
        <v>5</v>
      </c>
      <c r="K44" s="69" t="inlineStr">
        <is>
          <t>https://amazon.com/dp/B0GCJVNQY1</t>
        </is>
      </c>
      <c r="L44" s="114">
        <f>HYPERLINK(Table1311[[#This Row],[Column1]])</f>
        <v/>
      </c>
    </row>
    <row r="45" ht="45" customHeight="1" s="314">
      <c r="A45" s="35" t="inlineStr">
        <is>
          <t>Autel Scanner MaxiSys Elite 2 Pro : 2026 Elite II Pro with 2-Years Update, J2534 Tool as MS Ultra Lite MS909 S2 MS919 Up of MS908S PRO II, 40+ Service, 3K+ Active Test, DOIP CANFD, Intelligent Motor</t>
        </is>
      </c>
      <c r="B45" s="35" t="inlineStr">
        <is>
          <t>B00RD6B6MU</t>
        </is>
      </c>
      <c r="C45" s="35" t="inlineStr">
        <is>
          <t>Tablet</t>
        </is>
      </c>
      <c r="D45" s="359" t="n">
        <v>2404.539166666667</v>
      </c>
      <c r="E45" s="359" t="n">
        <v>453394.9753846154</v>
      </c>
      <c r="F45" s="361" t="n">
        <v>28854.47</v>
      </c>
      <c r="G45" s="68" t="n">
        <v>177</v>
      </c>
      <c r="H45" s="68" t="n">
        <v>12</v>
      </c>
      <c r="I45" s="68" t="n">
        <v>79</v>
      </c>
      <c r="J45" s="69" t="n">
        <v>4.4</v>
      </c>
      <c r="K45" s="69" t="inlineStr">
        <is>
          <t>https://amazon.com/dp/B00RD6B6MU</t>
        </is>
      </c>
      <c r="L45" s="114">
        <f>HYPERLINK(Table1311[[#This Row],[Column1]])</f>
        <v/>
      </c>
    </row>
    <row r="46" ht="45" customHeight="1" s="314">
      <c r="A46" s="35" t="inlineStr">
        <is>
          <t>Autel Scanner MaxiSys MS909 Intelligent Scan Tool, 2026 Motor TruSpeed Same as MSUltra Ultra S2 MS919, TSB, Topology 2.0, Up of Elite 2 PRO MS908S PRO II, DOIP &amp; CAN FD, 40+ Service, 3K+ Bidirectional</t>
        </is>
      </c>
      <c r="B46" s="35" t="inlineStr">
        <is>
          <t>B08P3CX6MY</t>
        </is>
      </c>
      <c r="C46" s="35" t="inlineStr">
        <is>
          <t>Tablet</t>
        </is>
      </c>
      <c r="D46" s="359" t="n">
        <v>2862.403</v>
      </c>
      <c r="E46" s="359" t="n">
        <v>343921.3215384615</v>
      </c>
      <c r="F46" s="361" t="n">
        <v>28624.03</v>
      </c>
      <c r="G46" s="68" t="n">
        <v>102</v>
      </c>
      <c r="H46" s="68" t="n">
        <v>10</v>
      </c>
      <c r="I46" s="68" t="n">
        <v>24</v>
      </c>
      <c r="J46" s="69" t="n">
        <v>4.8</v>
      </c>
      <c r="K46" s="69" t="inlineStr">
        <is>
          <t>https://amazon.com/dp/B08P3CX6MY</t>
        </is>
      </c>
      <c r="L46" s="114">
        <f>HYPERLINK(Table1311[[#This Row],[Column1]])</f>
        <v/>
      </c>
    </row>
    <row r="47" ht="45" customHeight="1" s="314">
      <c r="A47" s="35" t="inlineStr">
        <is>
          <t>Autel MaxiPRO MP900 Scanner, 2026 Newer of MP808BT PRO MP808S MK900 MX900, ECU C0ding, Same as MS906 MAX MS906 PRO MP900BT, Bidirectional Diagnostic Scan Tool 3000+ Test, 40+ Service, CAN FD&amp;DOIP, FCA</t>
        </is>
      </c>
      <c r="B47" s="35" t="inlineStr">
        <is>
          <t>B09YM7YPDJ</t>
        </is>
      </c>
      <c r="C47" s="35" t="inlineStr">
        <is>
          <t>Tablet</t>
        </is>
      </c>
      <c r="D47" s="359" t="n">
        <v>794.0426470588236</v>
      </c>
      <c r="E47" s="359" t="n">
        <v>193711.44</v>
      </c>
      <c r="F47" s="361" t="n">
        <v>26997.45</v>
      </c>
      <c r="G47" s="68" t="n">
        <v>241</v>
      </c>
      <c r="H47" s="68" t="n">
        <v>34</v>
      </c>
      <c r="I47" s="68" t="n">
        <v>39</v>
      </c>
      <c r="J47" s="69" t="n">
        <v>4.5</v>
      </c>
      <c r="K47" s="69" t="inlineStr">
        <is>
          <t>https://amazon.com/dp/B09YM7YPDJ</t>
        </is>
      </c>
      <c r="L47" s="114">
        <f>HYPERLINK(Table1311[[#This Row],[Column1]])</f>
        <v/>
      </c>
    </row>
    <row r="48" ht="45" customHeight="1" s="314">
      <c r="A48" s="35" t="inlineStr">
        <is>
          <t>Autel MaxiSYS MS906 MAX Scanner 2026, MS906MAX 10.1" V2.0 of MS906 PRO MP900BT MS908S MK908 MS906PRO-TS, Top Bidirectional Scan Tool, 3000+ Tests, 40+ Service, All System, CAN FD &amp; DoIP, OS 10.0, FCA</t>
        </is>
      </c>
      <c r="B48" s="35" t="inlineStr">
        <is>
          <t>B09TR9KTMB</t>
        </is>
      </c>
      <c r="C48" s="35" t="inlineStr">
        <is>
          <t>Tablet</t>
        </is>
      </c>
      <c r="D48" s="359" t="n">
        <v>1553.913529411765</v>
      </c>
      <c r="E48" s="359" t="n">
        <v>269699.1892307692</v>
      </c>
      <c r="F48" s="361" t="n">
        <v>26416.53</v>
      </c>
      <c r="G48" s="68" t="n">
        <v>158</v>
      </c>
      <c r="H48" s="68" t="n">
        <v>17</v>
      </c>
      <c r="I48" s="68" t="n">
        <v>19</v>
      </c>
      <c r="J48" s="69" t="n">
        <v>4.7</v>
      </c>
      <c r="K48" s="69" t="inlineStr">
        <is>
          <t>https://amazon.com/dp/B09TR9KTMB</t>
        </is>
      </c>
      <c r="L48" s="114">
        <f>HYPERLINK(Table1311[[#This Row],[Column1]])</f>
        <v/>
      </c>
    </row>
    <row r="49" ht="45" customHeight="1" s="314">
      <c r="A49" s="35" t="inlineStr">
        <is>
          <t>Autel OBD2 Scanner MS309 Universal Car Engine Fault Code Reader, Check Engine Light and Emission Monitor Status, OBDII CAN Diagnostic Scan Tool</t>
        </is>
      </c>
      <c r="B49" s="35" t="inlineStr">
        <is>
          <t>B07Q5H7M5S</t>
        </is>
      </c>
      <c r="C49" s="35" t="inlineStr">
        <is>
          <t>Handheld</t>
        </is>
      </c>
      <c r="D49" s="359" t="n">
        <v>22.98575278810409</v>
      </c>
      <c r="E49" s="359" t="n">
        <v>376205.9</v>
      </c>
      <c r="F49" s="361" t="n">
        <v>24732.67</v>
      </c>
      <c r="G49" s="68" t="n">
        <v>16814</v>
      </c>
      <c r="H49" s="68" t="n">
        <v>1076</v>
      </c>
      <c r="I49" s="68" t="n">
        <v>17084</v>
      </c>
      <c r="J49" s="69" t="n">
        <v>4.6</v>
      </c>
      <c r="K49" s="69" t="inlineStr">
        <is>
          <t>https://amazon.com/dp/B07Q5H7M5S</t>
        </is>
      </c>
      <c r="L49" s="114">
        <f>HYPERLINK(Table1311[[#This Row],[Column1]])</f>
        <v/>
      </c>
    </row>
    <row r="50" ht="60" customHeight="1" s="314">
      <c r="A50" s="35" t="inlineStr">
        <is>
          <t>Autel MaxiSys MS908CV II Top CV Scanner, 2026 V2.0 of MS908CV Heavy Duty Diesel Truck Diagnostic Tool, OE-Level J2534 Functions, Lite of MS909CV, Bidirectional 3000+ Test, 64 Services, 10 OS 4/128GB</t>
        </is>
      </c>
      <c r="B50" s="35" t="inlineStr">
        <is>
          <t>B09FLP47CD</t>
        </is>
      </c>
      <c r="C50" s="35" t="inlineStr">
        <is>
          <t>Tablet</t>
        </is>
      </c>
      <c r="D50" s="359" t="n">
        <v>3035.3975</v>
      </c>
      <c r="E50" s="359" t="n">
        <v>226720.36</v>
      </c>
      <c r="F50" s="361" t="n">
        <v>24283.18</v>
      </c>
      <c r="G50" s="68" t="n">
        <v>78</v>
      </c>
      <c r="H50" s="68" t="n">
        <v>8</v>
      </c>
      <c r="I50" s="68" t="n">
        <v>36</v>
      </c>
      <c r="J50" s="69" t="n">
        <v>4.8</v>
      </c>
      <c r="K50" s="69" t="inlineStr">
        <is>
          <t>https://amazon.com/dp/B09FLP47CD</t>
        </is>
      </c>
      <c r="L50" s="114">
        <f>HYPERLINK(Table1311[[#This Row],[Column1]])</f>
        <v/>
      </c>
    </row>
    <row r="51" ht="60" customHeight="1" s="314">
      <c r="A51" s="35" t="inlineStr">
        <is>
          <t>Autel Scanner MaxiCOM MK808BT PRO: 2026 Upgrade of MK808S MX808S MK808Z Bidirectional Diagnostic Tool, 2.0 BT Ver. of MK900 MX900 MK900BT, 3000+ Active Test, 28+ Service, OE All System, FCA, 11 OS</t>
        </is>
      </c>
      <c r="B51" s="35" t="inlineStr">
        <is>
          <t>B07H3M98FL</t>
        </is>
      </c>
      <c r="C51" s="35" t="inlineStr">
        <is>
          <t>Tablet</t>
        </is>
      </c>
      <c r="D51" s="359" t="n">
        <v>578.1202380952381</v>
      </c>
      <c r="E51" s="359" t="n">
        <v>297660.03</v>
      </c>
      <c r="F51" s="361" t="n">
        <v>24281.05</v>
      </c>
      <c r="G51" s="68" t="n">
        <v>517</v>
      </c>
      <c r="H51" s="68" t="n">
        <v>42</v>
      </c>
      <c r="I51" s="68" t="n">
        <v>651</v>
      </c>
      <c r="J51" s="69" t="n">
        <v>4.5</v>
      </c>
      <c r="K51" s="69" t="inlineStr">
        <is>
          <t>https://amazon.com/dp/B07H3M98FL</t>
        </is>
      </c>
      <c r="L51" s="114">
        <f>HYPERLINK(Table1311[[#This Row],[Column1]])</f>
        <v/>
      </c>
    </row>
    <row r="52" ht="45" customHeight="1" s="314">
      <c r="A52" s="35" t="inlineStr">
        <is>
          <t>Autel MaxiPRO MP900-BT Scanner w/ $60 MV108S | 2026 MP900BT Same as MS906 PRO MS906 MAX MK908 w/ECU C0ding, 3000+ Active Test, 40+ Service, 150+Makes, SGW DoIP &amp; CAN-FD, Up of MP900 MP808BT PRO DS808</t>
        </is>
      </c>
      <c r="B52" s="35" t="inlineStr">
        <is>
          <t>B07WR7P3FF</t>
        </is>
      </c>
      <c r="C52" s="35" t="inlineStr">
        <is>
          <t>Tablet</t>
        </is>
      </c>
      <c r="D52" s="359" t="n">
        <v>925.9419230769232</v>
      </c>
      <c r="E52" s="359" t="n">
        <v>214636.8</v>
      </c>
      <c r="F52" s="361" t="n">
        <v>24074.49</v>
      </c>
      <c r="G52" s="68" t="n">
        <v>231</v>
      </c>
      <c r="H52" s="68" t="n">
        <v>26</v>
      </c>
      <c r="I52" s="68" t="n">
        <v>415</v>
      </c>
      <c r="J52" s="69" t="n">
        <v>4.6</v>
      </c>
      <c r="K52" s="69" t="inlineStr">
        <is>
          <t>https://amazon.com/dp/B07WR7P3FF</t>
        </is>
      </c>
      <c r="L52" s="114">
        <f>HYPERLINK(Table1311[[#This Row],[Column1]])</f>
        <v/>
      </c>
    </row>
    <row r="53" ht="60" customHeight="1" s="314">
      <c r="A53" s="35" t="inlineStr">
        <is>
          <t>Autel MaxiCOM MK808S Scanner, 2026 Bidirectional Scan Tool as MK808BT Pro MX808S MK808Z, Work as MaxiCheck MX900 MK900 MK900BT, 28+ Reset, 3K+ Active Test, FCA AutoAuth, OE All System Diagnostic,OS 11</t>
        </is>
      </c>
      <c r="B53" s="35" t="inlineStr">
        <is>
          <t>B0744JBC7W</t>
        </is>
      </c>
      <c r="C53" s="35" t="inlineStr">
        <is>
          <t>Tablet</t>
        </is>
      </c>
      <c r="D53" s="359" t="n">
        <v>452.6094230769231</v>
      </c>
      <c r="E53" s="359" t="n">
        <v>179690.83</v>
      </c>
      <c r="F53" s="361" t="n">
        <v>23535.69</v>
      </c>
      <c r="G53" s="68" t="n">
        <v>384</v>
      </c>
      <c r="H53" s="68" t="n">
        <v>52</v>
      </c>
      <c r="I53" s="68" t="n">
        <v>708</v>
      </c>
      <c r="J53" s="69" t="n">
        <v>4.5</v>
      </c>
      <c r="K53" s="69" t="inlineStr">
        <is>
          <t>https://amazon.com/dp/B0744JBC7W</t>
        </is>
      </c>
      <c r="L53" s="114">
        <f>HYPERLINK(Table1311[[#This Row],[Column1]])</f>
        <v/>
      </c>
    </row>
    <row r="54" ht="60" customHeight="1" s="314">
      <c r="A54" s="35" t="inlineStr">
        <is>
          <t>Autel J2534 Pass-Thru Programmer, 2026 OEM Reprogramming Diagnostic Tool, Pro 2.0 Ver. of MaxiFlash Elite, Support J2534/ D-PDU/CAN FD/DoIP Protocols, Work with OE Tools &amp; Ultra Lite Elite II PRO</t>
        </is>
      </c>
      <c r="B54" s="35" t="inlineStr">
        <is>
          <t>B0D5MDKFCF</t>
        </is>
      </c>
      <c r="C54" s="35" t="inlineStr">
        <is>
          <t>VCI</t>
        </is>
      </c>
      <c r="D54" s="359" t="n">
        <v>897.8576923076923</v>
      </c>
      <c r="E54" s="359" t="n">
        <v>181142.36</v>
      </c>
      <c r="F54" s="361" t="n">
        <v>23344.3</v>
      </c>
      <c r="G54" s="68" t="n">
        <v>190</v>
      </c>
      <c r="H54" s="68" t="n">
        <v>26</v>
      </c>
      <c r="I54" s="68" t="n">
        <v>68</v>
      </c>
      <c r="J54" s="69" t="n">
        <v>4.6</v>
      </c>
      <c r="K54" s="69" t="inlineStr">
        <is>
          <t>https://amazon.com/dp/B0D5MDKFCF</t>
        </is>
      </c>
      <c r="L54" s="114">
        <f>HYPERLINK(Table1311[[#This Row],[Column1]])</f>
        <v/>
      </c>
    </row>
    <row r="55" ht="60" customHeight="1" s="314">
      <c r="A55" s="35" t="inlineStr">
        <is>
          <t>Autel MaxiCheck MX900 Scanner, 2026 Bidirectional Diagnostic Scan Tool, 8in Up of MaxiCOM MK808S MX808S MK808BT PRO Same as MK900 MK900BT, CAN FD DoIP, 3K+ Active Tests, 40+ Services, All Systems, FCA</t>
        </is>
      </c>
      <c r="B55" s="35" t="inlineStr">
        <is>
          <t>B0BZS52VQD</t>
        </is>
      </c>
      <c r="C55" s="35" t="inlineStr">
        <is>
          <t>Tablet</t>
        </is>
      </c>
      <c r="D55" s="359" t="n">
        <v>564.3635</v>
      </c>
      <c r="E55" s="359" t="n">
        <v>219902.67</v>
      </c>
      <c r="F55" s="361" t="n">
        <v>22574.54</v>
      </c>
      <c r="G55" s="68" t="n">
        <v>422</v>
      </c>
      <c r="H55" s="68" t="n">
        <v>40</v>
      </c>
      <c r="I55" s="68" t="n">
        <v>68</v>
      </c>
      <c r="J55" s="69" t="n">
        <v>4.4</v>
      </c>
      <c r="K55" s="69" t="inlineStr">
        <is>
          <t>https://amazon.com/dp/B0BZS52VQD</t>
        </is>
      </c>
      <c r="L55" s="114">
        <f>HYPERLINK(Table1311[[#This Row],[Column1]])</f>
        <v/>
      </c>
    </row>
    <row r="56" ht="45" customHeight="1" s="314">
      <c r="A56" s="35" t="inlineStr">
        <is>
          <t>2026 Autel Scanner MaxiSys MS906 MAX, 10.1" MS906MAX 2.0 Up of MS906 PRO MP900BT MS908S MK908, OE Bidirectional Diagnostic Scan Tool, CAN FD DoIP, 3000+ Active Tests, 40+ Reset, All Sys, Auto Scan 2.0</t>
        </is>
      </c>
      <c r="B56" s="35" t="inlineStr">
        <is>
          <t>B09RWVB7FJ</t>
        </is>
      </c>
      <c r="C56" s="35" t="inlineStr">
        <is>
          <t>Tablet</t>
        </is>
      </c>
      <c r="D56" s="359" t="n">
        <v>1557.75</v>
      </c>
      <c r="E56" s="359" t="n">
        <v>210330.6330769231</v>
      </c>
      <c r="F56" s="361" t="n">
        <v>21808.5</v>
      </c>
      <c r="G56" s="68" t="n">
        <v>120</v>
      </c>
      <c r="H56" s="68" t="n">
        <v>14</v>
      </c>
      <c r="I56" s="68" t="n">
        <v>39</v>
      </c>
      <c r="J56" s="69" t="n">
        <v>4.5</v>
      </c>
      <c r="K56" s="69" t="inlineStr">
        <is>
          <t>https://amazon.com/dp/B09RWVB7FJ</t>
        </is>
      </c>
      <c r="L56" s="114">
        <f>HYPERLINK(Table1311[[#This Row],[Column1]])</f>
        <v/>
      </c>
    </row>
    <row r="57" ht="45" customHeight="1" s="314">
      <c r="A57" s="35" t="inlineStr">
        <is>
          <t>Autel Scanner MaxiIM IM608 PRO 2, 2026 IM608 PRO II Same As IM608 II Automotive Diagnostic Tool with $1316 Bundle, Advanced as Elite II Pro 40 Reset Services 3000+ Tests Bidirectional Tool, OS10</t>
        </is>
      </c>
      <c r="B57" s="35" t="inlineStr">
        <is>
          <t>B07NRNHJFP</t>
        </is>
      </c>
      <c r="C57" s="35" t="inlineStr">
        <is>
          <t>Tablet</t>
        </is>
      </c>
      <c r="D57" s="359" t="n">
        <v>3107.401428571429</v>
      </c>
      <c r="E57" s="359" t="n">
        <v>193391.4507692308</v>
      </c>
      <c r="F57" s="361" t="n">
        <v>21751.81</v>
      </c>
      <c r="G57" s="68" t="n">
        <v>10</v>
      </c>
      <c r="H57" s="68" t="n">
        <v>7</v>
      </c>
      <c r="I57" s="68" t="n">
        <v>16</v>
      </c>
      <c r="J57" s="69" t="n">
        <v>4.7</v>
      </c>
      <c r="K57" s="69" t="inlineStr">
        <is>
          <t>https://amazon.com/dp/B07NRNHJFP</t>
        </is>
      </c>
      <c r="L57" s="114">
        <f>HYPERLINK(Table1311[[#This Row],[Column1]])</f>
        <v/>
      </c>
    </row>
    <row r="58" ht="45" customHeight="1" s="314">
      <c r="A58" s="35" t="inlineStr">
        <is>
          <t>OBD2 12+8 Adapter for Chrysler, 12 8 OBD II Security Gateway Bypass Cable, OBD2 12&amp;8 Connector for FCA SGW Car SGM, Work for All OBD 2 Scanner, for Dodge, for Jeep, for Ram, for Fiat Year 2018+</t>
        </is>
      </c>
      <c r="B58" s="35" t="inlineStr">
        <is>
          <t>B0BJQKK2TJ</t>
        </is>
      </c>
      <c r="C58" s="35" t="inlineStr">
        <is>
          <t>Cable/Adapter</t>
        </is>
      </c>
      <c r="D58" s="359" t="n">
        <v>25.9953947368421</v>
      </c>
      <c r="E58" s="359" t="n">
        <v>237733.66</v>
      </c>
      <c r="F58" s="361" t="n">
        <v>19756.5</v>
      </c>
      <c r="G58" s="68" t="n">
        <v>9339</v>
      </c>
      <c r="H58" s="68" t="n">
        <v>760</v>
      </c>
      <c r="I58" s="68" t="n">
        <v>517</v>
      </c>
      <c r="J58" s="69" t="n">
        <v>4.7</v>
      </c>
      <c r="K58" s="69" t="inlineStr">
        <is>
          <t>https://amazon.com/dp/B0BJQKK2TJ</t>
        </is>
      </c>
      <c r="L58" s="114">
        <f>HYPERLINK(Table1311[[#This Row],[Column1]])</f>
        <v/>
      </c>
    </row>
    <row r="59" ht="45" customHeight="1" s="314">
      <c r="A59" s="35" t="inlineStr">
        <is>
          <t>Autel Scanner MaxiCheck MX808S-TS: 2026 Same as MaxiCOM MK900TS MX900-TS TS900, US Ver. of MK808S-TS Up of MK808S, Top TPMS Programming Tool, 3000+ Bidirecitonal Active Test, 28+ Service, 11 OS, FCA</t>
        </is>
      </c>
      <c r="B59" s="35" t="inlineStr">
        <is>
          <t>B09QX69JQW</t>
        </is>
      </c>
      <c r="C59" s="35" t="inlineStr">
        <is>
          <t>Tablet</t>
        </is>
      </c>
      <c r="D59" s="359" t="n">
        <v>658.467</v>
      </c>
      <c r="E59" s="359" t="n">
        <v>315251.13</v>
      </c>
      <c r="F59" s="361" t="n">
        <v>19754.01</v>
      </c>
      <c r="G59" s="68" t="n">
        <v>482</v>
      </c>
      <c r="H59" s="68" t="n">
        <v>30</v>
      </c>
      <c r="I59" s="68" t="n">
        <v>106</v>
      </c>
      <c r="J59" s="69" t="n">
        <v>4.7</v>
      </c>
      <c r="K59" s="69" t="inlineStr">
        <is>
          <t>https://amazon.com/dp/B09QX69JQW</t>
        </is>
      </c>
      <c r="L59" s="114">
        <f>HYPERLINK(Table1311[[#This Row],[Column1]])</f>
        <v/>
      </c>
    </row>
    <row r="60" ht="45" customHeight="1" s="314">
      <c r="A60" s="35" t="inlineStr">
        <is>
          <t>Autel MaxiSys Ultra Scanner, 2026 Top Intelligent Scan Tool with MV108 &amp; 5-in-1 VCMI [$2000], Up of Ultra Lite/ MS919/ MS909 S2/ Elite, Motor TruSpeed, Topology Map 2.0, 40+ Service, Programming ﻿</t>
        </is>
      </c>
      <c r="B60" s="35" t="inlineStr">
        <is>
          <t>B0C1FFYHFF</t>
        </is>
      </c>
      <c r="C60" s="35" t="inlineStr">
        <is>
          <t>Tablet</t>
        </is>
      </c>
      <c r="D60" s="359" t="n">
        <v>3945.218</v>
      </c>
      <c r="E60" s="359" t="n">
        <v>520259.9400000001</v>
      </c>
      <c r="F60" s="361" t="n">
        <v>19726.09</v>
      </c>
      <c r="G60" s="68" t="n">
        <v>135</v>
      </c>
      <c r="H60" s="68" t="n">
        <v>5</v>
      </c>
      <c r="I60" s="68" t="n">
        <v>20</v>
      </c>
      <c r="J60" s="69" t="n">
        <v>4.1</v>
      </c>
      <c r="K60" s="69" t="inlineStr">
        <is>
          <t>https://amazon.com/dp/B0C1FFYHFF</t>
        </is>
      </c>
      <c r="L60" s="114">
        <f>HYPERLINK(Table1311[[#This Row],[Column1]])</f>
        <v/>
      </c>
    </row>
    <row r="61" ht="45" customHeight="1" s="314">
      <c r="A61" s="35" t="inlineStr">
        <is>
          <t>Autel MS906 MAX Bi-Directional Scanner: 2026 MS906MAX Updated of MS906 Pro MP900BT with ECU C0ding, DoIP, CANFD, FCA SGW AutAuth, All System Scan, 40+ Service 3000+ Active Tests as MS908S PRO II</t>
        </is>
      </c>
      <c r="B61" s="35" t="inlineStr">
        <is>
          <t>B0DXKBMLVB</t>
        </is>
      </c>
      <c r="C61" s="35" t="inlineStr">
        <is>
          <t>Tablet</t>
        </is>
      </c>
      <c r="D61" s="359" t="n">
        <v>1610.810833333333</v>
      </c>
      <c r="E61" s="359" t="n">
        <v>185506.8476923077</v>
      </c>
      <c r="F61" s="361" t="n">
        <v>19329.73</v>
      </c>
      <c r="G61" s="68" t="n">
        <v>108</v>
      </c>
      <c r="H61" s="68" t="n">
        <v>12</v>
      </c>
      <c r="I61" s="68" t="n">
        <v>18</v>
      </c>
      <c r="J61" s="69" t="n">
        <v>4.8</v>
      </c>
      <c r="K61" s="69" t="inlineStr">
        <is>
          <t>https://amazon.com/dp/B0DXKBMLVB</t>
        </is>
      </c>
      <c r="L61" s="114">
        <f>HYPERLINK(Table1311[[#This Row],[Column1]])</f>
        <v/>
      </c>
    </row>
    <row r="62" ht="45" customHeight="1" s="314">
      <c r="A62" s="35" t="inlineStr">
        <is>
          <t>Autel MaxiSys MS908CV II: 2026 Heavy Duty Truck Scanner Upgrade of MS908CV, Same as MS909CV, Semi Truck Tool with J2534 Tool, C0ding, Active Test, 64 Service, Diesel Diagnostic Tool</t>
        </is>
      </c>
      <c r="B62" s="35" t="inlineStr">
        <is>
          <t>B08RBR1VHV</t>
        </is>
      </c>
      <c r="C62" s="35" t="inlineStr">
        <is>
          <t>Tablet</t>
        </is>
      </c>
      <c r="D62" s="359" t="n">
        <v>2754.892857142857</v>
      </c>
      <c r="E62" s="359" t="n">
        <v>300954.37</v>
      </c>
      <c r="F62" s="361" t="n">
        <v>19284.25</v>
      </c>
      <c r="G62" s="68" t="n">
        <v>105</v>
      </c>
      <c r="H62" s="68" t="n">
        <v>7</v>
      </c>
      <c r="I62" s="68" t="n">
        <v>20</v>
      </c>
      <c r="J62" s="69" t="n">
        <v>4.6</v>
      </c>
      <c r="K62" s="69" t="inlineStr">
        <is>
          <t>https://amazon.com/dp/B08RBR1VHV</t>
        </is>
      </c>
      <c r="L62" s="114">
        <f>HYPERLINK(Table1311[[#This Row],[Column1]])</f>
        <v/>
      </c>
    </row>
    <row r="63" ht="45" customHeight="1" s="314">
      <c r="A63" s="35" t="inlineStr">
        <is>
          <t>Autel MaxiSys Elite II Pro 2026 Diagnostic Scanner, J2534 ECU Programming Tool (As Ultra/MS908S PRO II), CAN FD &amp; DoIP, Bidirectional Control, 150+ Car Brands, 40+ Services, 2-Year Free Updates</t>
        </is>
      </c>
      <c r="B63" s="35" t="inlineStr">
        <is>
          <t>B0FJLSKLBP</t>
        </is>
      </c>
      <c r="C63" s="35" t="inlineStr">
        <is>
          <t>Tablet</t>
        </is>
      </c>
      <c r="D63" s="359" t="n">
        <v>2397.08375</v>
      </c>
      <c r="E63" s="359" t="n">
        <v>208762.4192307693</v>
      </c>
      <c r="F63" s="361" t="n">
        <v>19176.67</v>
      </c>
      <c r="G63" s="68" t="n">
        <v>45</v>
      </c>
      <c r="H63" s="68" t="n">
        <v>8</v>
      </c>
      <c r="I63" s="68" t="n">
        <v>4</v>
      </c>
      <c r="J63" s="69" t="n">
        <v>5</v>
      </c>
      <c r="K63" s="69" t="inlineStr">
        <is>
          <t>https://amazon.com/dp/B0FJLSKLBP</t>
        </is>
      </c>
      <c r="L63" s="114">
        <f>HYPERLINK(Table1311[[#This Row],[Column1]])</f>
        <v/>
      </c>
    </row>
    <row r="64" ht="60" customHeight="1" s="314">
      <c r="A64" s="35" t="inlineStr">
        <is>
          <t>Autel Code Reader Diagnostic Tool, 2026 OBDII Scan Tool with Lifetime Free Updates, Wireless BT Scan Tool, 2GB &amp; 64GB Android 9.0, for Home Mechanics &amp; DIYers</t>
        </is>
      </c>
      <c r="B64" s="35" t="inlineStr">
        <is>
          <t>B0F6VCB25L</t>
        </is>
      </c>
      <c r="C64" s="35" t="inlineStr">
        <is>
          <t>Cable/Adapter</t>
        </is>
      </c>
      <c r="D64" s="359" t="n">
        <v>540.0205714285714</v>
      </c>
      <c r="E64" s="359" t="n">
        <v>141906.6684615385</v>
      </c>
      <c r="F64" s="361" t="n">
        <v>18900.72</v>
      </c>
      <c r="G64" s="68" t="n">
        <v>233</v>
      </c>
      <c r="H64" s="68" t="n">
        <v>35</v>
      </c>
      <c r="I64" s="68" t="n">
        <v>25</v>
      </c>
      <c r="J64" s="69" t="n">
        <v>4.6</v>
      </c>
      <c r="K64" s="69" t="inlineStr">
        <is>
          <t>https://amazon.com/dp/B0F6VCB25L</t>
        </is>
      </c>
      <c r="L64" s="114">
        <f>HYPERLINK(Table1311[[#This Row],[Column1]])</f>
        <v/>
      </c>
    </row>
    <row r="65" ht="45" customHeight="1" s="314">
      <c r="A65" s="35" t="inlineStr">
        <is>
          <t>Autel Scanner MaxiCOM MK808BT PRO: 2026 Bidirectional Scan Tool Work as MK900BT, 33FT BT 2.0 Ver. of MK900 MX900 MK808S MaxiCheck MX808S MK808Z, 3K+ Active Tests, 28+ Services, OE Full Sys, OS 11, FCA</t>
        </is>
      </c>
      <c r="B65" s="35" t="inlineStr">
        <is>
          <t>B07KXDKWRS</t>
        </is>
      </c>
      <c r="C65" s="35" t="inlineStr">
        <is>
          <t>Tablet</t>
        </is>
      </c>
      <c r="D65" s="359" t="n">
        <v>554.6626470588235</v>
      </c>
      <c r="E65" s="359" t="n">
        <v>307003.49</v>
      </c>
      <c r="F65" s="361" t="n">
        <v>18858.53</v>
      </c>
      <c r="G65" s="68" t="n">
        <v>558</v>
      </c>
      <c r="H65" s="68" t="n">
        <v>34</v>
      </c>
      <c r="I65" s="68" t="n">
        <v>602</v>
      </c>
      <c r="J65" s="69" t="n">
        <v>4.6</v>
      </c>
      <c r="K65" s="69" t="inlineStr">
        <is>
          <t>https://amazon.com/dp/B07KXDKWRS</t>
        </is>
      </c>
      <c r="L65" s="114">
        <f>HYPERLINK(Table1311[[#This Row],[Column1]])</f>
        <v/>
      </c>
    </row>
    <row r="66" ht="60" customHeight="1" s="314">
      <c r="A66" s="35" t="inlineStr">
        <is>
          <t>Autel Scanner MaxiSYS MS908S PRO II 2026: J2534 ECU Pr0gramming C0ding PMI As MSUltra MS919 Elite II PRO w/AutoScan 2.0, US Ver. of MK908 Pro II, Up of MS906 MAX, 4000+ Test, 38+ Reset, 8-Core 4/128G</t>
        </is>
      </c>
      <c r="B66" s="35" t="inlineStr">
        <is>
          <t>B088FRCPTB</t>
        </is>
      </c>
      <c r="C66" s="35" t="inlineStr">
        <is>
          <t>Tablet</t>
        </is>
      </c>
      <c r="D66" s="359" t="n">
        <v>1871.002</v>
      </c>
      <c r="E66" s="359" t="n">
        <v>378262.1899999999</v>
      </c>
      <c r="F66" s="361" t="n">
        <v>18710.02</v>
      </c>
      <c r="G66" s="68" t="n">
        <v>194</v>
      </c>
      <c r="H66" s="68" t="n">
        <v>10</v>
      </c>
      <c r="I66" s="68" t="n">
        <v>106</v>
      </c>
      <c r="J66" s="69" t="n">
        <v>4.6</v>
      </c>
      <c r="K66" s="69" t="inlineStr">
        <is>
          <t>https://amazon.com/dp/B088FRCPTB</t>
        </is>
      </c>
      <c r="L66" s="114">
        <f>HYPERLINK(Table1311[[#This Row],[Column1]])</f>
        <v/>
      </c>
    </row>
    <row r="67" ht="60" customHeight="1" s="314">
      <c r="A67" s="35" t="inlineStr">
        <is>
          <t>Autel MaxiSys MS908CV II Truck Scanner: 2026 Heavy Duty Tool for Commercial Semi Trucks, OE C0ding, J-2534 Pr0grammer, 64 Service as MS909CV MS908S Pro II Elite II Pro Ultra Lite</t>
        </is>
      </c>
      <c r="B67" s="35" t="inlineStr">
        <is>
          <t>B0749MHKXT</t>
        </is>
      </c>
      <c r="C67" s="35" t="inlineStr">
        <is>
          <t>Tablet</t>
        </is>
      </c>
      <c r="D67" s="359" t="n">
        <v>3092.245</v>
      </c>
      <c r="E67" s="359" t="n">
        <v>207689.36</v>
      </c>
      <c r="F67" s="361" t="n">
        <v>18553.47</v>
      </c>
      <c r="G67" s="68" t="n">
        <v>72</v>
      </c>
      <c r="H67" s="68" t="n">
        <v>6</v>
      </c>
      <c r="I67" s="68" t="n">
        <v>26</v>
      </c>
      <c r="J67" s="69" t="n">
        <v>4.4</v>
      </c>
      <c r="K67" s="69" t="inlineStr">
        <is>
          <t>https://amazon.com/dp/B0749MHKXT</t>
        </is>
      </c>
      <c r="L67" s="114">
        <f>HYPERLINK(Table1311[[#This Row],[Column1]])</f>
        <v/>
      </c>
    </row>
    <row r="68" ht="45" customHeight="1" s="314">
      <c r="A68" s="35" t="inlineStr">
        <is>
          <t>Autel Scanner MaxiIM IM608 PRO 2, 2026 IM608 PRO II Bidirectional Diagnostic Tool with XP400 PRO GBOX3 APB112, Up of IM508S PRO/ IM608, Advanced Function as Elite II Pro, 3000+ Tests, 40 Reset, OS10</t>
        </is>
      </c>
      <c r="B68" s="35" t="inlineStr">
        <is>
          <t>B08PDMD8ZT</t>
        </is>
      </c>
      <c r="C68" s="35" t="inlineStr">
        <is>
          <t>Tablet</t>
        </is>
      </c>
      <c r="D68" s="359" t="n">
        <v>3012.308333333333</v>
      </c>
      <c r="E68" s="359" t="n">
        <v>173254.9038461539</v>
      </c>
      <c r="F68" s="361" t="n">
        <v>18073.85</v>
      </c>
      <c r="G68" s="68" t="n">
        <v>53</v>
      </c>
      <c r="H68" s="68" t="n">
        <v>6</v>
      </c>
      <c r="I68" s="68" t="n">
        <v>155</v>
      </c>
      <c r="J68" s="69" t="n">
        <v>4.5</v>
      </c>
      <c r="K68" s="69" t="inlineStr">
        <is>
          <t>https://amazon.com/dp/B08PDMD8ZT</t>
        </is>
      </c>
      <c r="L68" s="114">
        <f>HYPERLINK(Table1311[[#This Row],[Column1]])</f>
        <v/>
      </c>
    </row>
    <row r="69" ht="45" customHeight="1" s="314">
      <c r="A69" s="35" t="inlineStr">
        <is>
          <t>Autel Scanner MaxilM KM100 Diagnostic Tool, 2026 New KM100 Scan Tool, Lifetime Fr.ee Update, OBD-Learn for 99% Cars, with Updated Hardware 2.0 for Home Mechanics &amp; DIYers (Model KM Series 100)</t>
        </is>
      </c>
      <c r="B69" s="35" t="inlineStr">
        <is>
          <t>B0F7LK3CN5</t>
        </is>
      </c>
      <c r="C69" s="35" t="inlineStr">
        <is>
          <t>Handheld</t>
        </is>
      </c>
      <c r="D69" s="359" t="n">
        <v>533.4039393939395</v>
      </c>
      <c r="E69" s="359" t="n">
        <v>177113.0392307692</v>
      </c>
      <c r="F69" s="361" t="n">
        <v>17602.33</v>
      </c>
      <c r="G69" s="68" t="n">
        <v>270</v>
      </c>
      <c r="H69" s="68" t="n">
        <v>33</v>
      </c>
      <c r="I69" s="68" t="n">
        <v>23</v>
      </c>
      <c r="J69" s="69" t="n">
        <v>4.4</v>
      </c>
      <c r="K69" s="69" t="inlineStr">
        <is>
          <t>https://amazon.com/dp/B0F7LK3CN5</t>
        </is>
      </c>
      <c r="L69" s="114">
        <f>HYPERLINK(Table1311[[#This Row],[Column1]])</f>
        <v/>
      </c>
    </row>
    <row r="70" ht="45" customHeight="1" s="314">
      <c r="A70" s="35" t="inlineStr">
        <is>
          <t>2026 Autel MaxiSYS CV MS908CV II Heavy Duty Truck Scanner, Same as MS909CV Up of MS908CV, J2534 Pr0-grammer, C0ding, Semi Truck Full System Diagnostic Tool, Bidirectional Diesel Scan Tool, 3000+ Tests</t>
        </is>
      </c>
      <c r="B70" s="35" t="inlineStr">
        <is>
          <t>B0CWTM3KVX</t>
        </is>
      </c>
      <c r="C70" s="35" t="inlineStr">
        <is>
          <t>Tablet</t>
        </is>
      </c>
      <c r="D70" s="359" t="n">
        <v>2921.86</v>
      </c>
      <c r="E70" s="359" t="n">
        <v>187675.01</v>
      </c>
      <c r="F70" s="361" t="n">
        <v>17531.16</v>
      </c>
      <c r="G70" s="68" t="n">
        <v>65</v>
      </c>
      <c r="H70" s="68" t="n">
        <v>6</v>
      </c>
      <c r="I70" s="68" t="n">
        <v>16</v>
      </c>
      <c r="J70" s="69" t="n">
        <v>4.8</v>
      </c>
      <c r="K70" s="69" t="inlineStr">
        <is>
          <t>https://amazon.com/dp/B0CWTM3KVX</t>
        </is>
      </c>
      <c r="L70" s="114">
        <f>HYPERLINK(Table1311[[#This Row],[Column1]])</f>
        <v/>
      </c>
    </row>
    <row r="71" ht="45" customHeight="1" s="314">
      <c r="A71" s="35" t="inlineStr">
        <is>
          <t>Autel MK900 Scanner, 2026 OBD2 Diagnostic Tool Up of MK808S MX808S MK808BT, Works as MaxiCOM MX900 MK900BT MK900-BT w/ 3000+ Bidirectional Active Tests, All System, 40+ Resets, DOIP CANFD, FCA</t>
        </is>
      </c>
      <c r="B71" s="35" t="inlineStr">
        <is>
          <t>B07BQQFDKQ</t>
        </is>
      </c>
      <c r="C71" s="35" t="inlineStr">
        <is>
          <t>Tablet</t>
        </is>
      </c>
      <c r="D71" s="359" t="n">
        <v>563.7567741935484</v>
      </c>
      <c r="E71" s="359" t="n">
        <v>319618.51</v>
      </c>
      <c r="F71" s="361" t="n">
        <v>17476.46</v>
      </c>
      <c r="G71" s="68" t="n">
        <v>590</v>
      </c>
      <c r="H71" s="68" t="n">
        <v>31</v>
      </c>
      <c r="I71" s="68" t="n">
        <v>134</v>
      </c>
      <c r="J71" s="69" t="n">
        <v>4.6</v>
      </c>
      <c r="K71" s="69" t="inlineStr">
        <is>
          <t>https://amazon.com/dp/B07BQQFDKQ</t>
        </is>
      </c>
      <c r="L71" s="114">
        <f>HYPERLINK(Table1311[[#This Row],[Column1]])</f>
        <v/>
      </c>
    </row>
    <row r="72" ht="16" customHeight="1" s="314">
      <c r="A72" s="35" t="inlineStr">
        <is>
          <t>Autel MaxiSys MS906 Pro2 TS Scanner Full TPMS Functionality 2.0 Up of MS906 PRO TS MK906 PRO-TS MP900TS MS906PRO MS906MAX OE-Level All Systems Diagnostics &amp; Services Same as MK906S PRO2-TS</t>
        </is>
      </c>
      <c r="B72" s="35" t="inlineStr">
        <is>
          <t>B0FPKHZ6ML</t>
        </is>
      </c>
      <c r="C72" s="35" t="inlineStr">
        <is>
          <t>Tablet</t>
        </is>
      </c>
      <c r="D72" s="359" t="n">
        <v>1718.025</v>
      </c>
      <c r="E72" s="359" t="n">
        <v>183142.6738461539</v>
      </c>
      <c r="F72" s="361" t="n">
        <v>17180.25</v>
      </c>
      <c r="G72" s="68" t="n">
        <v>50</v>
      </c>
      <c r="H72" s="68" t="n">
        <v>10</v>
      </c>
      <c r="I72" s="68" t="n">
        <v>3</v>
      </c>
      <c r="J72" s="69" t="n">
        <v>5</v>
      </c>
      <c r="K72" s="69" t="inlineStr">
        <is>
          <t>https://amazon.com/dp/B0FPKHZ6ML</t>
        </is>
      </c>
      <c r="L72" s="114">
        <f>HYPERLINK(Table1311[[#This Row],[Column1]])</f>
        <v/>
      </c>
    </row>
    <row r="73" ht="16" customHeight="1" s="314">
      <c r="A73" s="35" t="inlineStr">
        <is>
          <t>Autel MaxiSys Ultra S2 AI Scanner, 2026 UltraS2 Top Intelligent Scan Tool, Up of MS919 S2 MSUltra EV, 6IN1 VCMI2, Multi-Point DVI, Topology 3.0, Motor Truspeed, 48+ Service, EV Tests, 3K+ Active Tests</t>
        </is>
      </c>
      <c r="B73" s="35" t="inlineStr">
        <is>
          <t>B0936PQ6Y8</t>
        </is>
      </c>
      <c r="C73" s="35" t="inlineStr">
        <is>
          <t>Tablet</t>
        </is>
      </c>
      <c r="D73" s="359" t="n">
        <v>5715.826666666667</v>
      </c>
      <c r="E73" s="359" t="n">
        <v>122687.2330769231</v>
      </c>
      <c r="F73" s="361" t="n">
        <v>17147.48</v>
      </c>
      <c r="G73" s="68" t="n">
        <v>20</v>
      </c>
      <c r="H73" s="68" t="n">
        <v>3</v>
      </c>
      <c r="I73" s="68" t="n">
        <v>8</v>
      </c>
      <c r="J73" s="69" t="n">
        <v>5</v>
      </c>
      <c r="K73" s="69" t="inlineStr">
        <is>
          <t>https://amazon.com/dp/B0936PQ6Y8</t>
        </is>
      </c>
      <c r="L73" s="114">
        <f>HYPERLINK(Table1311[[#This Row],[Column1]])</f>
        <v/>
      </c>
    </row>
    <row r="74" ht="60" customHeight="1" s="314">
      <c r="A74" s="35" t="inlineStr">
        <is>
          <t>Autel AutoLink AL619 Scanner, 2026 ABS SRS Airbag Warning Light Diagnostic Scan Tool, Up of AL519 ML519 ML619, 10 OBDII Test Modes, DTCs Lookup, Live Data, Turn Off Check Engine Light OBD2 Code Reader</t>
        </is>
      </c>
      <c r="B74" s="35" t="inlineStr">
        <is>
          <t>B0925G7QY1</t>
        </is>
      </c>
      <c r="C74" s="35" t="inlineStr">
        <is>
          <t>Handheld</t>
        </is>
      </c>
      <c r="D74" s="359" t="n">
        <v>99.98058823529412</v>
      </c>
      <c r="E74" s="359" t="n">
        <v>205865.65</v>
      </c>
      <c r="F74" s="361" t="n">
        <v>16996.7</v>
      </c>
      <c r="G74" s="68" t="n">
        <v>2097</v>
      </c>
      <c r="H74" s="68" t="n">
        <v>170</v>
      </c>
      <c r="I74" s="68" t="n">
        <v>563</v>
      </c>
      <c r="J74" s="69" t="n">
        <v>4.3</v>
      </c>
      <c r="K74" s="69" t="inlineStr">
        <is>
          <t>https://amazon.com/dp/B0925G7QY1</t>
        </is>
      </c>
      <c r="L74" s="114">
        <f>HYPERLINK(Table1311[[#This Row],[Column1]])</f>
        <v/>
      </c>
    </row>
    <row r="75" ht="16" customHeight="1" s="314">
      <c r="A75" s="35" t="inlineStr">
        <is>
          <t>2026 Autel MaxiSYS Elite 2 PRO Scanner, Elite II Pro 2-Year Free Update ($2590) OE-Level J2534 Programming Coding Tool as MSUltra MS919 MS909, Motor TruSpeed, 40+ Service 3000+ Active Test CAN FD DoIP</t>
        </is>
      </c>
      <c r="B75" s="35" t="inlineStr">
        <is>
          <t>B09TT2GQ6P</t>
        </is>
      </c>
      <c r="C75" s="35" t="inlineStr">
        <is>
          <t>Tablet</t>
        </is>
      </c>
      <c r="D75" s="359" t="n">
        <v>2418.074285714286</v>
      </c>
      <c r="E75" s="359" t="n">
        <v>307030.77</v>
      </c>
      <c r="F75" s="361" t="n">
        <v>16926.52</v>
      </c>
      <c r="G75" s="68" t="n">
        <v>127</v>
      </c>
      <c r="H75" s="68" t="n">
        <v>7</v>
      </c>
      <c r="I75" s="68" t="n">
        <v>17</v>
      </c>
      <c r="J75" s="69" t="n">
        <v>4.8</v>
      </c>
      <c r="K75" s="69" t="inlineStr">
        <is>
          <t>https://amazon.com/dp/B09TT2GQ6P</t>
        </is>
      </c>
      <c r="L75" s="114">
        <f>HYPERLINK(Table1311[[#This Row],[Column1]])</f>
        <v/>
      </c>
    </row>
    <row r="76" ht="16" customHeight="1" s="314">
      <c r="A76" s="35" t="inlineStr">
        <is>
          <t>Autel Scanner IM508S OBD2 Scanner, 2026 Bidirectional Scan Tool, with XP200 Programmer, Smart &amp; Expert Mode, All System Diagnostic, 3000+ Active Test, 40+ Service, Up of MK900BT MK808S, FCA AutoAuth</t>
        </is>
      </c>
      <c r="B76" s="35" t="inlineStr">
        <is>
          <t>B0G1Y9LC4Q</t>
        </is>
      </c>
      <c r="C76" s="35" t="inlineStr">
        <is>
          <t>Tablet</t>
        </is>
      </c>
      <c r="D76" s="359" t="n">
        <v>1201.681428571429</v>
      </c>
      <c r="E76" s="359" t="n">
        <v>190871.9323076924</v>
      </c>
      <c r="F76" s="361" t="n">
        <v>16823.54</v>
      </c>
      <c r="G76" s="68" t="n">
        <v>56</v>
      </c>
      <c r="H76" s="68" t="n">
        <v>14</v>
      </c>
      <c r="I76" s="68" t="n">
        <v>4</v>
      </c>
      <c r="J76" s="69" t="n">
        <v>4.7</v>
      </c>
      <c r="K76" s="69" t="inlineStr">
        <is>
          <t>https://amazon.com/dp/B0G1Y9LC4Q</t>
        </is>
      </c>
      <c r="L76" s="114">
        <f>HYPERLINK(Table1311[[#This Row],[Column1]])</f>
        <v/>
      </c>
    </row>
    <row r="77" ht="16" customHeight="1" s="314">
      <c r="A77" s="35" t="inlineStr">
        <is>
          <t>Autel Scanner MaxiCOM MK808Z: 2026 Bidirectional Scan Tool as MK808BT Pro MX808S OBD2 Scanner, 28+ Resets, Active Test, All System Diagnostic, Injector C0ding, Escaner Automotriz,Work as MX900 MK900BT</t>
        </is>
      </c>
      <c r="B77" s="35" t="inlineStr">
        <is>
          <t>B098TDC7FM</t>
        </is>
      </c>
      <c r="C77" s="35" t="inlineStr">
        <is>
          <t>Tablet</t>
        </is>
      </c>
      <c r="D77" s="359" t="n">
        <v>419.388</v>
      </c>
      <c r="E77" s="359" t="n">
        <v>244815.01</v>
      </c>
      <c r="F77" s="361" t="n">
        <v>16775.52</v>
      </c>
      <c r="G77" s="68" t="n">
        <v>568</v>
      </c>
      <c r="H77" s="68" t="n">
        <v>40</v>
      </c>
      <c r="I77" s="68" t="n">
        <v>366</v>
      </c>
      <c r="J77" s="69" t="n">
        <v>4.4</v>
      </c>
      <c r="K77" s="69" t="inlineStr">
        <is>
          <t>https://amazon.com/dp/B098TDC7FM</t>
        </is>
      </c>
      <c r="L77" s="114">
        <f>HYPERLINK(Table1311[[#This Row],[Column1]])</f>
        <v/>
      </c>
    </row>
    <row r="78" ht="16" customHeight="1" s="314">
      <c r="A78" s="35" t="inlineStr">
        <is>
          <t>Autel MaxiIM IM608 PRO 2 Scanner with Full Kit ($1316), 2026 IM608 PRO II Diagnostic Tool Upgrade of IM608 Pro IM608S II IM508S, ECU as Elite II Pro, 40+Reset, 3000+ Active Tests, Full System</t>
        </is>
      </c>
      <c r="B78" s="35" t="inlineStr">
        <is>
          <t>B07NYR2STX</t>
        </is>
      </c>
      <c r="C78" s="35" t="inlineStr">
        <is>
          <t>Tablet</t>
        </is>
      </c>
      <c r="D78" s="359" t="n">
        <v>3318.036</v>
      </c>
      <c r="E78" s="359" t="n">
        <v>117504.1623076923</v>
      </c>
      <c r="F78" s="361" t="n">
        <v>16590.18</v>
      </c>
      <c r="G78" s="68" t="n">
        <v>31</v>
      </c>
      <c r="H78" s="68" t="n">
        <v>5</v>
      </c>
      <c r="I78" s="68" t="n">
        <v>8</v>
      </c>
      <c r="J78" s="69" t="n">
        <v>4.5</v>
      </c>
      <c r="K78" s="69" t="inlineStr">
        <is>
          <t>https://amazon.com/dp/B07NYR2STX</t>
        </is>
      </c>
      <c r="L78" s="114">
        <f>HYPERLINK(Table1311[[#This Row],[Column1]])</f>
        <v/>
      </c>
    </row>
    <row r="79" ht="16" customHeight="1" s="314">
      <c r="A79" s="35" t="inlineStr">
        <is>
          <t>Autel OBD2 Scanner AL329, Upgraded AutoLink AL319, Auto VIN, Check-Engine-Light Code Reader, MIL Reset, One-Click I/M Readiness, CAN Car Diagnostic Scan Tool, for All OBD II Vehicles After 1996</t>
        </is>
      </c>
      <c r="B79" s="35" t="inlineStr">
        <is>
          <t>B0BHNRPZXR</t>
        </is>
      </c>
      <c r="C79" s="35" t="inlineStr">
        <is>
          <t>Handheld</t>
        </is>
      </c>
      <c r="D79" s="359" t="n">
        <v>34.95733050847458</v>
      </c>
      <c r="E79" s="359" t="n">
        <v>129034.19</v>
      </c>
      <c r="F79" s="361" t="n">
        <v>16499.86</v>
      </c>
      <c r="G79" s="68" t="n">
        <v>3727</v>
      </c>
      <c r="H79" s="68" t="n">
        <v>472</v>
      </c>
      <c r="I79" s="68" t="n">
        <v>140</v>
      </c>
      <c r="J79" s="69" t="n">
        <v>4.6</v>
      </c>
      <c r="K79" s="69" t="inlineStr">
        <is>
          <t>https://amazon.com/dp/B0BHNRPZXR</t>
        </is>
      </c>
      <c r="L79" s="114">
        <f>HYPERLINK(Table1311[[#This Row],[Column1]])</f>
        <v/>
      </c>
    </row>
    <row r="80" ht="16" customHeight="1" s="314">
      <c r="A80" s="35" t="inlineStr">
        <is>
          <t>Autel Scanner MaxiCOM MK900TS, 2026 MK900-TS Same as MX900TS TS900, Top TPMS Functions Bidirectional Scan Tool, Up of MK900BT MK900 MX900 MK808S-TS MK808S, DoIP CAN FD, 40+ Service, 3000+ Tests, FCA</t>
        </is>
      </c>
      <c r="B80" s="35" t="inlineStr">
        <is>
          <t>B09YM97Q9N</t>
        </is>
      </c>
      <c r="C80" s="35" t="inlineStr">
        <is>
          <t>Tablet</t>
        </is>
      </c>
      <c r="D80" s="359" t="n">
        <v>883.96</v>
      </c>
      <c r="E80" s="359" t="n">
        <v>147016.72</v>
      </c>
      <c r="F80" s="361" t="n">
        <v>15911.28</v>
      </c>
      <c r="G80" s="68" t="n">
        <v>169</v>
      </c>
      <c r="H80" s="68" t="n">
        <v>18</v>
      </c>
      <c r="I80" s="68" t="n">
        <v>28</v>
      </c>
      <c r="J80" s="69" t="n">
        <v>4.5</v>
      </c>
      <c r="K80" s="69" t="inlineStr">
        <is>
          <t>https://amazon.com/dp/B09YM97Q9N</t>
        </is>
      </c>
      <c r="L80" s="114">
        <f>HYPERLINK(Table1311[[#This Row],[Column1]])</f>
        <v/>
      </c>
    </row>
    <row r="81" ht="16" customHeight="1" s="314">
      <c r="A81" s="35" t="inlineStr">
        <is>
          <t>Autel MaxiTPMS ITS600 (E) TPMS Programming Tool, 2026 Complete TPMS Functions as ITS600 Pro Up of TS508WF/ MK808S-TS/ TS900, Relearn/Activate Sensors, Oil Reset EPB BMS SAS, Lifetime Free Updates</t>
        </is>
      </c>
      <c r="B81" s="35" t="inlineStr">
        <is>
          <t>B09QX9B31K</t>
        </is>
      </c>
      <c r="C81" s="35" t="inlineStr">
        <is>
          <t>Handheld</t>
        </is>
      </c>
      <c r="D81" s="359" t="n">
        <v>406.4310256410257</v>
      </c>
      <c r="E81" s="359" t="n">
        <v>117051.93</v>
      </c>
      <c r="F81" s="361" t="n">
        <v>15850.81</v>
      </c>
      <c r="G81" s="68" t="n">
        <v>245</v>
      </c>
      <c r="H81" s="68" t="n">
        <v>39</v>
      </c>
      <c r="I81" s="68" t="n">
        <v>15</v>
      </c>
      <c r="J81" s="69" t="n">
        <v>4.9</v>
      </c>
      <c r="K81" s="69" t="inlineStr">
        <is>
          <t>https://amazon.com/dp/B09QX9B31K</t>
        </is>
      </c>
      <c r="L81" s="114">
        <f>HYPERLINK(Table1311[[#This Row],[Column1]])</f>
        <v/>
      </c>
    </row>
    <row r="82" ht="16" customHeight="1" s="314">
      <c r="A82" s="35" t="inlineStr">
        <is>
          <t>Autel Scanner MaxiSYS MS906 PRO, 2026 MS906PRO Same as MS906MAX w/ECU C0ding, CAN FD DoIP, V2.0 of MP900BT MP900 MS906BT Elite 2, Bidirectional Diagnostic Scan Tool, 36+ Service, 3000+ Test, FCA SGW</t>
        </is>
      </c>
      <c r="B82" s="35" t="inlineStr">
        <is>
          <t>B09QX9KV2X</t>
        </is>
      </c>
      <c r="C82" s="35" t="inlineStr">
        <is>
          <t>Tablet</t>
        </is>
      </c>
      <c r="D82" s="359" t="n">
        <v>1402.304545454545</v>
      </c>
      <c r="E82" s="359" t="n">
        <v>315349.06</v>
      </c>
      <c r="F82" s="361" t="n">
        <v>15425.35</v>
      </c>
      <c r="G82" s="68" t="n">
        <v>228</v>
      </c>
      <c r="H82" s="68" t="n">
        <v>11</v>
      </c>
      <c r="I82" s="68" t="n">
        <v>73</v>
      </c>
      <c r="J82" s="69" t="n">
        <v>4.5</v>
      </c>
      <c r="K82" s="69" t="inlineStr">
        <is>
          <t>https://amazon.com/dp/B09QX9KV2X</t>
        </is>
      </c>
      <c r="L82" s="114">
        <f>HYPERLINK(Table1311[[#This Row],[Column1]])</f>
        <v/>
      </c>
    </row>
    <row r="83" ht="16" customHeight="1" s="314">
      <c r="A83" s="35" t="inlineStr">
        <is>
          <t>Autel Scanner MaxiSys MS906 PRO, 2026 MS906PRO Same as MS906MAX, 2.0 of MS908S MS906BT, Lite of Elite II PRO, DoIP CAN FD, 36+ Service, 3000+ Active Tests, Auto Scan 2.0, OE Bidirectional Diagnostic</t>
        </is>
      </c>
      <c r="B83" s="35" t="inlineStr">
        <is>
          <t>B09JFZF3ZC</t>
        </is>
      </c>
      <c r="C83" s="35" t="inlineStr">
        <is>
          <t>Tablet</t>
        </is>
      </c>
      <c r="D83" s="359" t="n">
        <v>1531.152</v>
      </c>
      <c r="E83" s="359" t="n">
        <v>363086.4899999999</v>
      </c>
      <c r="F83" s="361" t="n">
        <v>15311.52</v>
      </c>
      <c r="G83" s="68" t="n">
        <v>243</v>
      </c>
      <c r="H83" s="68" t="n">
        <v>10</v>
      </c>
      <c r="I83" s="68" t="n">
        <v>73</v>
      </c>
      <c r="J83" s="69" t="n">
        <v>4.6</v>
      </c>
      <c r="K83" s="69" t="inlineStr">
        <is>
          <t>https://amazon.com/dp/B09JFZF3ZC</t>
        </is>
      </c>
      <c r="L83" s="114">
        <f>HYPERLINK(Table1311[[#This Row],[Column1]])</f>
        <v/>
      </c>
    </row>
    <row r="84" ht="16" customHeight="1" s="314">
      <c r="A84" s="35" t="inlineStr">
        <is>
          <t>Autel MaxiCOM MK906 PRO2-TS Scanner: 2026 Multilingual of MS906 PRO2-TS, 2.0 Up of MS906 PRO TS MK906PRO-TS MP900TS MS906PRO MS906MAX, TPMS 2.0 &amp; ECU Coding, 3K+ Bidirectional 40+ Reset, DoIP CAN FD</t>
        </is>
      </c>
      <c r="B84" s="35" t="inlineStr">
        <is>
          <t>B07F31NFDB</t>
        </is>
      </c>
      <c r="C84" s="35" t="inlineStr">
        <is>
          <t>Tablet</t>
        </is>
      </c>
      <c r="D84" s="359" t="n">
        <v>1500.803</v>
      </c>
      <c r="E84" s="359" t="n">
        <v>61756.61</v>
      </c>
      <c r="F84" s="361" t="n">
        <v>15008.03</v>
      </c>
      <c r="G84" s="68" t="n">
        <v>40</v>
      </c>
      <c r="H84" s="68" t="n">
        <v>10</v>
      </c>
      <c r="I84" s="68" t="n">
        <v>17</v>
      </c>
      <c r="J84" s="69" t="n">
        <v>4.8</v>
      </c>
      <c r="K84" s="69" t="inlineStr">
        <is>
          <t>https://amazon.com/dp/B07F31NFDB</t>
        </is>
      </c>
      <c r="L84" s="114">
        <f>HYPERLINK(Table1311[[#This Row],[Column1]])</f>
        <v/>
      </c>
    </row>
    <row r="85" ht="16" customHeight="1" s="314">
      <c r="A85" s="35" t="inlineStr">
        <is>
          <t>Autel Scanner IM608 PRO 2, 2026 IM608 II Automotive Diagnostic Tool with XP400 PRO GBOX3 Up of IM508S PRO/IM608 Advanced Function as Elite II Pro, 3000+ Tests, 40 Reset, OS10 4/128GB CAN FD DoIP</t>
        </is>
      </c>
      <c r="B85" s="35" t="inlineStr">
        <is>
          <t>B0FMKDJD8S</t>
        </is>
      </c>
      <c r="C85" s="35" t="inlineStr">
        <is>
          <t>Tablet</t>
        </is>
      </c>
      <c r="D85" s="359" t="n">
        <v>2967.208</v>
      </c>
      <c r="E85" s="359" t="n">
        <v>167874.543076923</v>
      </c>
      <c r="F85" s="361" t="n">
        <v>14836.04</v>
      </c>
      <c r="G85" s="68" t="n">
        <v>23</v>
      </c>
      <c r="H85" s="68" t="n">
        <v>5</v>
      </c>
      <c r="I85" s="68" t="n">
        <v>4</v>
      </c>
      <c r="J85" s="69" t="n">
        <v>5</v>
      </c>
      <c r="K85" s="69" t="inlineStr">
        <is>
          <t>https://amazon.com/dp/B0FMKDJD8S</t>
        </is>
      </c>
      <c r="L85" s="114">
        <f>HYPERLINK(Table1311[[#This Row],[Column1]])</f>
        <v/>
      </c>
    </row>
    <row r="86" ht="16" customHeight="1" s="314">
      <c r="A86" s="35" t="inlineStr">
        <is>
          <t>Autel MaxiSys Elite II PRO Scanner, 2026 2-Year Free Update [$2590] Elite 2 PRO, J2534 Programming Coding as MSUltra MS919 MS909 UP of MK908P, Motor TruSpeed, 40+ Reset, 3K+ Bidirectional, DoIP CAN FD</t>
        </is>
      </c>
      <c r="B86" s="35" t="inlineStr">
        <is>
          <t>B0F6LPJ94T</t>
        </is>
      </c>
      <c r="C86" s="35" t="inlineStr">
        <is>
          <t>Tablet</t>
        </is>
      </c>
      <c r="D86" s="359" t="n">
        <v>2455.343333333333</v>
      </c>
      <c r="E86" s="359" t="n">
        <v>155824.9446153846</v>
      </c>
      <c r="F86" s="361" t="n">
        <v>14732.06</v>
      </c>
      <c r="G86" s="68" t="n">
        <v>59</v>
      </c>
      <c r="H86" s="68" t="n">
        <v>6</v>
      </c>
      <c r="I86" s="68" t="n">
        <v>2</v>
      </c>
      <c r="J86" s="69" t="n">
        <v>5</v>
      </c>
      <c r="K86" s="69" t="inlineStr">
        <is>
          <t>https://amazon.com/dp/B0F6LPJ94T</t>
        </is>
      </c>
      <c r="L86" s="114">
        <f>HYPERLINK(Table1311[[#This Row],[Column1]])</f>
        <v/>
      </c>
    </row>
    <row r="87" ht="16" customHeight="1" s="314">
      <c r="A87" s="35" t="inlineStr">
        <is>
          <t>Autel MaxiSys MS909CV 2026 Top Heavy Duty Truck Scanner for Semi Commercial Cars, Upgrade of MS908CV with Intelligent Scan, 60+ Services, J2534 Programmer Coding, 3000+ Test,Topology 2.0</t>
        </is>
      </c>
      <c r="B87" s="35" t="inlineStr">
        <is>
          <t>B094XRTNPK</t>
        </is>
      </c>
      <c r="C87" s="35" t="inlineStr">
        <is>
          <t>Tablet</t>
        </is>
      </c>
      <c r="D87" s="359" t="n">
        <v>4854.066666666667</v>
      </c>
      <c r="E87" s="359" t="n">
        <v>164926.48</v>
      </c>
      <c r="F87" s="361" t="n">
        <v>14562.2</v>
      </c>
      <c r="G87" s="68" t="n">
        <v>38</v>
      </c>
      <c r="H87" s="68" t="n">
        <v>3</v>
      </c>
      <c r="I87" s="68" t="n">
        <v>8</v>
      </c>
      <c r="J87" s="69" t="n">
        <v>4.6</v>
      </c>
      <c r="K87" s="69" t="inlineStr">
        <is>
          <t>https://amazon.com/dp/B094XRTNPK</t>
        </is>
      </c>
      <c r="L87" s="114">
        <f>HYPERLINK(Table1311[[#This Row],[Column1]])</f>
        <v/>
      </c>
    </row>
    <row r="88" ht="16" customHeight="1" s="314">
      <c r="A88" s="35" t="inlineStr">
        <is>
          <t>Autel MaxiVCI V200 VCI200 Wireless Diagnostic Dongle, 2026 VCI 200 OBD2 Connector Adapter, Work with Scanner MK900BT MP900-BT MaxiSys MS906 PRO MS906MAX MS906 PRO-TS MK906 PRO-TS KM100 BT608 BT609</t>
        </is>
      </c>
      <c r="B88" s="35" t="inlineStr">
        <is>
          <t>B0BBFY2848</t>
        </is>
      </c>
      <c r="C88" s="35" t="inlineStr">
        <is>
          <t>Dongle</t>
        </is>
      </c>
      <c r="D88" s="359" t="n">
        <v>219.7278787878788</v>
      </c>
      <c r="E88" s="359" t="n">
        <v>172344.55</v>
      </c>
      <c r="F88" s="361" t="n">
        <v>14502.04</v>
      </c>
      <c r="G88" s="68" t="n">
        <v>813</v>
      </c>
      <c r="H88" s="68" t="n">
        <v>66</v>
      </c>
      <c r="I88" s="68" t="n">
        <v>68</v>
      </c>
      <c r="J88" s="69" t="n">
        <v>4.6</v>
      </c>
      <c r="K88" s="69" t="inlineStr">
        <is>
          <t>https://amazon.com/dp/B0BBFY2848</t>
        </is>
      </c>
      <c r="L88" s="114">
        <f>HYPERLINK(Table1311[[#This Row],[Column1]])</f>
        <v/>
      </c>
    </row>
    <row r="89" ht="16" customHeight="1" s="314">
      <c r="A89" s="35" t="inlineStr">
        <is>
          <t>Autel MaxiCOM MK908 Pro II: 2026 MK908PRO II Same as MaxiSys MS908S Pro II Ultra Elite 2 Pro, J2534 Programming Scan Tool Up of MS908S Pro Elite MS906MAX MS906PRO, 38+ Resets, 3K+ Test, 4+128G</t>
        </is>
      </c>
      <c r="B89" s="35" t="inlineStr">
        <is>
          <t>B06WRSXPX1</t>
        </is>
      </c>
      <c r="C89" s="35" t="inlineStr">
        <is>
          <t>Tablet</t>
        </is>
      </c>
      <c r="D89" s="359" t="n">
        <v>2034.058571428571</v>
      </c>
      <c r="E89" s="359" t="n">
        <v>65345.5</v>
      </c>
      <c r="F89" s="361" t="n">
        <v>14238.41</v>
      </c>
      <c r="G89" s="68" t="n">
        <v>34</v>
      </c>
      <c r="H89" s="68" t="n">
        <v>7</v>
      </c>
      <c r="I89" s="68" t="n">
        <v>70</v>
      </c>
      <c r="J89" s="69" t="n">
        <v>4.4</v>
      </c>
      <c r="K89" s="69" t="inlineStr">
        <is>
          <t>https://amazon.com/dp/B06WRSXPX1</t>
        </is>
      </c>
      <c r="L89" s="114">
        <f>HYPERLINK(Table1311[[#This Row],[Column1]])</f>
        <v/>
      </c>
    </row>
    <row r="90" ht="16" customHeight="1" s="314">
      <c r="A90" s="35" t="inlineStr">
        <is>
          <t>Autel AutoLink AL519 OBD2 Scanner Enhanced Mode 6 Car Diagnostic Tool Check Engine Code Reader CAN Scan Tool, Advanced Ver. of AL319</t>
        </is>
      </c>
      <c r="B90" s="35" t="inlineStr">
        <is>
          <t>B07PQH6HSQ</t>
        </is>
      </c>
      <c r="C90" s="35" t="inlineStr">
        <is>
          <t>Handheld</t>
        </is>
      </c>
      <c r="D90" s="359" t="n">
        <v>60.02823275862069</v>
      </c>
      <c r="E90" s="359" t="n">
        <v>205997.48</v>
      </c>
      <c r="F90" s="361" t="n">
        <v>13926.55</v>
      </c>
      <c r="G90" s="68" t="n">
        <v>3517</v>
      </c>
      <c r="H90" s="68" t="n">
        <v>232</v>
      </c>
      <c r="I90" s="68" t="n">
        <v>2619</v>
      </c>
      <c r="J90" s="69" t="n">
        <v>4.5</v>
      </c>
      <c r="K90" s="69" t="inlineStr">
        <is>
          <t>https://amazon.com/dp/B07PQH6HSQ</t>
        </is>
      </c>
      <c r="L90" s="114">
        <f>HYPERLINK(Table1311[[#This Row],[Column1]])</f>
        <v/>
      </c>
    </row>
    <row r="91" ht="16" customHeight="1" s="314">
      <c r="A91" s="35" t="inlineStr">
        <is>
          <t>Autel MaxiSYS MS906MAX Scanner, 2026 10.1" MS906 MAX 2.0 Upgrade of MS906 PRO MP900BT MS906BT MS908S, OE ECU C0ding Bidirectional Scan Tool, 3000+ Active Test, 40+ Reset, All-System, CAN FD DoIP</t>
        </is>
      </c>
      <c r="B91" s="35" t="inlineStr">
        <is>
          <t>B0DXFPD42C</t>
        </is>
      </c>
      <c r="C91" s="35" t="inlineStr">
        <is>
          <t>Tablet</t>
        </is>
      </c>
      <c r="D91" s="359" t="n">
        <v>1649.235</v>
      </c>
      <c r="E91" s="359" t="n">
        <v>163342.1861538462</v>
      </c>
      <c r="F91" s="361" t="n">
        <v>13193.88</v>
      </c>
      <c r="G91" s="68" t="n">
        <v>96</v>
      </c>
      <c r="H91" s="68" t="n">
        <v>8</v>
      </c>
      <c r="I91" s="68" t="n">
        <v>13</v>
      </c>
      <c r="J91" s="69" t="n">
        <v>4.5</v>
      </c>
      <c r="K91" s="69" t="inlineStr">
        <is>
          <t>https://amazon.com/dp/B0DXFPD42C</t>
        </is>
      </c>
      <c r="L91" s="114">
        <f>HYPERLINK(Table1311[[#This Row],[Column1]])</f>
        <v/>
      </c>
    </row>
    <row r="92" ht="16" customHeight="1" s="314">
      <c r="A92" s="35" t="inlineStr">
        <is>
          <t>Autel MaxiTPMS TS900 Scanner, 2026 Bidirectional Scan Tool, Top TPMS as MS906 PRO-TS, Up of MK900TS MX900TS MK808S-TS MK900 TS608, 3000+ Active Tests, 40+ Service, CAN-FD &amp; DOIP, OS 11.0, FCA SGW</t>
        </is>
      </c>
      <c r="B92" s="35" t="inlineStr">
        <is>
          <t>B09YMB3CWN</t>
        </is>
      </c>
      <c r="C92" s="35" t="inlineStr">
        <is>
          <t>Tablet</t>
        </is>
      </c>
      <c r="D92" s="359" t="n">
        <v>815.921875</v>
      </c>
      <c r="E92" s="359" t="n">
        <v>91385.84</v>
      </c>
      <c r="F92" s="361" t="n">
        <v>13054.75</v>
      </c>
      <c r="G92" s="68" t="n">
        <v>111</v>
      </c>
      <c r="H92" s="68" t="n">
        <v>16</v>
      </c>
      <c r="I92" s="68" t="n">
        <v>20</v>
      </c>
      <c r="J92" s="69" t="n">
        <v>4.6</v>
      </c>
      <c r="K92" s="69" t="inlineStr">
        <is>
          <t>https://amazon.com/dp/B09YMB3CWN</t>
        </is>
      </c>
      <c r="L92" s="114">
        <f>HYPERLINK(Table1311[[#This Row],[Column1]])</f>
        <v/>
      </c>
    </row>
    <row r="93" ht="16" customHeight="1" s="314">
      <c r="A93" s="35" t="inlineStr">
        <is>
          <t>Autel MaxiCheck PRO Auto Bleed Scan Tool for ABS Brake Bleeding, OBD2 ABS SRS Diagnostic Scanner, Oil Reset, BMS, EPB, Airbag, SAS Services for Specific Vehicles Up to 2015, Lifetime Free Updates</t>
        </is>
      </c>
      <c r="B93" s="35" t="inlineStr">
        <is>
          <t>B075ZLVXHY</t>
        </is>
      </c>
      <c r="C93" s="35" t="inlineStr">
        <is>
          <t>Handheld</t>
        </is>
      </c>
      <c r="D93" s="359" t="n">
        <v>199.2264615384615</v>
      </c>
      <c r="E93" s="359" t="n">
        <v>143308.79</v>
      </c>
      <c r="F93" s="361" t="n">
        <v>12949.72</v>
      </c>
      <c r="G93" s="68" t="n">
        <v>721</v>
      </c>
      <c r="H93" s="68" t="n">
        <v>65</v>
      </c>
      <c r="I93" s="68" t="n">
        <v>504</v>
      </c>
      <c r="J93" s="69" t="n">
        <v>4.4</v>
      </c>
      <c r="K93" s="69" t="inlineStr">
        <is>
          <t>https://amazon.com/dp/B075ZLVXHY</t>
        </is>
      </c>
      <c r="L93" s="114">
        <f>HYPERLINK(Table1311[[#This Row],[Column1]])</f>
        <v/>
      </c>
    </row>
    <row r="94" ht="16" customHeight="1" s="314">
      <c r="A94" s="35" t="inlineStr">
        <is>
          <t>Autel MaxiSys Elite II Pro Scanner, 2026 2 Years Free Update Elite 2 Pro, J2534 Reprogramming Tool as Ultra MS909 MS919 Up of MS908SP II MK908P II, Motor TruSpeed, 45+ Resets, CAN FD DoIP, 3K+ Test</t>
        </is>
      </c>
      <c r="B94" s="35" t="inlineStr">
        <is>
          <t>B01EHL39ZU</t>
        </is>
      </c>
      <c r="C94" s="35" t="inlineStr">
        <is>
          <t>Tablet</t>
        </is>
      </c>
      <c r="D94" s="359" t="n">
        <v>2586.468</v>
      </c>
      <c r="E94" s="359" t="n">
        <v>182636.34</v>
      </c>
      <c r="F94" s="361" t="n">
        <v>12932.34</v>
      </c>
      <c r="G94" s="68" t="n">
        <v>77</v>
      </c>
      <c r="H94" s="68" t="n">
        <v>5</v>
      </c>
      <c r="I94" s="68" t="n">
        <v>161</v>
      </c>
      <c r="J94" s="69" t="n">
        <v>4.4</v>
      </c>
      <c r="K94" s="69" t="inlineStr">
        <is>
          <t>https://amazon.com/dp/B01EHL39ZU</t>
        </is>
      </c>
      <c r="L94" s="114">
        <f>HYPERLINK(Table1311[[#This Row],[Column1]])</f>
        <v/>
      </c>
    </row>
    <row r="95" ht="16" customHeight="1" s="314">
      <c r="A95" s="35" t="inlineStr">
        <is>
          <t>Autel MaxiSYS Ultra S2 OBD2 Scanner, New Diagnostic with AI, Upgraded MS Ultra, 6-in-1 VCMI2, Topology 3.0, EV Tests, WiFi 6, 48+ Services, Motor Truspeed Repair, Multi-Point DVI, ECU Programming</t>
        </is>
      </c>
      <c r="B95" s="35" t="inlineStr">
        <is>
          <t>B0F2M4JM9H</t>
        </is>
      </c>
      <c r="C95" s="35" t="inlineStr">
        <is>
          <t>Tablet</t>
        </is>
      </c>
      <c r="D95" s="359" t="n">
        <v>6447.125</v>
      </c>
      <c r="E95" s="359" t="n">
        <v>217331.33</v>
      </c>
      <c r="F95" s="361" t="n">
        <v>12894.25</v>
      </c>
      <c r="G95" s="68" t="n">
        <v>37</v>
      </c>
      <c r="H95" s="68" t="n">
        <v>2</v>
      </c>
      <c r="I95" s="68" t="n">
        <v>4</v>
      </c>
      <c r="J95" s="69" t="n">
        <v>5</v>
      </c>
      <c r="K95" s="69" t="inlineStr">
        <is>
          <t>https://amazon.com/dp/B0F2M4JM9H</t>
        </is>
      </c>
      <c r="L95" s="114">
        <f>HYPERLINK(Table1311[[#This Row],[Column1]])</f>
        <v/>
      </c>
    </row>
    <row r="96" ht="16" customHeight="1" s="314">
      <c r="A96" s="35" t="inlineStr">
        <is>
          <t>2026 Autel Scanner MaxiIM KM100(E), Car Diagnostic Scan Tool with Lifetime Fre.e Update, OBD-Learn for 95% Car, Auto Tool Lite of IM508S IM608 PRO 2, 2GB &amp; 64GB Android 9.0</t>
        </is>
      </c>
      <c r="B96" s="35" t="inlineStr">
        <is>
          <t>B0CHYB2T6T</t>
        </is>
      </c>
      <c r="C96" s="35" t="inlineStr">
        <is>
          <t>Tablet</t>
        </is>
      </c>
      <c r="D96" s="359" t="n">
        <v>529.2545833333334</v>
      </c>
      <c r="E96" s="359" t="n">
        <v>14319.99</v>
      </c>
      <c r="F96" s="361" t="n">
        <v>12702.11</v>
      </c>
      <c r="G96" s="68" t="n">
        <v>27</v>
      </c>
      <c r="H96" s="68" t="n">
        <v>24</v>
      </c>
      <c r="I96" s="68" t="n">
        <v>17</v>
      </c>
      <c r="J96" s="69" t="n">
        <v>4.8</v>
      </c>
      <c r="K96" s="69" t="inlineStr">
        <is>
          <t>https://amazon.com/dp/B0CHYB2T6T</t>
        </is>
      </c>
      <c r="L96" s="114">
        <f>HYPERLINK(Table1311[[#This Row],[Column1]])</f>
        <v/>
      </c>
    </row>
    <row r="97" ht="16" customHeight="1" s="314">
      <c r="A97" s="35" t="inlineStr">
        <is>
          <t>2026 Autel MaxiSYS MS908S PRO II Scanner, w/ $219 TS501 PRO TPMS Relearn Tool, Bidirectional Diagnostic Scan as Ultra MS909 Elite 2 Pro, J2534 ECU Functions, Up of MK908P MS906MAX, 3K+Tests, 40+ Reset</t>
        </is>
      </c>
      <c r="B97" s="35" t="inlineStr">
        <is>
          <t>B07NN6J4BH</t>
        </is>
      </c>
      <c r="C97" s="35" t="inlineStr">
        <is>
          <t>Tablet</t>
        </is>
      </c>
      <c r="D97" s="359" t="n">
        <v>2111.086666666667</v>
      </c>
      <c r="E97" s="359" t="n">
        <v>97603.88</v>
      </c>
      <c r="F97" s="361" t="n">
        <v>12666.52</v>
      </c>
      <c r="G97" s="68" t="n">
        <v>45</v>
      </c>
      <c r="H97" s="68" t="n">
        <v>6</v>
      </c>
      <c r="I97" s="68" t="n">
        <v>23</v>
      </c>
      <c r="J97" s="69" t="n">
        <v>4.7</v>
      </c>
      <c r="K97" s="69" t="inlineStr">
        <is>
          <t>https://amazon.com/dp/B07NN6J4BH</t>
        </is>
      </c>
      <c r="L97" s="114">
        <f>HYPERLINK(Table1311[[#This Row],[Column1]])</f>
        <v/>
      </c>
    </row>
    <row r="98" ht="16" customHeight="1" s="314">
      <c r="A98" s="35" t="inlineStr">
        <is>
          <t>Autel AL519 OBD2 Scanner, 2026 Newer Professional Mechanic OBDII &amp; CAN Car Diagnostic Code Reader Tool for Check Engine Light, One-Click Smog Check, DTCs Lookup, Upgraded Ver. of AL319/ MS309</t>
        </is>
      </c>
      <c r="B98" s="35" t="inlineStr">
        <is>
          <t>B07CJHWHNX</t>
        </is>
      </c>
      <c r="C98" s="35" t="inlineStr">
        <is>
          <t>Handheld</t>
        </is>
      </c>
      <c r="D98" s="359" t="n">
        <v>59.88119617224881</v>
      </c>
      <c r="E98" s="359" t="n">
        <v>164078.7746153846</v>
      </c>
      <c r="F98" s="361" t="n">
        <v>12515.17</v>
      </c>
      <c r="G98" s="68" t="n">
        <v>2579</v>
      </c>
      <c r="H98" s="68" t="n">
        <v>209</v>
      </c>
      <c r="I98" s="68" t="n">
        <v>1105</v>
      </c>
      <c r="J98" s="69" t="n">
        <v>4.5</v>
      </c>
      <c r="K98" s="69" t="inlineStr">
        <is>
          <t>https://amazon.com/dp/B07CJHWHNX</t>
        </is>
      </c>
      <c r="L98" s="114">
        <f>HYPERLINK(Table1311[[#This Row],[Column1]])</f>
        <v/>
      </c>
    </row>
    <row r="99" ht="45" customHeight="1" s="314">
      <c r="A99" s="35" t="inlineStr">
        <is>
          <t>Autel MaxiPRO MP808BT PRO Scanner, 2026 Bidirectional Scan Tool with 2-Year Update, Pro ECU C0ding as MS906 PRO MS906 MAX MP900BT, 30+ Service, 3000+ Test, Up of MK900BT MK900 MX900 MK808S, FCA, OS 11</t>
        </is>
      </c>
      <c r="B99" s="35" t="inlineStr">
        <is>
          <t>B09F3MZZ3F</t>
        </is>
      </c>
      <c r="C99" s="35" t="inlineStr">
        <is>
          <t>Tablet</t>
        </is>
      </c>
      <c r="D99" s="359" t="n">
        <v>716.1994117647058</v>
      </c>
      <c r="E99" s="359" t="n">
        <v>155750.29</v>
      </c>
      <c r="F99" s="361" t="n">
        <v>12175.39</v>
      </c>
      <c r="G99" s="68" t="n">
        <v>217</v>
      </c>
      <c r="H99" s="68" t="n">
        <v>17</v>
      </c>
      <c r="I99" s="68" t="n">
        <v>86</v>
      </c>
      <c r="J99" s="69" t="n">
        <v>4.6</v>
      </c>
      <c r="K99" s="69" t="inlineStr">
        <is>
          <t>https://amazon.com/dp/B09F3MZZ3F</t>
        </is>
      </c>
      <c r="L99" s="114">
        <f>HYPERLINK(Table1311[[#This Row],[Column1]])</f>
        <v/>
      </c>
    </row>
    <row r="100" ht="60" customHeight="1" s="314">
      <c r="A100" s="35" t="inlineStr">
        <is>
          <t>Autel AP200(HT200) Bluetooth OBD2 Scanner, Code Reader with Full Systems Diagnoses and 19 Service Functions, Mini Size Version of MK808 Diagnostic, Vehicle Scan Tool for iPhone &amp; Android Devices</t>
        </is>
      </c>
      <c r="B100" s="35" t="inlineStr">
        <is>
          <t>B07Y8K6XZF</t>
        </is>
      </c>
      <c r="C100" s="35" t="inlineStr">
        <is>
          <t>Dongle</t>
        </is>
      </c>
      <c r="D100" s="359" t="n">
        <v>58.90209756097561</v>
      </c>
      <c r="E100" s="359" t="n">
        <v>76767.88</v>
      </c>
      <c r="F100" s="361" t="n">
        <v>12074.93</v>
      </c>
      <c r="G100" s="68" t="n">
        <v>1287</v>
      </c>
      <c r="H100" s="68" t="n">
        <v>205</v>
      </c>
      <c r="I100" s="68" t="n">
        <v>793</v>
      </c>
      <c r="J100" s="69" t="n">
        <v>4</v>
      </c>
      <c r="K100" s="69" t="inlineStr">
        <is>
          <t>https://amazon.com/dp/B07Y8K6XZF</t>
        </is>
      </c>
      <c r="L100" s="114">
        <f>HYPERLINK(Table1311[[#This Row],[Column1]])</f>
        <v/>
      </c>
    </row>
    <row r="101" ht="45" customHeight="1" s="314">
      <c r="A101" s="35" t="inlineStr">
        <is>
          <t>Autel MaxiSYS Ultra S2 Diagnostic Scanner, 6-in-1 VCMI2, Topology 3.0, AI-Powered Inspection, EV/HV System Tests, WiFi 6, 48+ Services, Motor Truspeed Repair, Multi-Point DVI, ECU Programming, FCA SGW</t>
        </is>
      </c>
      <c r="B101" s="35" t="inlineStr">
        <is>
          <t>B0F3X8ZWBN</t>
        </is>
      </c>
      <c r="C101" s="35" t="inlineStr">
        <is>
          <t>Tablet</t>
        </is>
      </c>
      <c r="D101" s="359" t="n">
        <v>5980.1</v>
      </c>
      <c r="E101" s="359" t="n">
        <v>270495.77</v>
      </c>
      <c r="F101" s="361" t="n">
        <v>11960.2</v>
      </c>
      <c r="G101" s="68" t="n">
        <v>46</v>
      </c>
      <c r="H101" s="68" t="n">
        <v>2</v>
      </c>
      <c r="I101" s="68" t="n">
        <v>5</v>
      </c>
      <c r="J101" s="69" t="n">
        <v>4.4</v>
      </c>
      <c r="K101" s="69" t="inlineStr">
        <is>
          <t>https://amazon.com/dp/B0F3X8ZWBN</t>
        </is>
      </c>
      <c r="L101" s="114">
        <f>HYPERLINK(Table1311[[#This Row],[Column1]])</f>
        <v/>
      </c>
    </row>
    <row r="102" ht="60" customHeight="1" s="314">
      <c r="A102" s="35" t="inlineStr">
        <is>
          <t>Autel Scanner MaxiPRO MP900TS, 2026 8in MP900-TS Top TPMS as MS906 Pro-TS, Up of MaxiSYS MS906 PRO MS906TS MK900TS, Advanced Function 40+ Service, Bidirectional Scan Tool, Aut0 Scan 2.0 CAN FD&amp;DOIP</t>
        </is>
      </c>
      <c r="B102" s="35" t="inlineStr">
        <is>
          <t>B08P1RBNHY</t>
        </is>
      </c>
      <c r="C102" s="35" t="inlineStr">
        <is>
          <t>Tablet</t>
        </is>
      </c>
      <c r="D102" s="359" t="n">
        <v>1082.259090909091</v>
      </c>
      <c r="E102" s="359" t="n">
        <v>109611.06</v>
      </c>
      <c r="F102" s="361" t="n">
        <v>11904.85</v>
      </c>
      <c r="G102" s="68" t="n">
        <v>99</v>
      </c>
      <c r="H102" s="68" t="n">
        <v>11</v>
      </c>
      <c r="I102" s="68" t="n">
        <v>113</v>
      </c>
      <c r="J102" s="69" t="n">
        <v>4.4</v>
      </c>
      <c r="K102" s="69" t="inlineStr">
        <is>
          <t>https://amazon.com/dp/B08P1RBNHY</t>
        </is>
      </c>
      <c r="L102" s="114">
        <f>HYPERLINK(Table1311[[#This Row],[Column1]])</f>
        <v/>
      </c>
    </row>
    <row r="103" ht="45" customHeight="1" s="314">
      <c r="A103" s="35" t="inlineStr">
        <is>
          <t>Autel MaxiSYS MS906 PRO2-TS Scanner: 2026 MS906Pro2-TS Up of MS906Pro-TS MK900TS MP900BT Kit MS908S MS906 PRO,Top TPMS Function&amp; ECU Coding, Bidirectional Tool, 36+ Service, Auto Scan2.0, CAN FD&amp;DoIP</t>
        </is>
      </c>
      <c r="B103" s="35" t="inlineStr">
        <is>
          <t>B0FN72T1LS</t>
        </is>
      </c>
      <c r="C103" s="35" t="inlineStr">
        <is>
          <t>Tablet</t>
        </is>
      </c>
      <c r="D103" s="359" t="n">
        <v>1690.201428571429</v>
      </c>
      <c r="E103" s="359" t="n">
        <v>160371.1992307692</v>
      </c>
      <c r="F103" s="361" t="n">
        <v>11831.41</v>
      </c>
      <c r="G103" s="68" t="n">
        <v>55</v>
      </c>
      <c r="H103" s="68" t="n">
        <v>7</v>
      </c>
      <c r="I103" s="68" t="n">
        <v>5</v>
      </c>
      <c r="J103" s="69" t="n">
        <v>5</v>
      </c>
      <c r="K103" s="69" t="inlineStr">
        <is>
          <t>https://amazon.com/dp/B0FN72T1LS</t>
        </is>
      </c>
      <c r="L103" s="114">
        <f>HYPERLINK(Table1311[[#This Row],[Column1]])</f>
        <v/>
      </c>
    </row>
    <row r="104" ht="45" customHeight="1" s="314">
      <c r="A104" s="35" t="inlineStr">
        <is>
          <t>Autel MaxiPRO MP900TS Scanner, 2026 8IN MP900-TS up of MS906 PRO MP900-BT MP900 MS906TS MK900TS, V2.0 DOIP CANFD, Full TPMS as MS906 Pro-TS, OE C0ding, 40+ Services, 3K+ Bidirectional Scan Tool, OS 11</t>
        </is>
      </c>
      <c r="B104" s="35" t="inlineStr">
        <is>
          <t>B08K72QDGQ</t>
        </is>
      </c>
      <c r="C104" s="35" t="inlineStr">
        <is>
          <t>Tablet</t>
        </is>
      </c>
      <c r="D104" s="359" t="n">
        <v>1064.168181818182</v>
      </c>
      <c r="E104" s="359" t="n">
        <v>182106.82</v>
      </c>
      <c r="F104" s="361" t="n">
        <v>11705.85</v>
      </c>
      <c r="G104" s="68" t="n">
        <v>166</v>
      </c>
      <c r="H104" s="68" t="n">
        <v>11</v>
      </c>
      <c r="I104" s="68" t="n">
        <v>78</v>
      </c>
      <c r="J104" s="69" t="n">
        <v>4.5</v>
      </c>
      <c r="K104" s="69" t="inlineStr">
        <is>
          <t>https://amazon.com/dp/B08K72QDGQ</t>
        </is>
      </c>
      <c r="L104" s="114">
        <f>HYPERLINK(Table1311[[#This Row],[Column1]])</f>
        <v/>
      </c>
    </row>
    <row r="105" ht="45" customHeight="1" s="314">
      <c r="A105" s="35" t="inlineStr">
        <is>
          <t>2026 Autel Scanner MaxiIM IM508S PRO, Plus Upgraded $569 PRO Bundle, Same as IM608 PRO 2, Bidirectional Scan Tool, 40+ Service, 3000+ Tests, OE All System Diagnostics, Auto Scan 2.0, FCA, OS 11.0</t>
        </is>
      </c>
      <c r="B105" s="35" t="inlineStr">
        <is>
          <t>B08DLGGXP6</t>
        </is>
      </c>
      <c r="C105" s="35" t="inlineStr">
        <is>
          <t>Tablet</t>
        </is>
      </c>
      <c r="D105" s="359" t="n">
        <v>1629.407142857143</v>
      </c>
      <c r="E105" s="359" t="n">
        <v>112981.6169230769</v>
      </c>
      <c r="F105" s="361" t="n">
        <v>11405.85</v>
      </c>
      <c r="G105" s="68" t="n">
        <v>63</v>
      </c>
      <c r="H105" s="68" t="n">
        <v>7</v>
      </c>
      <c r="I105" s="68" t="n">
        <v>36</v>
      </c>
      <c r="J105" s="69" t="n">
        <v>4.6</v>
      </c>
      <c r="K105" s="69" t="inlineStr">
        <is>
          <t>https://amazon.com/dp/B08DLGGXP6</t>
        </is>
      </c>
      <c r="L105" s="114">
        <f>HYPERLINK(Table1311[[#This Row],[Column1]])</f>
        <v/>
      </c>
    </row>
    <row r="106" ht="60" customHeight="1" s="314">
      <c r="A106" s="35" t="inlineStr">
        <is>
          <t>Autel MaxiIM IM508S Automotive Diagnostic Scan Tool, 2026 Full System Diagnostic, 3000+ Bidirectional Tests, 40+ Resets, Android 11, 4-Core, 4/64G, FCA AutoAuth, Upgraded of MK808S MK808 MK900</t>
        </is>
      </c>
      <c r="B106" s="35" t="inlineStr">
        <is>
          <t>B0DFH2ZX33</t>
        </is>
      </c>
      <c r="C106" s="35" t="inlineStr">
        <is>
          <t>Tablet</t>
        </is>
      </c>
      <c r="D106" s="359" t="n">
        <v>1261.093333333333</v>
      </c>
      <c r="E106" s="359" t="n">
        <v>160278.18</v>
      </c>
      <c r="F106" s="361" t="n">
        <v>11349.84</v>
      </c>
      <c r="G106" s="68" t="n">
        <v>132</v>
      </c>
      <c r="H106" s="68" t="n">
        <v>9</v>
      </c>
      <c r="I106" s="68" t="n">
        <v>126</v>
      </c>
      <c r="J106" s="69" t="n">
        <v>4.6</v>
      </c>
      <c r="K106" s="69" t="inlineStr">
        <is>
          <t>https://amazon.com/dp/B0DFH2ZX33</t>
        </is>
      </c>
      <c r="L106" s="114">
        <f>HYPERLINK(Table1311[[#This Row],[Column1]])</f>
        <v/>
      </c>
    </row>
    <row r="107" ht="45" customHeight="1" s="314">
      <c r="A107" s="35" t="inlineStr">
        <is>
          <t>Autel Scanner Maxicom MK908 Pro II 2026, J2534 Diagnostic Tool As MS908S PRO II Elite 2 Pro MSUltra w/AutoScan 2.0, Up of MS906MAX/MS906 PRO, 3000+ Active Test 38+ Services OS10.0 4/128G</t>
        </is>
      </c>
      <c r="B107" s="35" t="inlineStr">
        <is>
          <t>B07MV26KVM</t>
        </is>
      </c>
      <c r="C107" s="35" t="inlineStr">
        <is>
          <t>Tablet</t>
        </is>
      </c>
      <c r="D107" s="359" t="n">
        <v>1885.476666666667</v>
      </c>
      <c r="E107" s="359" t="n">
        <v>220170.58</v>
      </c>
      <c r="F107" s="361" t="n">
        <v>11312.86</v>
      </c>
      <c r="G107" s="68" t="n">
        <v>112</v>
      </c>
      <c r="H107" s="68" t="n">
        <v>6</v>
      </c>
      <c r="I107" s="68" t="n">
        <v>71</v>
      </c>
      <c r="J107" s="69" t="n">
        <v>4.2</v>
      </c>
      <c r="K107" s="69" t="inlineStr">
        <is>
          <t>https://amazon.com/dp/B07MV26KVM</t>
        </is>
      </c>
      <c r="L107" s="114">
        <f>HYPERLINK(Table1311[[#This Row],[Column1]])</f>
        <v/>
      </c>
    </row>
    <row r="108" ht="60" customHeight="1" s="314">
      <c r="A108" s="35" t="inlineStr">
        <is>
          <t>Autel Maxisys Elite 2 Pro Scanner, 2026 2-Year Free Update Elite II Pro,Same as MS Ultra MS908S PRO II, Motor TruSpeed Repair, 40+ Hot Services 3K+ Active Test, CANFD &amp;DoIP</t>
        </is>
      </c>
      <c r="B108" s="35" t="inlineStr">
        <is>
          <t>B0761SHWQC</t>
        </is>
      </c>
      <c r="C108" s="35" t="inlineStr">
        <is>
          <t>Tablet</t>
        </is>
      </c>
      <c r="D108" s="359" t="n">
        <v>2208.582</v>
      </c>
      <c r="E108" s="359" t="n">
        <v>113943.44</v>
      </c>
      <c r="F108" s="361" t="n">
        <v>11042.91</v>
      </c>
      <c r="G108" s="68" t="n">
        <v>50</v>
      </c>
      <c r="H108" s="68" t="n">
        <v>5</v>
      </c>
      <c r="I108" s="68" t="n">
        <v>28</v>
      </c>
      <c r="J108" s="69" t="n">
        <v>4.5</v>
      </c>
      <c r="K108" s="69" t="inlineStr">
        <is>
          <t>https://amazon.com/dp/B0761SHWQC</t>
        </is>
      </c>
      <c r="L108" s="114">
        <f>HYPERLINK(Table1311[[#This Row],[Column1]])</f>
        <v/>
      </c>
    </row>
    <row r="109" ht="60" customHeight="1" s="314">
      <c r="A109" s="35" t="inlineStr">
        <is>
          <t>Autel MaxiPRO MP900-BT Scanner: 2026 MP900BT Same as MS906 PRO MS906 MAX w/OE C0ding, 3000+ Active Test, 40+ Reset, Bidirectional Scan Tool Up of MP900 MP900Z-BT MP808BT PRO MK900BT MK900, DOIP&amp;CAN FD</t>
        </is>
      </c>
      <c r="B109" s="35" t="inlineStr">
        <is>
          <t>B07F4H3WZC</t>
        </is>
      </c>
      <c r="C109" s="35" t="inlineStr">
        <is>
          <t>Tablet</t>
        </is>
      </c>
      <c r="D109" s="359" t="n">
        <v>911.9241666666668</v>
      </c>
      <c r="E109" s="359" t="n">
        <v>212919.81</v>
      </c>
      <c r="F109" s="361" t="n">
        <v>10943.09</v>
      </c>
      <c r="G109" s="68" t="n">
        <v>237</v>
      </c>
      <c r="H109" s="68" t="n">
        <v>12</v>
      </c>
      <c r="I109" s="68" t="n">
        <v>354</v>
      </c>
      <c r="J109" s="69" t="n">
        <v>4.6</v>
      </c>
      <c r="K109" s="69" t="inlineStr">
        <is>
          <t>https://amazon.com/dp/B07F4H3WZC</t>
        </is>
      </c>
      <c r="L109" s="114">
        <f>HYPERLINK(Table1311[[#This Row],[Column1]])</f>
        <v/>
      </c>
    </row>
    <row r="110" ht="45" customHeight="1" s="314">
      <c r="A110" s="35" t="inlineStr">
        <is>
          <t>Autel MaxiCheck MX900 OBD2 Scanner, Same as MaxiCOM MK900 MK900BT, Bidirectional Scan Tool, All System Diagnose for Cars, Up of MK808 MX808, 40+ Services, 3000+ Active Tests, CAN FD/DoIP, FCA</t>
        </is>
      </c>
      <c r="B110" s="35" t="inlineStr">
        <is>
          <t>B0C65KF99Q</t>
        </is>
      </c>
      <c r="C110" s="35" t="inlineStr">
        <is>
          <t>Tablet</t>
        </is>
      </c>
      <c r="D110" s="359" t="n">
        <v>558.6278947368421</v>
      </c>
      <c r="E110" s="359" t="n">
        <v>180904.99</v>
      </c>
      <c r="F110" s="361" t="n">
        <v>10613.93</v>
      </c>
      <c r="G110" s="68" t="n">
        <v>327</v>
      </c>
      <c r="H110" s="68" t="n">
        <v>19</v>
      </c>
      <c r="I110" s="68" t="n">
        <v>139</v>
      </c>
      <c r="J110" s="69" t="n">
        <v>4.5</v>
      </c>
      <c r="K110" s="69" t="inlineStr">
        <is>
          <t>https://amazon.com/dp/B0C65KF99Q</t>
        </is>
      </c>
      <c r="L110" s="114">
        <f>HYPERLINK(Table1311[[#This Row],[Column1]])</f>
        <v/>
      </c>
    </row>
    <row r="111" ht="45" customHeight="1" s="314">
      <c r="A111" s="35" t="inlineStr">
        <is>
          <t>Autel Scanner MaxiSys Elite 2 PRO, 2026 Elite II PRO 2-Year Update $2590, ECU Functions as Ultra MS919 MS909, Up of MK908P, Bidirectional Diagnostic Scan Tool, Intelligent Motor, 40+ Reset, CANFD DoIP</t>
        </is>
      </c>
      <c r="B111" s="35" t="inlineStr">
        <is>
          <t>B09YGZRW51</t>
        </is>
      </c>
      <c r="C111" s="35" t="inlineStr">
        <is>
          <t>Tablet</t>
        </is>
      </c>
      <c r="D111" s="359" t="n">
        <v>2559.28</v>
      </c>
      <c r="E111" s="359" t="n">
        <v>157036.7792307692</v>
      </c>
      <c r="F111" s="361" t="n">
        <v>10237.12</v>
      </c>
      <c r="G111" s="68" t="n">
        <v>62</v>
      </c>
      <c r="H111" s="68" t="n">
        <v>4</v>
      </c>
      <c r="I111" s="68" t="n">
        <v>12</v>
      </c>
      <c r="J111" s="69" t="n">
        <v>4.6</v>
      </c>
      <c r="K111" s="69" t="inlineStr">
        <is>
          <t>https://amazon.com/dp/B09YGZRW51</t>
        </is>
      </c>
      <c r="L111" s="114">
        <f>HYPERLINK(Table1311[[#This Row],[Column1]])</f>
        <v/>
      </c>
    </row>
    <row r="112" ht="60" customHeight="1" s="314">
      <c r="A112" s="35" t="inlineStr">
        <is>
          <t>Autel MaxiSys MS906MAX OBD2 Scanner, Way Better Than MS906 Pro, 2026 MS906 MAX Up of MS906S MS906BT MS908, ECU Coding, 3000+ Active Test, 40+ Service, All System Diagnostic, CAN FD/DoIP, AutoScan 2.0</t>
        </is>
      </c>
      <c r="B112" s="35" t="inlineStr">
        <is>
          <t>B0DRG4YXXJ</t>
        </is>
      </c>
      <c r="C112" s="35" t="inlineStr">
        <is>
          <t>Tablet</t>
        </is>
      </c>
      <c r="D112" s="359" t="n">
        <v>1685.475</v>
      </c>
      <c r="E112" s="359" t="n">
        <v>141515.55</v>
      </c>
      <c r="F112" s="361" t="n">
        <v>10112.85</v>
      </c>
      <c r="G112" s="68" t="n">
        <v>97</v>
      </c>
      <c r="H112" s="68" t="n">
        <v>6</v>
      </c>
      <c r="I112" s="68" t="n">
        <v>9</v>
      </c>
      <c r="J112" s="69" t="n">
        <v>4.7</v>
      </c>
      <c r="K112" s="69" t="inlineStr">
        <is>
          <t>https://amazon.com/dp/B0DRG4YXXJ</t>
        </is>
      </c>
      <c r="L112" s="114">
        <f>HYPERLINK(Table1311[[#This Row],[Column1]])</f>
        <v/>
      </c>
    </row>
    <row r="113" ht="45" customHeight="1" s="314">
      <c r="A113" s="35" t="inlineStr">
        <is>
          <t>Autel MaxiTPMS TS508WF TPMS Programming Tool, WiFi Relearn &amp; Reset for Tire Pressure Sensors, Diagnose, Activate &amp; Program MX-Sensors (315/433MHz), OBD2 Scanner, Free Lifetime Updates</t>
        </is>
      </c>
      <c r="B113" s="35" t="inlineStr">
        <is>
          <t>B0DGQ5N9K2</t>
        </is>
      </c>
      <c r="C113" s="35" t="inlineStr">
        <is>
          <t>Handheld</t>
        </is>
      </c>
      <c r="D113" s="359" t="n">
        <v>265.1262162162162</v>
      </c>
      <c r="E113" s="359" t="n">
        <v>65916.33</v>
      </c>
      <c r="F113" s="361" t="n">
        <v>9809.67</v>
      </c>
      <c r="G113" s="68" t="n">
        <v>249</v>
      </c>
      <c r="H113" s="68" t="n">
        <v>37</v>
      </c>
      <c r="I113" s="68" t="n">
        <v>11</v>
      </c>
      <c r="J113" s="69" t="n">
        <v>4.8</v>
      </c>
      <c r="K113" s="69" t="inlineStr">
        <is>
          <t>https://amazon.com/dp/B0DGQ5N9K2</t>
        </is>
      </c>
      <c r="L113" s="114">
        <f>HYPERLINK(Table1311[[#This Row],[Column1]])</f>
        <v/>
      </c>
    </row>
    <row r="114" ht="45" customHeight="1" s="314">
      <c r="A114" s="35" t="inlineStr">
        <is>
          <t>Autel MaxiTPMS TS408S PRO TPMS Programming Tool: 2026 Ver. Same as TS501 Pro 508WF MX808TS MK808TS MP900TS Relearn Tool, Activate Relearn 99% Sensors, Program Autel MX-Sensors, TPMS Reset/Diagnosis</t>
        </is>
      </c>
      <c r="B114" s="35" t="inlineStr">
        <is>
          <t>B07VZFHJ6H</t>
        </is>
      </c>
      <c r="C114" s="35" t="inlineStr">
        <is>
          <t>Handheld</t>
        </is>
      </c>
      <c r="D114" s="359" t="n">
        <v>188.0476923076923</v>
      </c>
      <c r="E114" s="359" t="n">
        <v>118181.4</v>
      </c>
      <c r="F114" s="361" t="n">
        <v>9778.48</v>
      </c>
      <c r="G114" s="68" t="n">
        <v>624</v>
      </c>
      <c r="H114" s="68" t="n">
        <v>52</v>
      </c>
      <c r="I114" s="68" t="n">
        <v>981</v>
      </c>
      <c r="J114" s="69" t="n">
        <v>4.3</v>
      </c>
      <c r="K114" s="69" t="inlineStr">
        <is>
          <t>https://amazon.com/dp/B07VZFHJ6H</t>
        </is>
      </c>
      <c r="L114" s="114">
        <f>HYPERLINK(Table1311[[#This Row],[Column1]])</f>
        <v/>
      </c>
    </row>
    <row r="115" ht="45" customHeight="1" s="314">
      <c r="A115" s="35" t="inlineStr">
        <is>
          <t>Autel Scanner MaxiCOM MK906S PRO2-TS, 2026 Multilingual of MS906 PRO2-TS, 2.0 Up of MS906 PRO TS MK906 PRO-TS MP900TS MS906PRO MS906MAX, TPMS 2.0, 3K+ Bidirectional Diagnostic, 40+ Reset, CAN FD DoIP</t>
        </is>
      </c>
      <c r="B115" s="35" t="inlineStr">
        <is>
          <t>B09YM9HHGL</t>
        </is>
      </c>
      <c r="C115" s="35" t="inlineStr">
        <is>
          <t>Tablet</t>
        </is>
      </c>
      <c r="D115" s="359" t="n">
        <v>1599.138333333333</v>
      </c>
      <c r="E115" s="359" t="n">
        <v>81613.35000000001</v>
      </c>
      <c r="F115" s="361" t="n">
        <v>9594.83</v>
      </c>
      <c r="G115" s="68" t="n">
        <v>51</v>
      </c>
      <c r="H115" s="68" t="n">
        <v>6</v>
      </c>
      <c r="I115" s="68" t="n">
        <v>11</v>
      </c>
      <c r="J115" s="69" t="n">
        <v>4.5</v>
      </c>
      <c r="K115" s="69" t="inlineStr">
        <is>
          <t>https://amazon.com/dp/B09YM9HHGL</t>
        </is>
      </c>
      <c r="L115" s="114">
        <f>HYPERLINK(Table1311[[#This Row],[Column1]])</f>
        <v/>
      </c>
    </row>
    <row r="116" ht="45" customHeight="1" s="314">
      <c r="A116" s="35" t="inlineStr">
        <is>
          <t>Autel MaxiTPMS TS508WF TPMS Programming Tool, 2026 WiFi Ver. of TS601 TS508 TS501 TS408, Activate/Relearn TPMS Sensors, Program MX Sensor, TPMS Diagnosis, Read/Clear TPMS Code, Free Lifetime Update</t>
        </is>
      </c>
      <c r="B116" s="35" t="inlineStr">
        <is>
          <t>B08FHXKV2M</t>
        </is>
      </c>
      <c r="C116" s="35" t="inlineStr">
        <is>
          <t>Handheld</t>
        </is>
      </c>
      <c r="D116" s="359" t="n">
        <v>262.2111428571428</v>
      </c>
      <c r="E116" s="359" t="n">
        <v>96635.19</v>
      </c>
      <c r="F116" s="361" t="n">
        <v>9177.389999999999</v>
      </c>
      <c r="G116" s="68" t="n">
        <v>369</v>
      </c>
      <c r="H116" s="68" t="n">
        <v>35</v>
      </c>
      <c r="I116" s="68" t="n">
        <v>137</v>
      </c>
      <c r="J116" s="69" t="n">
        <v>4.5</v>
      </c>
      <c r="K116" s="69" t="inlineStr">
        <is>
          <t>https://amazon.com/dp/B08FHXKV2M</t>
        </is>
      </c>
      <c r="L116" s="114">
        <f>HYPERLINK(Table1311[[#This Row],[Column1]])</f>
        <v/>
      </c>
    </row>
    <row r="117" ht="45" customHeight="1" s="314">
      <c r="A117" s="35" t="inlineStr">
        <is>
          <t>Autel MaxiCom Ultra Lite Scanner, 2 Years Free Updates, Same as MaxiSys Ultra, 2026 Up of MS919 MS909 MS906 Elite II Pro, Topology 2.0, Motor TruSpeed Repair, 40+ Service, Repair Tips, FCA SGW,</t>
        </is>
      </c>
      <c r="B117" s="35" t="inlineStr">
        <is>
          <t>B0FJLZ19KF</t>
        </is>
      </c>
      <c r="C117" s="35" t="inlineStr">
        <is>
          <t>Tablet</t>
        </is>
      </c>
      <c r="D117" s="359" t="n">
        <v>3055.933333333333</v>
      </c>
      <c r="E117" s="359" t="n">
        <v>134026.323076923</v>
      </c>
      <c r="F117" s="361" t="n">
        <v>9167.799999999999</v>
      </c>
      <c r="G117" s="68" t="n">
        <v>32</v>
      </c>
      <c r="H117" s="68" t="n">
        <v>3</v>
      </c>
      <c r="I117" s="68" t="n">
        <v>8</v>
      </c>
      <c r="J117" s="69" t="n">
        <v>5</v>
      </c>
      <c r="K117" s="69" t="inlineStr">
        <is>
          <t>https://amazon.com/dp/B0FJLZ19KF</t>
        </is>
      </c>
      <c r="L117" s="114">
        <f>HYPERLINK(Table1311[[#This Row],[Column1]])</f>
        <v/>
      </c>
    </row>
    <row r="118" ht="45" customHeight="1" s="314">
      <c r="A118" s="35" t="inlineStr">
        <is>
          <t>2026 Autel MaxiCOM Ultra Lite Intelligent Scanner, 2 Years Free Update, Up of MS919 Elite II Pro Same as MaxiSys Ultra, Motor TruSpeed, Topology 2.0, 40+ Service, 3000+ Active Test, FCA SGW</t>
        </is>
      </c>
      <c r="B118" s="35" t="inlineStr">
        <is>
          <t>B0GVXCG3S3</t>
        </is>
      </c>
      <c r="C118" s="35" t="inlineStr">
        <is>
          <t>Tablet</t>
        </is>
      </c>
      <c r="D118" s="359" t="n">
        <v>2969</v>
      </c>
      <c r="E118" s="359" t="n">
        <v>107569.1538461539</v>
      </c>
      <c r="F118" s="361" t="n">
        <v>8907</v>
      </c>
      <c r="G118" s="68" t="n">
        <v>3</v>
      </c>
      <c r="H118" s="68" t="n">
        <v>3</v>
      </c>
      <c r="I118" s="68" t="n"/>
      <c r="J118" s="69" t="n"/>
      <c r="K118" s="69" t="inlineStr">
        <is>
          <t>https://amazon.com/dp/B0GVXCG3S3</t>
        </is>
      </c>
      <c r="L118" s="114">
        <f>HYPERLINK(Table1311[[#This Row],[Column1]])</f>
        <v/>
      </c>
    </row>
    <row r="119" ht="45" customHeight="1" s="314">
      <c r="A119" s="35" t="inlineStr">
        <is>
          <t>Autel MaxiPRO MP900TS Scanner: 2026 8in MP900-TS up of MaxiSYS MS906 PRO MS906TS MP900BT MK900-TS, Full TPMS as MS906 Pro-TS, Car Bidirectional Scan Tool, 40+ Service, All System, CAN FD&amp;DOIP, OS 11.0</t>
        </is>
      </c>
      <c r="B119" s="35" t="inlineStr">
        <is>
          <t>B073CS2RLP</t>
        </is>
      </c>
      <c r="C119" s="35" t="inlineStr">
        <is>
          <t>Tablet</t>
        </is>
      </c>
      <c r="D119" s="359" t="n">
        <v>1067.65625</v>
      </c>
      <c r="E119" s="359" t="n">
        <v>190654.32</v>
      </c>
      <c r="F119" s="361" t="n">
        <v>8541.25</v>
      </c>
      <c r="G119" s="68" t="n">
        <v>173</v>
      </c>
      <c r="H119" s="68" t="n">
        <v>8</v>
      </c>
      <c r="I119" s="68" t="n">
        <v>76</v>
      </c>
      <c r="J119" s="69" t="n">
        <v>4.7</v>
      </c>
      <c r="K119" s="69" t="inlineStr">
        <is>
          <t>https://amazon.com/dp/B073CS2RLP</t>
        </is>
      </c>
      <c r="L119" s="114">
        <f>HYPERLINK(Table1311[[#This Row],[Column1]])</f>
        <v/>
      </c>
    </row>
    <row r="120" ht="60" customHeight="1" s="314">
      <c r="A120" s="35" t="inlineStr">
        <is>
          <t>Autel MaxiSYS MS906 PRO-TS Scanner, 2026 MS906 Pro TS Up of MS906 MAX MS906Pro MP900TS MS906TS MP900BT, OE TPMS &amp; Code, Bidirectional Scan Tool, 3000+ Test, 36+ Service, DOIP&amp;CAN FD, FCA</t>
        </is>
      </c>
      <c r="B120" s="35" t="inlineStr">
        <is>
          <t>B008PTN992</t>
        </is>
      </c>
      <c r="C120" s="35" t="inlineStr">
        <is>
          <t>Handheld</t>
        </is>
      </c>
      <c r="D120" s="359" t="n">
        <v>1681.67</v>
      </c>
      <c r="E120" s="359" t="n">
        <v>110950.19</v>
      </c>
      <c r="F120" s="361" t="n">
        <v>8408.35</v>
      </c>
      <c r="G120" s="68" t="n">
        <v>70</v>
      </c>
      <c r="H120" s="68" t="n">
        <v>5</v>
      </c>
      <c r="I120" s="68" t="n">
        <v>122</v>
      </c>
      <c r="J120" s="69" t="n">
        <v>4.6</v>
      </c>
      <c r="K120" s="69" t="inlineStr">
        <is>
          <t>https://amazon.com/dp/B008PTN992</t>
        </is>
      </c>
      <c r="L120" s="114">
        <f>HYPERLINK(Table1311[[#This Row],[Column1]])</f>
        <v/>
      </c>
    </row>
    <row r="121" ht="45" customHeight="1" s="314">
      <c r="A121" s="35" t="inlineStr">
        <is>
          <t>Autel MaxiSYS VCI100 Wireless Diagnostic Interface, 2026 MaxiVCI VCI V100 Car Communication Interface, OBD2 Connector Adapter Dongle, Compatible for Autel Scanner MS906BT MK906BT MS906TS</t>
        </is>
      </c>
      <c r="B121" s="35" t="inlineStr">
        <is>
          <t>B0BL79T62P</t>
        </is>
      </c>
      <c r="C121" s="35" t="inlineStr">
        <is>
          <t>Dongle</t>
        </is>
      </c>
      <c r="D121" s="359" t="n">
        <v>199.9826190476191</v>
      </c>
      <c r="E121" s="359" t="n">
        <v>75507.39</v>
      </c>
      <c r="F121" s="361" t="n">
        <v>8399.27</v>
      </c>
      <c r="G121" s="68" t="n">
        <v>388</v>
      </c>
      <c r="H121" s="68" t="n">
        <v>42</v>
      </c>
      <c r="I121" s="68" t="n">
        <v>27</v>
      </c>
      <c r="J121" s="69" t="n">
        <v>4.6</v>
      </c>
      <c r="K121" s="69" t="inlineStr">
        <is>
          <t>https://amazon.com/dp/B0BL79T62P</t>
        </is>
      </c>
      <c r="L121" s="114">
        <f>HYPERLINK(Table1311[[#This Row],[Column1]])</f>
        <v/>
      </c>
    </row>
    <row r="122" ht="60" customHeight="1" s="314">
      <c r="A122" s="35" t="inlineStr">
        <is>
          <t>Autel MaxiSYS MS906 PRO-TS Scanner: 2026 MS906Pro TS Up of MP900TS MK900TS MP900BT Kit MS906 MAX, Full TPMS &amp; OE C0ding, Bidirectional Tool, 3000+ Active Test, 36+ Service, CAN FD&amp;DoIP, Auto Scan 2.0</t>
        </is>
      </c>
      <c r="B122" s="35" t="inlineStr">
        <is>
          <t>B073ZMGT2R</t>
        </is>
      </c>
      <c r="C122" s="35" t="inlineStr">
        <is>
          <t>Tablet</t>
        </is>
      </c>
      <c r="D122" s="359" t="n">
        <v>1651.378</v>
      </c>
      <c r="E122" s="359" t="n">
        <v>89065.42923076922</v>
      </c>
      <c r="F122" s="361" t="n">
        <v>8256.889999999999</v>
      </c>
      <c r="G122" s="68" t="n">
        <v>47</v>
      </c>
      <c r="H122" s="68" t="n">
        <v>5</v>
      </c>
      <c r="I122" s="68" t="n">
        <v>48</v>
      </c>
      <c r="J122" s="69" t="n">
        <v>4.8</v>
      </c>
      <c r="K122" s="69" t="inlineStr">
        <is>
          <t>https://amazon.com/dp/B073ZMGT2R</t>
        </is>
      </c>
      <c r="L122" s="114">
        <f>HYPERLINK(Table1311[[#This Row],[Column1]])</f>
        <v/>
      </c>
    </row>
    <row r="123" ht="60" customHeight="1" s="314">
      <c r="A123" s="35" t="inlineStr">
        <is>
          <t>Autel MaxiVCI V200 VCI200 Wireless Dongle: 2026 VCI 200 OBD2 Connector 2.0 of VCI100 V100 Adapter Car Communication Interface for MaxiSys MS906 Pro MS906 Pro-TS S906 MAX KM100 BT608 BT609 ITS600 etc.</t>
        </is>
      </c>
      <c r="B123" s="35" t="inlineStr">
        <is>
          <t>B0FHPHLR77</t>
        </is>
      </c>
      <c r="C123" s="35" t="inlineStr">
        <is>
          <t>Dongle</t>
        </is>
      </c>
      <c r="D123" s="359" t="n">
        <v>216.9705263157894</v>
      </c>
      <c r="E123" s="359" t="n">
        <v>72968.26384615386</v>
      </c>
      <c r="F123" s="361" t="n">
        <v>8244.879999999999</v>
      </c>
      <c r="G123" s="68" t="n">
        <v>193</v>
      </c>
      <c r="H123" s="68" t="n">
        <v>38</v>
      </c>
      <c r="I123" s="68" t="n">
        <v>9</v>
      </c>
      <c r="J123" s="69" t="n">
        <v>4.8</v>
      </c>
      <c r="K123" s="69" t="inlineStr">
        <is>
          <t>https://amazon.com/dp/B0FHPHLR77</t>
        </is>
      </c>
      <c r="L123" s="114">
        <f>HYPERLINK(Table1311[[#This Row],[Column1]])</f>
        <v/>
      </c>
    </row>
    <row r="124" ht="45" customHeight="1" s="314">
      <c r="A124" s="35" t="inlineStr">
        <is>
          <t>Autel Scanner MK906 PRO2-TS with V2.0 Full TPMS &amp; ECU Coding, Bi-Directional Diagnostic Scan Tool, Upgrade of MS906 PRO-TS MK906 PRO-TS MP900TS MS906 MAX, 40+ Resets, 3000+ Active Tests, CAN FD &amp; DoIP</t>
        </is>
      </c>
      <c r="B124" s="35" t="inlineStr">
        <is>
          <t>B0GCN51PM5</t>
        </is>
      </c>
      <c r="C124" s="35" t="inlineStr">
        <is>
          <t>Tablet</t>
        </is>
      </c>
      <c r="D124" s="359" t="n">
        <v>1626.222</v>
      </c>
      <c r="E124" s="359" t="n">
        <v>88434.12999999999</v>
      </c>
      <c r="F124" s="361" t="n">
        <v>8131.11</v>
      </c>
      <c r="G124" s="68" t="n">
        <v>8</v>
      </c>
      <c r="H124" s="68" t="n">
        <v>5</v>
      </c>
      <c r="I124" s="68" t="n">
        <v>1</v>
      </c>
      <c r="J124" s="69" t="n">
        <v>5</v>
      </c>
      <c r="K124" s="69" t="inlineStr">
        <is>
          <t>https://amazon.com/dp/B0GCN51PM5</t>
        </is>
      </c>
      <c r="L124" s="114">
        <f>HYPERLINK(Table1311[[#This Row],[Column1]])</f>
        <v/>
      </c>
    </row>
    <row r="125" ht="60" customHeight="1" s="314">
      <c r="A125" s="35" t="inlineStr">
        <is>
          <t>Autel MaxiTPMS TS508WF TPMS Programming Tool Kit, 2026 WiFi Tire Sensor Relearn Activation Tool, Up of TS508 TS601 TS501 PRO, Clear TPMS DTCs, 4PCS 315+433MHz MX Sensors ($120), Lifetime Free Updates</t>
        </is>
      </c>
      <c r="B125" s="35" t="inlineStr">
        <is>
          <t>B0788GG1PZ</t>
        </is>
      </c>
      <c r="C125" s="35" t="inlineStr">
        <is>
          <t>Handheld</t>
        </is>
      </c>
      <c r="D125" s="359" t="n">
        <v>312.0953846153846</v>
      </c>
      <c r="E125" s="359" t="n">
        <v>126698.14</v>
      </c>
      <c r="F125" s="361" t="n">
        <v>8114.48</v>
      </c>
      <c r="G125" s="68" t="n">
        <v>409</v>
      </c>
      <c r="H125" s="68" t="n">
        <v>26</v>
      </c>
      <c r="I125" s="68" t="n">
        <v>222</v>
      </c>
      <c r="J125" s="69" t="n">
        <v>4.5</v>
      </c>
      <c r="K125" s="69" t="inlineStr">
        <is>
          <t>https://amazon.com/dp/B0788GG1PZ</t>
        </is>
      </c>
      <c r="L125" s="114">
        <f>HYPERLINK(Table1311[[#This Row],[Column1]])</f>
        <v/>
      </c>
    </row>
    <row r="126" ht="60" customHeight="1" s="314">
      <c r="A126" s="35" t="inlineStr">
        <is>
          <t>Autel AL539B OBD2 Scanner, 3-in-1 Code Reader Battery Tester Avometer for 12 Volts Batteries, Full OBDII Diagnosis and Circuit Starting &amp; Charging Systems Test, All Enhanced Ver. of AL519 AL539</t>
        </is>
      </c>
      <c r="B126" s="35" t="inlineStr">
        <is>
          <t>B079GXRV1M</t>
        </is>
      </c>
      <c r="C126" s="35" t="inlineStr">
        <is>
          <t>Handheld</t>
        </is>
      </c>
      <c r="D126" s="359" t="n">
        <v>88.13978260869565</v>
      </c>
      <c r="E126" s="359" t="n">
        <v>134921.95</v>
      </c>
      <c r="F126" s="361" t="n">
        <v>8108.86</v>
      </c>
      <c r="G126" s="68" t="n">
        <v>1576</v>
      </c>
      <c r="H126" s="68" t="n">
        <v>92</v>
      </c>
      <c r="I126" s="68" t="n">
        <v>1448</v>
      </c>
      <c r="J126" s="69" t="n">
        <v>4.6</v>
      </c>
      <c r="K126" s="69" t="inlineStr">
        <is>
          <t>https://amazon.com/dp/B079GXRV1M</t>
        </is>
      </c>
      <c r="L126" s="114">
        <f>HYPERLINK(Table1311[[#This Row],[Column1]])</f>
        <v/>
      </c>
    </row>
    <row r="127" ht="45" customHeight="1" s="314">
      <c r="A127" s="35" t="inlineStr">
        <is>
          <t>Autel MaxiSYS MS906 PRO Scanner, 2026 MS906PRO Same as MS906MAX, V2.0 Upgraded of MS908S Elite 2 MS906BT MP900BT, DoIP CAN FD, 36+ Service, Bidirectional 3000+ Active Test, VAG Guided</t>
        </is>
      </c>
      <c r="B127" s="35" t="inlineStr">
        <is>
          <t>B07GWHXWBQ</t>
        </is>
      </c>
      <c r="C127" s="35" t="inlineStr">
        <is>
          <t>Other</t>
        </is>
      </c>
      <c r="D127" s="359" t="n">
        <v>1589.736</v>
      </c>
      <c r="E127" s="359" t="n">
        <v>72117.50153846154</v>
      </c>
      <c r="F127" s="361" t="n">
        <v>7948.68</v>
      </c>
      <c r="G127" s="68" t="n">
        <v>14</v>
      </c>
      <c r="H127" s="68" t="n">
        <v>5</v>
      </c>
      <c r="I127" s="68" t="n">
        <v>39</v>
      </c>
      <c r="J127" s="69" t="n">
        <v>4.6</v>
      </c>
      <c r="K127" s="69" t="inlineStr">
        <is>
          <t>https://amazon.com/dp/B07GWHXWBQ</t>
        </is>
      </c>
      <c r="L127" s="114">
        <f>HYPERLINK(Table1311[[#This Row],[Column1]])</f>
        <v/>
      </c>
    </row>
    <row r="128" ht="45" customHeight="1" s="314">
      <c r="A128" s="35" t="inlineStr">
        <is>
          <t>Autel MaxilM KM100 OBD2 Diagnostic Scanner, 2026 Lite of IM508S IM608 PRO II with Lifetime Free Update, Compatible with 95% Cars, VCI V200 Wireless Diagnostic, Scan Tool for Home Mechanics &amp; DIYers</t>
        </is>
      </c>
      <c r="B128" s="35" t="inlineStr">
        <is>
          <t>B0FX9VGDRW</t>
        </is>
      </c>
      <c r="C128" s="35" t="inlineStr">
        <is>
          <t>Tablet</t>
        </is>
      </c>
      <c r="D128" s="359" t="n">
        <v>523.0773333333333</v>
      </c>
      <c r="E128" s="359" t="n">
        <v>81701.98307692308</v>
      </c>
      <c r="F128" s="361" t="n">
        <v>7846.16</v>
      </c>
      <c r="G128" s="68" t="n">
        <v>32</v>
      </c>
      <c r="H128" s="68" t="n">
        <v>15</v>
      </c>
      <c r="I128" s="68" t="n">
        <v>5</v>
      </c>
      <c r="J128" s="69" t="n">
        <v>4.2</v>
      </c>
      <c r="K128" s="69" t="inlineStr">
        <is>
          <t>https://amazon.com/dp/B0FX9VGDRW</t>
        </is>
      </c>
      <c r="L128" s="114">
        <f>HYPERLINK(Table1311[[#This Row],[Column1]])</f>
        <v/>
      </c>
    </row>
    <row r="129" ht="45" customHeight="1" s="314">
      <c r="A129" s="35" t="inlineStr">
        <is>
          <t>Autel G-BOX3 Accessory Tool Adapter, 2026 Upgraded of Gox2 G-BOX2, Gbox3 Adapter for Mercedes-Benz/for BMW, Works W/MaxiIM IM508(S) + XP400, IM608 PRO II, IM608S II, IM608 PRO 2 Scanner</t>
        </is>
      </c>
      <c r="B129" s="35" t="inlineStr">
        <is>
          <t>B089GJ4NTX</t>
        </is>
      </c>
      <c r="C129" s="35" t="inlineStr">
        <is>
          <t>Key</t>
        </is>
      </c>
      <c r="D129" s="359" t="n">
        <v>129.7426666666667</v>
      </c>
      <c r="E129" s="359" t="n">
        <v>91044.90999999999</v>
      </c>
      <c r="F129" s="361" t="n">
        <v>7784.56</v>
      </c>
      <c r="G129" s="68" t="n">
        <v>705</v>
      </c>
      <c r="H129" s="68" t="n">
        <v>60</v>
      </c>
      <c r="I129" s="68" t="n">
        <v>98</v>
      </c>
      <c r="J129" s="69" t="n">
        <v>4.6</v>
      </c>
      <c r="K129" s="69" t="inlineStr">
        <is>
          <t>https://amazon.com/dp/B089GJ4NTX</t>
        </is>
      </c>
      <c r="L129" s="114">
        <f>HYPERLINK(Table1311[[#This Row],[Column1]])</f>
        <v/>
      </c>
    </row>
    <row r="130" ht="30" customHeight="1" s="314">
      <c r="A130" s="35" t="inlineStr">
        <is>
          <t>Autel MaxiSYS Ultra EV Intelligent Scanner, 2026 EV Ver of Ultra S2, High-Voltage System &amp; Battery Pack Analyze, $1000 EVDiag KIT, 5IN1 VCMI, 2.0 Topology, 3K+ Bidirectional, 40+ Reset, Motor Truspeed</t>
        </is>
      </c>
      <c r="B130" s="35" t="inlineStr">
        <is>
          <t>B08PNNVX78</t>
        </is>
      </c>
      <c r="C130" s="35" t="inlineStr">
        <is>
          <t>Tablet</t>
        </is>
      </c>
      <c r="D130" s="359" t="n">
        <v>3891.505</v>
      </c>
      <c r="E130" s="359" t="n">
        <v>112867.67</v>
      </c>
      <c r="F130" s="361" t="n">
        <v>7783.01</v>
      </c>
      <c r="G130" s="68" t="n">
        <v>21</v>
      </c>
      <c r="H130" s="68" t="n">
        <v>2</v>
      </c>
      <c r="I130" s="68" t="n">
        <v>14</v>
      </c>
      <c r="J130" s="69" t="n">
        <v>4.9</v>
      </c>
      <c r="K130" s="69" t="inlineStr">
        <is>
          <t>https://amazon.com/dp/B08PNNVX78</t>
        </is>
      </c>
      <c r="L130" s="114">
        <f>HYPERLINK(Table1311[[#This Row],[Column1]])</f>
        <v/>
      </c>
    </row>
    <row r="131" ht="45" customHeight="1" s="314">
      <c r="A131" s="35" t="inlineStr">
        <is>
          <t>Autel APB112 Accessory Tool, Working with Autel MaxiIM IM608Pro II/ IM608S II/ IM608 II/ IM508S II/ XP400 PRO</t>
        </is>
      </c>
      <c r="B131" s="35" t="inlineStr">
        <is>
          <t>B0DFXSX4Y1</t>
        </is>
      </c>
      <c r="C131" s="35" t="inlineStr">
        <is>
          <t>Key</t>
        </is>
      </c>
      <c r="D131" s="359" t="n">
        <v>255.413</v>
      </c>
      <c r="E131" s="359" t="n">
        <v>51548.7</v>
      </c>
      <c r="F131" s="361" t="n">
        <v>7662.39</v>
      </c>
      <c r="G131" s="68" t="n">
        <v>201</v>
      </c>
      <c r="H131" s="68" t="n">
        <v>30</v>
      </c>
      <c r="I131" s="68" t="n">
        <v>10</v>
      </c>
      <c r="J131" s="69" t="n">
        <v>5</v>
      </c>
      <c r="K131" s="69" t="inlineStr">
        <is>
          <t>https://amazon.com/dp/B0DFXSX4Y1</t>
        </is>
      </c>
      <c r="L131" s="114">
        <f>HYPERLINK(Table1311[[#This Row],[Column1]])</f>
        <v/>
      </c>
    </row>
    <row r="132" ht="45" customHeight="1" s="314">
      <c r="A132" s="35" t="inlineStr">
        <is>
          <t>Autel MaxiSys MS919 Scanner, 2026 Top Intelligent Scan Tool as Ultra, Motor TruSpeed Up of Ultra Lite MS909, Topology 2.0, Same OE Functions as Ultra S2, 40+ Service, 3K+ Test, [$2000] 5in1 VCMI</t>
        </is>
      </c>
      <c r="B132" s="35" t="inlineStr">
        <is>
          <t>B0GGH8W79N</t>
        </is>
      </c>
      <c r="C132" s="35" t="inlineStr">
        <is>
          <t>Tablet</t>
        </is>
      </c>
      <c r="D132" s="359" t="n">
        <v>3799</v>
      </c>
      <c r="E132" s="359" t="n">
        <v>92344.9130769231</v>
      </c>
      <c r="F132" s="361" t="n">
        <v>7598</v>
      </c>
      <c r="G132" s="68" t="n">
        <v>4</v>
      </c>
      <c r="H132" s="68" t="n">
        <v>2</v>
      </c>
      <c r="I132" s="68" t="n"/>
      <c r="J132" s="69" t="n"/>
      <c r="K132" s="69" t="inlineStr">
        <is>
          <t>https://amazon.com/dp/B0GGH8W79N</t>
        </is>
      </c>
      <c r="L132" s="114">
        <f>HYPERLINK(Table1311[[#This Row],[Column1]])</f>
        <v/>
      </c>
    </row>
    <row r="133" ht="60" customHeight="1" s="314">
      <c r="A133" s="35" t="inlineStr">
        <is>
          <t>Autel Scanner MaxiCOM MK906S PRO 2-TS: 2026 Up of MaxiSYS MS906 PRO2-TS/ MS906 MAX/ MS906PRO TS, Coding Same as Elite II PRO, Top TPMS Programming Tool, 40+ Services 3000+ Active Tests CAN FD DOIP</t>
        </is>
      </c>
      <c r="B133" s="35" t="inlineStr">
        <is>
          <t>B09YM9KJ1F</t>
        </is>
      </c>
      <c r="C133" s="35" t="inlineStr">
        <is>
          <t>Tablet</t>
        </is>
      </c>
      <c r="D133" s="359" t="n">
        <v>1492.94</v>
      </c>
      <c r="E133" s="359" t="n">
        <v>68594.70153846154</v>
      </c>
      <c r="F133" s="361" t="n">
        <v>7464.7</v>
      </c>
      <c r="G133" s="68" t="n">
        <v>22</v>
      </c>
      <c r="H133" s="68" t="n">
        <v>5</v>
      </c>
      <c r="I133" s="68" t="n">
        <v>9</v>
      </c>
      <c r="J133" s="69" t="n">
        <v>4.5</v>
      </c>
      <c r="K133" s="69" t="inlineStr">
        <is>
          <t>https://amazon.com/dp/B09YM9KJ1F</t>
        </is>
      </c>
      <c r="L133" s="114">
        <f>HYPERLINK(Table1311[[#This Row],[Column1]])</f>
        <v/>
      </c>
    </row>
    <row r="134" ht="45" customHeight="1" s="314">
      <c r="A134" s="35" t="inlineStr">
        <is>
          <t>Autel MaxiCOM MK908 II Scanner: 2026 Up of MS906 PRO MS906MAX MP900BT MS906BT MK908, 38+ Services as Elite 2 PRO MK908P II MS908S Pro II, 3K+ Bidirectional Scan Tool, OE All Sys, Auto Scan 2.0, OS 10</t>
        </is>
      </c>
      <c r="B134" s="35" t="inlineStr">
        <is>
          <t>B07PDG5YR9</t>
        </is>
      </c>
      <c r="C134" s="35" t="inlineStr">
        <is>
          <t>Tablet</t>
        </is>
      </c>
      <c r="D134" s="359" t="n">
        <v>1481.594</v>
      </c>
      <c r="E134" s="359" t="n">
        <v>84657.20999999998</v>
      </c>
      <c r="F134" s="361" t="n">
        <v>7407.97</v>
      </c>
      <c r="G134" s="68" t="n">
        <v>55</v>
      </c>
      <c r="H134" s="68" t="n">
        <v>5</v>
      </c>
      <c r="I134" s="68" t="n">
        <v>36</v>
      </c>
      <c r="J134" s="69" t="n">
        <v>4.8</v>
      </c>
      <c r="K134" s="69" t="inlineStr">
        <is>
          <t>https://amazon.com/dp/B07PDG5YR9</t>
        </is>
      </c>
      <c r="L134" s="114">
        <f>HYPERLINK(Table1311[[#This Row],[Column1]])</f>
        <v/>
      </c>
    </row>
    <row r="135" ht="45" customHeight="1" s="314">
      <c r="A135" s="35" t="inlineStr">
        <is>
          <t>Autel MaxiSys MS909 S2 Scanner 2026, Same as Ultra S2 Up of MS909, Top Intelligent Scan Tool with Topology 3.0, Enhanced PID Analysis, Motor TruSpeed Repair, ECU Programming, 48+ Services, CAN FD&amp;DOIP</t>
        </is>
      </c>
      <c r="B135" s="35" t="inlineStr">
        <is>
          <t>B0FSDM8LB5</t>
        </is>
      </c>
      <c r="C135" s="35" t="inlineStr">
        <is>
          <t>Tablet</t>
        </is>
      </c>
      <c r="D135" s="359" t="n">
        <v>3669.56</v>
      </c>
      <c r="E135" s="359" t="n">
        <v>85881.84307692306</v>
      </c>
      <c r="F135" s="361" t="n">
        <v>7339.12</v>
      </c>
      <c r="G135" s="68" t="n">
        <v>5</v>
      </c>
      <c r="H135" s="68" t="n">
        <v>2</v>
      </c>
      <c r="I135" s="68" t="n">
        <v>2</v>
      </c>
      <c r="J135" s="69" t="n">
        <v>5</v>
      </c>
      <c r="K135" s="69" t="inlineStr">
        <is>
          <t>https://amazon.com/dp/B0FSDM8LB5</t>
        </is>
      </c>
      <c r="L135" s="114">
        <f>HYPERLINK(Table1311[[#This Row],[Column1]])</f>
        <v/>
      </c>
    </row>
    <row r="136" ht="45" customHeight="1" s="314">
      <c r="A136" s="35" t="inlineStr">
        <is>
          <t>Autel MaxiSys MS909S2 Diagnostic Scanner with AI, Up of MS909, Topology 3.0, Data-Driven PID Analysis, Multi-Point DVI, 40+ Services, Motor TruSpeed Repair, 15000+ Vehicles, OS 13.0</t>
        </is>
      </c>
      <c r="B136" s="35" t="inlineStr">
        <is>
          <t>B0G2WS8ZHP</t>
        </is>
      </c>
      <c r="C136" s="35" t="inlineStr">
        <is>
          <t>Tablet</t>
        </is>
      </c>
      <c r="D136" s="359" t="n">
        <v>3626.13</v>
      </c>
      <c r="E136" s="359" t="n">
        <v>92634.77076923079</v>
      </c>
      <c r="F136" s="361" t="n">
        <v>7252.26</v>
      </c>
      <c r="G136" s="68" t="n">
        <v>11</v>
      </c>
      <c r="H136" s="68" t="n">
        <v>2</v>
      </c>
      <c r="I136" s="68" t="n">
        <v>1</v>
      </c>
      <c r="J136" s="69" t="n">
        <v>5</v>
      </c>
      <c r="K136" s="69" t="inlineStr">
        <is>
          <t>https://amazon.com/dp/B0G2WS8ZHP</t>
        </is>
      </c>
      <c r="L136" s="114">
        <f>HYPERLINK(Table1311[[#This Row],[Column1]])</f>
        <v/>
      </c>
    </row>
    <row r="137" ht="45" customHeight="1" s="314">
      <c r="A137" s="35" t="inlineStr">
        <is>
          <t>Autel Scanner MaxiSYS MS919, 2026 Top Intelligent Same as MSUltra, $2000 5in1 VCMI, Motor TruSpeed Topology 2.0, OE-Level J2534 Functions, Up of MS909 Elite 2 Pro Ultra Lite, 40+ Services, 3000+ Tests</t>
        </is>
      </c>
      <c r="B137" s="35" t="inlineStr">
        <is>
          <t>B08PPBL1GS</t>
        </is>
      </c>
      <c r="C137" s="35" t="inlineStr">
        <is>
          <t>Tablet</t>
        </is>
      </c>
      <c r="D137" s="359" t="n">
        <v>3620.855</v>
      </c>
      <c r="E137" s="359" t="n">
        <v>119339.1507692308</v>
      </c>
      <c r="F137" s="361" t="n">
        <v>7241.71</v>
      </c>
      <c r="G137" s="68" t="n">
        <v>28</v>
      </c>
      <c r="H137" s="68" t="n">
        <v>2</v>
      </c>
      <c r="I137" s="68" t="n">
        <v>21</v>
      </c>
      <c r="J137" s="69" t="n">
        <v>4.4</v>
      </c>
      <c r="K137" s="69" t="inlineStr">
        <is>
          <t>https://amazon.com/dp/B08PPBL1GS</t>
        </is>
      </c>
      <c r="L137" s="114">
        <f>HYPERLINK(Table1311[[#This Row],[Column1]])</f>
        <v/>
      </c>
    </row>
    <row r="138" ht="45" customHeight="1" s="314">
      <c r="A138" s="35" t="inlineStr">
        <is>
          <t>Autel TPMS Sensors 4 Pack 2026</t>
        </is>
      </c>
      <c r="B138" s="35" t="inlineStr">
        <is>
          <t>B0122TXAQ2</t>
        </is>
      </c>
      <c r="C138" s="35" t="inlineStr">
        <is>
          <t>Handheld</t>
        </is>
      </c>
      <c r="D138" s="359" t="n">
        <v>199.1363888888889</v>
      </c>
      <c r="E138" s="359" t="n">
        <v>36583.39999999999</v>
      </c>
      <c r="F138" s="361" t="n">
        <v>7168.91</v>
      </c>
      <c r="G138" s="68" t="n">
        <v>180</v>
      </c>
      <c r="H138" s="68" t="n">
        <v>36</v>
      </c>
      <c r="I138" s="68" t="n">
        <v>83</v>
      </c>
      <c r="J138" s="69" t="n">
        <v>4.3</v>
      </c>
      <c r="K138" s="69" t="inlineStr">
        <is>
          <t>https://amazon.com/dp/B0122TXAQ2</t>
        </is>
      </c>
      <c r="L138" s="114">
        <f>HYPERLINK(Table1311[[#This Row],[Column1]])</f>
        <v/>
      </c>
    </row>
    <row r="139" ht="45" customHeight="1" s="314">
      <c r="A139" s="35" t="inlineStr">
        <is>
          <t>Autel MaxiTPMS TS501 PRO TPMS Programming Relearn Tool, 2026 Same as TS508WF TS508, Up of TS501 TS408S, Activate Tire Sensors, Program Autel MX-Sensors, Turn Off TPMS Light, Lifetime Free Update</t>
        </is>
      </c>
      <c r="B139" s="35" t="inlineStr">
        <is>
          <t>B096XFB7WY</t>
        </is>
      </c>
      <c r="C139" s="35" t="inlineStr">
        <is>
          <t>Handheld</t>
        </is>
      </c>
      <c r="D139" s="359" t="n">
        <v>216.6757575757576</v>
      </c>
      <c r="E139" s="359" t="n">
        <v>62946.64000000001</v>
      </c>
      <c r="F139" s="361" t="n">
        <v>7150.3</v>
      </c>
      <c r="G139" s="68" t="n">
        <v>287</v>
      </c>
      <c r="H139" s="68" t="n">
        <v>33</v>
      </c>
      <c r="I139" s="68" t="n">
        <v>36</v>
      </c>
      <c r="J139" s="69" t="n">
        <v>4.2</v>
      </c>
      <c r="K139" s="69" t="inlineStr">
        <is>
          <t>https://amazon.com/dp/B096XFB7WY</t>
        </is>
      </c>
      <c r="L139" s="114">
        <f>HYPERLINK(Table1311[[#This Row],[Column1]])</f>
        <v/>
      </c>
    </row>
    <row r="140" ht="45" customHeight="1" s="314">
      <c r="A140" s="35" t="inlineStr">
        <is>
          <t>Autel MaxiPRO MP900-BT Kit Scanner w/ 200 Bucks OBD1 Kit: 2026 MP900BT Kit New Model of MK900BT MP900-BT(No Cables), Pro C0ding as MS906 Pro MS906 MAX, 40+ Service, 3000+ Tests, OS 11, CAN FD FCA SGW</t>
        </is>
      </c>
      <c r="B140" s="35" t="inlineStr">
        <is>
          <t>B01CQNNBA4</t>
        </is>
      </c>
      <c r="C140" s="35" t="inlineStr">
        <is>
          <t>Tablet</t>
        </is>
      </c>
      <c r="D140" s="359" t="n">
        <v>1012.644285714286</v>
      </c>
      <c r="E140" s="359" t="n">
        <v>114711.97</v>
      </c>
      <c r="F140" s="361" t="n">
        <v>7088.51</v>
      </c>
      <c r="G140" s="68" t="n">
        <v>119</v>
      </c>
      <c r="H140" s="68" t="n">
        <v>7</v>
      </c>
      <c r="I140" s="68" t="n">
        <v>245</v>
      </c>
      <c r="J140" s="69" t="n">
        <v>4.5</v>
      </c>
      <c r="K140" s="69" t="inlineStr">
        <is>
          <t>https://amazon.com/dp/B01CQNNBA4</t>
        </is>
      </c>
      <c r="L140" s="114">
        <f>HYPERLINK(Table1311[[#This Row],[Column1]])</f>
        <v/>
      </c>
    </row>
    <row r="141" ht="45" customHeight="1" s="314">
      <c r="A141" s="35" t="inlineStr">
        <is>
          <t>2026 Autel MaxiSys MS909CV Truck Scanner: Top Heavy Duty Truck Tool for Semi Commercial Cars, Updated of MS908CV with Intelligent Diagnosis, Topology, J2534 ECU C0ding, 64+ Services, Active Test</t>
        </is>
      </c>
      <c r="B141" s="35" t="inlineStr">
        <is>
          <t>B08F7TQZ41</t>
        </is>
      </c>
      <c r="C141" s="35" t="inlineStr">
        <is>
          <t>Tablet</t>
        </is>
      </c>
      <c r="D141" s="359" t="n">
        <v>3540.77</v>
      </c>
      <c r="E141" s="359" t="n">
        <v>78670.78</v>
      </c>
      <c r="F141" s="361" t="n">
        <v>7081.54</v>
      </c>
      <c r="G141" s="68" t="n">
        <v>18</v>
      </c>
      <c r="H141" s="68" t="n">
        <v>2</v>
      </c>
      <c r="I141" s="68" t="n">
        <v>2</v>
      </c>
      <c r="J141" s="69" t="n">
        <v>5</v>
      </c>
      <c r="K141" s="69" t="inlineStr">
        <is>
          <t>https://amazon.com/dp/B08F7TQZ41</t>
        </is>
      </c>
      <c r="L141" s="114">
        <f>HYPERLINK(Table1311[[#This Row],[Column1]])</f>
        <v/>
      </c>
    </row>
    <row r="142" ht="60" customHeight="1" s="314">
      <c r="A142" s="35" t="inlineStr">
        <is>
          <t>Autel MaxiSys Ultra Lite 2026 Top Autel Scanner 2 Year Free Update MaxiFlash VCI ECU C*ding/Pr*gr*mming Cloud Service Topology Mapping 40+ Services Advanced MS906 PRO MS908S PRO MS909 MS919</t>
        </is>
      </c>
      <c r="B142" s="35" t="inlineStr">
        <is>
          <t>B0GQ3VXNV4</t>
        </is>
      </c>
      <c r="C142" s="35" t="inlineStr">
        <is>
          <t>Tablet</t>
        </is>
      </c>
      <c r="D142" s="359" t="n">
        <v>3539.59</v>
      </c>
      <c r="E142" s="359" t="n">
        <v>85494.71230769233</v>
      </c>
      <c r="F142" s="361" t="n">
        <v>7079.18</v>
      </c>
      <c r="G142" s="68" t="n">
        <v>2</v>
      </c>
      <c r="H142" s="68" t="n">
        <v>2</v>
      </c>
      <c r="I142" s="68" t="n"/>
      <c r="J142" s="69" t="n"/>
      <c r="K142" s="69" t="inlineStr">
        <is>
          <t>https://amazon.com/dp/B0GQ3VXNV4</t>
        </is>
      </c>
      <c r="L142" s="114">
        <f>HYPERLINK(Table1311[[#This Row],[Column1]])</f>
        <v/>
      </c>
    </row>
    <row r="143" ht="45" customHeight="1" s="314">
      <c r="A143" s="35" t="inlineStr">
        <is>
          <t>Autel MaxiTPMS TBE200 (E) Automotive Tire Tread Depth &amp; Brake Disc Examiner: 2026 Top Laser Uneven Wear Analysis Tool, Upgrade of TBE100, Dual Camera, 0.1mm High Accuracy, Real-time Data, Supp. ITS600</t>
        </is>
      </c>
      <c r="B143" s="35" t="inlineStr">
        <is>
          <t>B09KGSRHMH</t>
        </is>
      </c>
      <c r="C143" s="35" t="inlineStr">
        <is>
          <t>Other</t>
        </is>
      </c>
      <c r="D143" s="359" t="n">
        <v>469.47</v>
      </c>
      <c r="E143" s="359" t="n">
        <v>74769.71000000001</v>
      </c>
      <c r="F143" s="361" t="n">
        <v>7042.05</v>
      </c>
      <c r="G143" s="68" t="n">
        <v>187</v>
      </c>
      <c r="H143" s="68" t="n">
        <v>15</v>
      </c>
      <c r="I143" s="68" t="n">
        <v>12</v>
      </c>
      <c r="J143" s="69" t="n">
        <v>4.7</v>
      </c>
      <c r="K143" s="69" t="inlineStr">
        <is>
          <t>https://amazon.com/dp/B09KGSRHMH</t>
        </is>
      </c>
      <c r="L143" s="114">
        <f>HYPERLINK(Table1311[[#This Row],[Column1]])</f>
        <v/>
      </c>
    </row>
    <row r="144" ht="60" customHeight="1" s="314">
      <c r="A144" s="35" t="inlineStr">
        <is>
          <t>Autel MaxiLink ML519 Enhanced Mode 6 OBD2 Scanner Auto Diagnostic Scan Tool Check Engine Fault Code Reader CAN Scan Tool, Upgraded Ver. of AL319</t>
        </is>
      </c>
      <c r="B144" s="35" t="inlineStr">
        <is>
          <t>B07NQFM2P2</t>
        </is>
      </c>
      <c r="C144" s="35" t="inlineStr">
        <is>
          <t>Handheld</t>
        </is>
      </c>
      <c r="D144" s="359" t="n">
        <v>60.14008620689656</v>
      </c>
      <c r="E144" s="359" t="n">
        <v>75963.45538461539</v>
      </c>
      <c r="F144" s="361" t="n">
        <v>6976.25</v>
      </c>
      <c r="G144" s="68" t="n">
        <v>1183</v>
      </c>
      <c r="H144" s="68" t="n">
        <v>116</v>
      </c>
      <c r="I144" s="68" t="n">
        <v>2619</v>
      </c>
      <c r="J144" s="69" t="n">
        <v>4.5</v>
      </c>
      <c r="K144" s="69" t="inlineStr">
        <is>
          <t>https://amazon.com/dp/B07NQFM2P2</t>
        </is>
      </c>
      <c r="L144" s="114">
        <f>HYPERLINK(Table1311[[#This Row],[Column1]])</f>
        <v/>
      </c>
    </row>
    <row r="145" ht="45" customHeight="1" s="314">
      <c r="A145" s="35" t="inlineStr">
        <is>
          <t>Autel Scanner MaxiSYS MS906 MAX, 2026 10'' MS906MAX 2.0 Ver. of MS906 PRO MS908S MK908 II, Lite of Elite 2 PRO, Top Scan Tool Bidirectional, 3000+ Active Test, 40+ Resets, CAN FD DoIP Auto Scan2.0 FCA</t>
        </is>
      </c>
      <c r="B145" s="35" t="inlineStr">
        <is>
          <t>B09PG3L6K1</t>
        </is>
      </c>
      <c r="C145" s="35" t="inlineStr">
        <is>
          <t>Tablet</t>
        </is>
      </c>
      <c r="D145" s="359" t="n">
        <v>1729.81</v>
      </c>
      <c r="E145" s="359" t="n">
        <v>159490.5007692308</v>
      </c>
      <c r="F145" s="361" t="n">
        <v>6919.24</v>
      </c>
      <c r="G145" s="68" t="n">
        <v>98</v>
      </c>
      <c r="H145" s="68" t="n">
        <v>4</v>
      </c>
      <c r="I145" s="68" t="n">
        <v>12</v>
      </c>
      <c r="J145" s="69" t="n">
        <v>4.8</v>
      </c>
      <c r="K145" s="69" t="inlineStr">
        <is>
          <t>https://amazon.com/dp/B09PG3L6K1</t>
        </is>
      </c>
      <c r="L145" s="114">
        <f>HYPERLINK(Table1311[[#This Row],[Column1]])</f>
        <v/>
      </c>
    </row>
    <row r="146" ht="60" customHeight="1" s="314">
      <c r="A146" s="35" t="inlineStr">
        <is>
          <t>Autel MaxiPRO MP808S-TS Scanner, 2026 Bidirectional Control Scan Tool, 2-Year Free Updated, Full TPMS, ECU Coding Same as MP808BT Pro/MS906TS/MS906 Pro-TS, 31+ Services, All-System Scan &amp; FCA AutoAuth</t>
        </is>
      </c>
      <c r="B146" s="35" t="inlineStr">
        <is>
          <t>B07GWL2HBJ</t>
        </is>
      </c>
      <c r="C146" s="35" t="inlineStr">
        <is>
          <t>Tablet</t>
        </is>
      </c>
      <c r="D146" s="359" t="n">
        <v>861.98625</v>
      </c>
      <c r="E146" s="359" t="n">
        <v>66422.14999999999</v>
      </c>
      <c r="F146" s="361" t="n">
        <v>6895.89</v>
      </c>
      <c r="G146" s="68" t="n">
        <v>74</v>
      </c>
      <c r="H146" s="68" t="n">
        <v>8</v>
      </c>
      <c r="I146" s="68" t="n">
        <v>162</v>
      </c>
      <c r="J146" s="69" t="n">
        <v>4.4</v>
      </c>
      <c r="K146" s="69" t="inlineStr">
        <is>
          <t>https://amazon.com/dp/B07GWL2HBJ</t>
        </is>
      </c>
      <c r="L146" s="114">
        <f>HYPERLINK(Table1311[[#This Row],[Column1]])</f>
        <v/>
      </c>
    </row>
    <row r="147" ht="45" customHeight="1" s="314">
      <c r="A147" s="35" t="inlineStr">
        <is>
          <t>Autel MaxiSys MS909 Intelligent Scanner: 2026 MS909 Same as Ultra MS919, Up of MS908S PRO II Elite II PRO, Motor TruSpeed Repair as Ultra S2, Topology 2.0, ECU Programming, 40+ Resets, 3K+ Test</t>
        </is>
      </c>
      <c r="B147" s="35" t="inlineStr">
        <is>
          <t>B09FX53KGZ</t>
        </is>
      </c>
      <c r="C147" s="35" t="inlineStr">
        <is>
          <t>Tablet</t>
        </is>
      </c>
      <c r="D147" s="359" t="n">
        <v>3376.83</v>
      </c>
      <c r="E147" s="359" t="n">
        <v>117834.35</v>
      </c>
      <c r="F147" s="361" t="n">
        <v>6753.66</v>
      </c>
      <c r="G147" s="68" t="n">
        <v>39</v>
      </c>
      <c r="H147" s="68" t="n">
        <v>2</v>
      </c>
      <c r="I147" s="68" t="n">
        <v>5</v>
      </c>
      <c r="J147" s="69" t="n">
        <v>5</v>
      </c>
      <c r="K147" s="69" t="inlineStr">
        <is>
          <t>https://amazon.com/dp/B09FX53KGZ</t>
        </is>
      </c>
      <c r="L147" s="114">
        <f>HYPERLINK(Table1311[[#This Row],[Column1]])</f>
        <v/>
      </c>
    </row>
    <row r="148" ht="45" customHeight="1" s="314">
      <c r="A148" s="35" t="inlineStr">
        <is>
          <t>Autel Obd2 Scanner Diagnostic Tool MaxiCOM MK808Z: 2026 Bidirectional Scan Tool, 28+ Service, Active Tests Scanner for Car, All System OBD2 Diagnostics Car Scanner for DIY, Mechanic and Small Shops</t>
        </is>
      </c>
      <c r="B148" s="35" t="inlineStr">
        <is>
          <t>B0GMQD4M5N</t>
        </is>
      </c>
      <c r="C148" s="35" t="inlineStr">
        <is>
          <t>Tablet</t>
        </is>
      </c>
      <c r="D148" s="359" t="n">
        <v>449</v>
      </c>
      <c r="E148" s="359" t="n">
        <v>81338.07692307694</v>
      </c>
      <c r="F148" s="361" t="n">
        <v>6735</v>
      </c>
      <c r="G148" s="68" t="n">
        <v>15</v>
      </c>
      <c r="H148" s="68" t="n">
        <v>15</v>
      </c>
      <c r="I148" s="68" t="n"/>
      <c r="J148" s="69" t="n"/>
      <c r="K148" s="69" t="inlineStr">
        <is>
          <t>https://amazon.com/dp/B0GMQD4M5N</t>
        </is>
      </c>
      <c r="L148" s="114">
        <f>HYPERLINK(Table1311[[#This Row],[Column1]])</f>
        <v/>
      </c>
    </row>
    <row r="149" ht="45" customHeight="1" s="314">
      <c r="A149" s="35" t="inlineStr">
        <is>
          <t>Autel Original OBD2 Main Test Cable - 16 Pin 3 Rows OBDII Diagnostic Test Connector, Only for MaxiSys MS908P, MS908S PRO II, MK908 Pro II, MS908CV II, Elite II, MS909, MS919, Ultra Lite, Ultra</t>
        </is>
      </c>
      <c r="B149" s="35" t="inlineStr">
        <is>
          <t>B0F7LX9SKK</t>
        </is>
      </c>
      <c r="C149" s="35" t="inlineStr">
        <is>
          <t>Cable/Adapter</t>
        </is>
      </c>
      <c r="D149" s="359" t="n">
        <v>25.94552123552124</v>
      </c>
      <c r="E149" s="359" t="n">
        <v>57287.94615384615</v>
      </c>
      <c r="F149" s="361" t="n">
        <v>6719.89</v>
      </c>
      <c r="G149" s="68" t="n">
        <v>1490</v>
      </c>
      <c r="H149" s="68" t="n">
        <v>259</v>
      </c>
      <c r="I149" s="68" t="n">
        <v>29</v>
      </c>
      <c r="J149" s="69" t="n">
        <v>4.7</v>
      </c>
      <c r="K149" s="69" t="inlineStr">
        <is>
          <t>https://amazon.com/dp/B0F7LX9SKK</t>
        </is>
      </c>
      <c r="L149" s="114">
        <f>HYPERLINK(Table1311[[#This Row],[Column1]])</f>
        <v/>
      </c>
    </row>
    <row r="150" ht="45" customHeight="1" s="314">
      <c r="A150" s="35" t="inlineStr">
        <is>
          <t>Autel MaxiSys MS909 S2 Scanner, 2026 Same as Ultra S2 Up of MS Ultra MS909, Top Intelligen Scan Diagnostic with AI, Topology 3.0, Enhanced PID Analysis, Motor Truspeed, 48+ Service, ECU Program</t>
        </is>
      </c>
      <c r="B150" s="35" t="inlineStr">
        <is>
          <t>B0FKMK8YNR</t>
        </is>
      </c>
      <c r="C150" s="35" t="inlineStr">
        <is>
          <t>Tablet</t>
        </is>
      </c>
      <c r="D150" s="359" t="n">
        <v>3330.42</v>
      </c>
      <c r="E150" s="359" t="n">
        <v>90080.35846153846</v>
      </c>
      <c r="F150" s="361" t="n">
        <v>6660.84</v>
      </c>
      <c r="G150" s="68" t="n">
        <v>17</v>
      </c>
      <c r="H150" s="68" t="n">
        <v>2</v>
      </c>
      <c r="I150" s="68" t="n">
        <v>1</v>
      </c>
      <c r="J150" s="69" t="n">
        <v>5</v>
      </c>
      <c r="K150" s="69" t="inlineStr">
        <is>
          <t>https://amazon.com/dp/B0FKMK8YNR</t>
        </is>
      </c>
      <c r="L150" s="114">
        <f>HYPERLINK(Table1311[[#This Row],[Column1]])</f>
        <v/>
      </c>
    </row>
    <row r="151" ht="45" customHeight="1" s="314">
      <c r="A151" s="35" t="inlineStr">
        <is>
          <t>Autel Scanner MaxiSYS Ultra, 2026 MSUltra Top Intelligent Scan Tool, Motor TruSpeed, Topology 2.0, [$2000] 5in1 VCMI, OE-Level J2534 Functions, Up of MS919 MS909 Ultra Lite Elite II PRO, 40+ Services</t>
        </is>
      </c>
      <c r="B151" s="35" t="inlineStr">
        <is>
          <t>B08P47HP15</t>
        </is>
      </c>
      <c r="C151" s="35" t="inlineStr">
        <is>
          <t>Tablet</t>
        </is>
      </c>
      <c r="D151" s="359" t="n">
        <v>3318.47</v>
      </c>
      <c r="E151" s="359" t="n">
        <v>179969.42</v>
      </c>
      <c r="F151" s="361" t="n">
        <v>6636.94</v>
      </c>
      <c r="G151" s="68" t="n">
        <v>49</v>
      </c>
      <c r="H151" s="68" t="n">
        <v>2</v>
      </c>
      <c r="I151" s="68" t="n">
        <v>70</v>
      </c>
      <c r="J151" s="69" t="n">
        <v>4.5</v>
      </c>
      <c r="K151" s="69" t="inlineStr">
        <is>
          <t>https://amazon.com/dp/B08P47HP15</t>
        </is>
      </c>
      <c r="L151" s="114">
        <f>HYPERLINK(Table1311[[#This Row],[Column1]])</f>
        <v/>
      </c>
    </row>
    <row r="152" ht="60" customHeight="1" s="314">
      <c r="A152" s="35" t="inlineStr">
        <is>
          <t>Autel 7 Pin OBD1 to OBD2 Adapter Cable for Ford, 7Pin OBD1 to 16 Pin OBD2 Diagnostic Cable, Fit for Ford Vehicles with 7Pin Port, Work with Scan Tool and Code Reader</t>
        </is>
      </c>
      <c r="B152" s="35" t="inlineStr">
        <is>
          <t>B0DCFRHNF5</t>
        </is>
      </c>
      <c r="C152" s="35" t="inlineStr">
        <is>
          <t>Cable/Adapter</t>
        </is>
      </c>
      <c r="D152" s="359" t="n">
        <v>19.96475155279503</v>
      </c>
      <c r="E152" s="359" t="n">
        <v>60947.33</v>
      </c>
      <c r="F152" s="361" t="n">
        <v>6428.65</v>
      </c>
      <c r="G152" s="68" t="n">
        <v>3055</v>
      </c>
      <c r="H152" s="68" t="n">
        <v>322</v>
      </c>
      <c r="I152" s="68" t="n">
        <v>119</v>
      </c>
      <c r="J152" s="69" t="n">
        <v>3.8</v>
      </c>
      <c r="K152" s="69" t="inlineStr">
        <is>
          <t>https://amazon.com/dp/B0DCFRHNF5</t>
        </is>
      </c>
      <c r="L152" s="114">
        <f>HYPERLINK(Table1311[[#This Row],[Column1]])</f>
        <v/>
      </c>
    </row>
    <row r="153" ht="45" customHeight="1" s="314">
      <c r="A153" s="35" t="inlineStr">
        <is>
          <t>Autel Original OBD2 16 Pin OBDII Y Splitter Extension Adapter Cable, 16Pin 1x Male to 2X Female Extension Y Connector, Fits for All Standard OBD II Scanners (1FT/30CM)</t>
        </is>
      </c>
      <c r="B153" s="35" t="inlineStr">
        <is>
          <t>B0DF2WK54W</t>
        </is>
      </c>
      <c r="C153" s="35" t="inlineStr">
        <is>
          <t>Cable/Adapter</t>
        </is>
      </c>
      <c r="D153" s="359" t="n">
        <v>19.96224299065421</v>
      </c>
      <c r="E153" s="359" t="n">
        <v>52025.41</v>
      </c>
      <c r="F153" s="361" t="n">
        <v>6407.88</v>
      </c>
      <c r="G153" s="68" t="n">
        <v>2606</v>
      </c>
      <c r="H153" s="68" t="n">
        <v>321</v>
      </c>
      <c r="I153" s="68" t="n">
        <v>76</v>
      </c>
      <c r="J153" s="69" t="n">
        <v>4.5</v>
      </c>
      <c r="K153" s="69" t="inlineStr">
        <is>
          <t>https://amazon.com/dp/B0DF2WK54W</t>
        </is>
      </c>
      <c r="L153" s="114">
        <f>HYPERLINK(Table1311[[#This Row],[Column1]])</f>
        <v/>
      </c>
    </row>
    <row r="154" ht="45" customHeight="1" s="314">
      <c r="A154" s="35" t="inlineStr">
        <is>
          <t>Autel MaxiSYS Ultra S2 AI Scanner, 2026 UltraS2 Top Intelligent Scan Tool, 6-in-1 VCMI2, Up of MSUltra Ultra EV, Topology 3.0 &amp; Multi-Point DVI, EV Test, Motor Truspeed, 48+ Service, 3000+ Active Test</t>
        </is>
      </c>
      <c r="B154" s="35" t="inlineStr">
        <is>
          <t>B0F37T2WCZ</t>
        </is>
      </c>
      <c r="C154" s="35" t="inlineStr">
        <is>
          <t>Tablet</t>
        </is>
      </c>
      <c r="D154" s="359" t="n">
        <v>6380.38</v>
      </c>
      <c r="E154" s="359" t="n">
        <v>219695.8930769231</v>
      </c>
      <c r="F154" s="361" t="n">
        <v>6380.38</v>
      </c>
      <c r="G154" s="68" t="n">
        <v>36</v>
      </c>
      <c r="H154" s="68" t="n">
        <v>1</v>
      </c>
      <c r="I154" s="68" t="n">
        <v>8</v>
      </c>
      <c r="J154" s="69" t="n">
        <v>4.8</v>
      </c>
      <c r="K154" s="69" t="inlineStr">
        <is>
          <t>https://amazon.com/dp/B0F37T2WCZ</t>
        </is>
      </c>
      <c r="L154" s="114">
        <f>HYPERLINK(Table1311[[#This Row],[Column1]])</f>
        <v/>
      </c>
    </row>
    <row r="155" ht="45" customHeight="1" s="314">
      <c r="A155" s="35" t="inlineStr">
        <is>
          <t>Autel MaxiCOM MK808S-TS Scanner, 2024 Complete TPMS Check/Activate/Relearn Tool, Same as MX808S-TS MK808Z-TS, 28+Service, BT Full System Scan,Bidirectional, FCA AutoAuth,Upgrade of MK808BT PRO MK808S</t>
        </is>
      </c>
      <c r="B155" s="35" t="inlineStr">
        <is>
          <t>B07GXGZCDW</t>
        </is>
      </c>
      <c r="C155" s="35" t="inlineStr">
        <is>
          <t>Tablet</t>
        </is>
      </c>
      <c r="D155" s="359" t="n">
        <v>697.6288888888889</v>
      </c>
      <c r="E155" s="359" t="n">
        <v>70822.64</v>
      </c>
      <c r="F155" s="361" t="n">
        <v>6278.66</v>
      </c>
      <c r="G155" s="68" t="n">
        <v>109</v>
      </c>
      <c r="H155" s="68" t="n">
        <v>9</v>
      </c>
      <c r="I155" s="68" t="n">
        <v>250</v>
      </c>
      <c r="J155" s="69" t="n">
        <v>4.4</v>
      </c>
      <c r="K155" s="69" t="inlineStr">
        <is>
          <t>https://amazon.com/dp/B07GXGZCDW</t>
        </is>
      </c>
      <c r="L155" s="114">
        <f>HYPERLINK(Table1311[[#This Row],[Column1]])</f>
        <v/>
      </c>
    </row>
    <row r="156" ht="60" customHeight="1" s="314">
      <c r="A156" s="35" t="inlineStr">
        <is>
          <t>2026 Autel Scanner MaxiPRO MP900 KIT, 11PCS OBD Adapters $200, DoIP CAN FD Same as MS906 PRO MS906MAX, ECU Function Up of MS906 MX900 MK900 MK808S, Full Bidirectional as MP900BT, 40+ Reset, 3000+ Test</t>
        </is>
      </c>
      <c r="B156" s="35" t="inlineStr">
        <is>
          <t>B08PDJ21WS</t>
        </is>
      </c>
      <c r="C156" s="35" t="inlineStr">
        <is>
          <t>Tablet</t>
        </is>
      </c>
      <c r="D156" s="359" t="n">
        <v>889.8557142857143</v>
      </c>
      <c r="E156" s="359" t="n">
        <v>88164.02999999998</v>
      </c>
      <c r="F156" s="361" t="n">
        <v>6228.99</v>
      </c>
      <c r="G156" s="68" t="n">
        <v>102</v>
      </c>
      <c r="H156" s="68" t="n">
        <v>7</v>
      </c>
      <c r="I156" s="68" t="n">
        <v>56</v>
      </c>
      <c r="J156" s="69" t="n">
        <v>4.3</v>
      </c>
      <c r="K156" s="69" t="inlineStr">
        <is>
          <t>https://amazon.com/dp/B08PDJ21WS</t>
        </is>
      </c>
      <c r="L156" s="114">
        <f>HYPERLINK(Table1311[[#This Row],[Column1]])</f>
        <v/>
      </c>
    </row>
    <row r="157" ht="60" customHeight="1" s="314">
      <c r="A157" s="35" t="inlineStr">
        <is>
          <t>Autel MaxiSys MS906 MAX Scanner, 2026 MS906MAX 10.1" 2.0 Ver. of MS906 PRO-TS/MS906 PRO/MP900BT KIT/ MK900BT, Bi-Directional Diagnostic Tool, 3000+Tests 40+ Services, CAN FD&amp;DoIP, 160+ Brands</t>
        </is>
      </c>
      <c r="B157" s="35" t="inlineStr">
        <is>
          <t>B0DXFK2ZGD</t>
        </is>
      </c>
      <c r="C157" s="35" t="inlineStr">
        <is>
          <t>Tablet</t>
        </is>
      </c>
      <c r="D157" s="359" t="n">
        <v>1538.4975</v>
      </c>
      <c r="E157" s="359" t="n">
        <v>57358.5</v>
      </c>
      <c r="F157" s="361" t="n">
        <v>6153.99</v>
      </c>
      <c r="G157" s="68" t="n">
        <v>41</v>
      </c>
      <c r="H157" s="68" t="n">
        <v>4</v>
      </c>
      <c r="I157" s="68" t="n">
        <v>113</v>
      </c>
      <c r="J157" s="69" t="n">
        <v>4.4</v>
      </c>
      <c r="K157" s="69" t="inlineStr">
        <is>
          <t>https://amazon.com/dp/B0DXFK2ZGD</t>
        </is>
      </c>
      <c r="L157" s="114">
        <f>HYPERLINK(Table1311[[#This Row],[Column1]])</f>
        <v/>
      </c>
    </row>
    <row r="158" ht="60" customHeight="1" s="314">
      <c r="A158" s="35" t="inlineStr">
        <is>
          <t>Autel Scanner MaxiCOM MK908 Pro MS908S PRO II: 2026 J2534 Reprogramming Tool as MaxiSYS MS909 MS919 Elite II PRO Ultra Lite S2, OE Coding, 38+ Resets, All System Scan, 3K+ Active Tests, CANFD &amp; DoIP</t>
        </is>
      </c>
      <c r="B158" s="35" t="inlineStr">
        <is>
          <t>B00RFUY6XU</t>
        </is>
      </c>
      <c r="C158" s="35" t="inlineStr">
        <is>
          <t>Tablet</t>
        </is>
      </c>
      <c r="D158" s="359" t="n">
        <v>2024.45</v>
      </c>
      <c r="E158" s="359" t="n">
        <v>165981.26</v>
      </c>
      <c r="F158" s="361" t="n">
        <v>6073.35</v>
      </c>
      <c r="G158" s="68" t="n">
        <v>84</v>
      </c>
      <c r="H158" s="68" t="n">
        <v>3</v>
      </c>
      <c r="I158" s="68" t="n">
        <v>177</v>
      </c>
      <c r="J158" s="69" t="n">
        <v>4.5</v>
      </c>
      <c r="K158" s="69" t="inlineStr">
        <is>
          <t>https://amazon.com/dp/B00RFUY6XU</t>
        </is>
      </c>
      <c r="L158" s="114">
        <f>HYPERLINK(Table1311[[#This Row],[Column1]])</f>
        <v/>
      </c>
    </row>
    <row r="159" ht="45" customHeight="1" s="314">
      <c r="A159" s="35" t="inlineStr">
        <is>
          <t>Autel MaxiSys MS919 S2 AI Scanner, 2026 MS919S2 Same as Ultra S2 Up of MSUltra MS909 S2, Top Intelligent Scan Tool, Topology 3.0, 6-in-1 VCMI2 [$2000 Value], Multi-Point DVI, EV Test, 12+256GB, 13 OS</t>
        </is>
      </c>
      <c r="B159" s="35" t="inlineStr">
        <is>
          <t>B0FXMP177Q</t>
        </is>
      </c>
      <c r="C159" s="35" t="inlineStr">
        <is>
          <t>Tablet</t>
        </is>
      </c>
      <c r="D159" s="359" t="n">
        <v>6061.51</v>
      </c>
      <c r="E159" s="359" t="n">
        <v>72762.89999999999</v>
      </c>
      <c r="F159" s="361" t="n">
        <v>6061.51</v>
      </c>
      <c r="G159" s="68" t="n">
        <v>4</v>
      </c>
      <c r="H159" s="68" t="n">
        <v>1</v>
      </c>
      <c r="I159" s="68" t="n"/>
      <c r="J159" s="69" t="n"/>
      <c r="K159" s="69" t="inlineStr">
        <is>
          <t>https://amazon.com/dp/B0FXMP177Q</t>
        </is>
      </c>
      <c r="L159" s="114">
        <f>HYPERLINK(Table1311[[#This Row],[Column1]])</f>
        <v/>
      </c>
    </row>
    <row r="160" ht="45" customHeight="1" s="314">
      <c r="A160" s="35" t="inlineStr">
        <is>
          <t>Autel Scanner MAXIDIAG MD600CV Heavy Duty Truck Scanner D-P-F Regen Full System Diesel Diagnostic Scan Tool Wireless Android Touchscreen Tablet for Truck Light Medium and Heavy Duty Truck Vehicle</t>
        </is>
      </c>
      <c r="B160" s="35" t="inlineStr">
        <is>
          <t>B0D97BL8PJ</t>
        </is>
      </c>
      <c r="C160" s="35" t="inlineStr">
        <is>
          <t>Handheld</t>
        </is>
      </c>
      <c r="D160" s="359" t="n">
        <v>997.165</v>
      </c>
      <c r="E160" s="359" t="n">
        <v>61809.55</v>
      </c>
      <c r="F160" s="361" t="n">
        <v>5982.99</v>
      </c>
      <c r="G160" s="68" t="n">
        <v>63</v>
      </c>
      <c r="H160" s="68" t="n">
        <v>6</v>
      </c>
      <c r="I160" s="68" t="n">
        <v>8</v>
      </c>
      <c r="J160" s="69" t="n">
        <v>4.8</v>
      </c>
      <c r="K160" s="69" t="inlineStr">
        <is>
          <t>https://amazon.com/dp/B0D97BL8PJ</t>
        </is>
      </c>
      <c r="L160" s="114">
        <f>HYPERLINK(Table1311[[#This Row],[Column1]])</f>
        <v/>
      </c>
    </row>
    <row r="161" ht="45" customHeight="1" s="314">
      <c r="A161" s="35" t="inlineStr">
        <is>
          <t>Autel CAN FD CANFD Adapter for GM MY2020 Vehicles, 2026 Compatible with Autel Scanner Diagnostic Scan Tool MaxiCOM MK808S MX808S DS808 Maxisys Elite 908 Series Models W/CAN FD Protocol (100% Original)</t>
        </is>
      </c>
      <c r="B161" s="35" t="inlineStr">
        <is>
          <t>B08B4KZGF3</t>
        </is>
      </c>
      <c r="C161" s="35" t="inlineStr">
        <is>
          <t>Cable/Adapter</t>
        </is>
      </c>
      <c r="D161" s="359" t="n">
        <v>118.3352</v>
      </c>
      <c r="E161" s="359" t="n">
        <v>85062.14</v>
      </c>
      <c r="F161" s="361" t="n">
        <v>5916.76</v>
      </c>
      <c r="G161" s="68" t="n">
        <v>715</v>
      </c>
      <c r="H161" s="68" t="n">
        <v>50</v>
      </c>
      <c r="I161" s="68" t="n">
        <v>71</v>
      </c>
      <c r="J161" s="69" t="n">
        <v>4.4</v>
      </c>
      <c r="K161" s="69" t="inlineStr">
        <is>
          <t>https://amazon.com/dp/B08B4KZGF3</t>
        </is>
      </c>
      <c r="L161" s="114">
        <f>HYPERLINK(Table1311[[#This Row],[Column1]])</f>
        <v/>
      </c>
    </row>
    <row r="162" ht="60" customHeight="1" s="314">
      <c r="A162" s="35" t="inlineStr">
        <is>
          <t>Autel MaxiVCI V150 Wireless Bluetooth Diagnostic Dongle, 2026 VCI 150 OBD2 Connector Adapter Car Communication Interface, Work w/Autel Scanner MK900BT MP900BT MP900Z-BT MP900TS MK900TS MX900TS TS900</t>
        </is>
      </c>
      <c r="B162" s="35" t="inlineStr">
        <is>
          <t>B0DK4RV3TZ</t>
        </is>
      </c>
      <c r="C162" s="35" t="inlineStr">
        <is>
          <t>Dongle</t>
        </is>
      </c>
      <c r="D162" s="359" t="n">
        <v>200.0613793103448</v>
      </c>
      <c r="E162" s="359" t="n">
        <v>61426.45</v>
      </c>
      <c r="F162" s="361" t="n">
        <v>5801.78</v>
      </c>
      <c r="G162" s="68" t="n">
        <v>311</v>
      </c>
      <c r="H162" s="68" t="n">
        <v>29</v>
      </c>
      <c r="I162" s="68" t="n">
        <v>10</v>
      </c>
      <c r="J162" s="69" t="n">
        <v>4.8</v>
      </c>
      <c r="K162" s="69" t="inlineStr">
        <is>
          <t>https://amazon.com/dp/B0DK4RV3TZ</t>
        </is>
      </c>
      <c r="L162" s="114">
        <f>HYPERLINK(Table1311[[#This Row],[Column1]])</f>
        <v/>
      </c>
    </row>
    <row r="163" ht="60" customHeight="1" s="314">
      <c r="A163" s="35" t="inlineStr">
        <is>
          <t>Autel MS300 OBD2 Scanner Code Reader, Turn Off Check Engine Light, Read &amp; Erase Fault Codes, Check Emission Monitor Status CAN Diagnostic Scan Tool</t>
        </is>
      </c>
      <c r="B163" s="35" t="inlineStr">
        <is>
          <t>B001LHVOVK</t>
        </is>
      </c>
      <c r="C163" s="35" t="inlineStr">
        <is>
          <t>Handheld</t>
        </is>
      </c>
      <c r="D163" s="359" t="n">
        <v>19.95560975609756</v>
      </c>
      <c r="E163" s="359" t="n">
        <v>84315.16307692308</v>
      </c>
      <c r="F163" s="361" t="n">
        <v>5727.26</v>
      </c>
      <c r="G163" s="68" t="n">
        <v>3744</v>
      </c>
      <c r="H163" s="68" t="n">
        <v>287</v>
      </c>
      <c r="I163" s="68" t="n">
        <v>20230</v>
      </c>
      <c r="J163" s="69" t="n">
        <v>4.4</v>
      </c>
      <c r="K163" s="69" t="inlineStr">
        <is>
          <t>https://amazon.com/dp/B001LHVOVK</t>
        </is>
      </c>
      <c r="L163" s="114">
        <f>HYPERLINK(Table1311[[#This Row],[Column1]])</f>
        <v/>
      </c>
    </row>
    <row r="164" ht="45" customHeight="1" s="314">
      <c r="A164" s="35" t="inlineStr">
        <is>
          <t>Autel Scanner MaxiPRO MP808BT PRO, 2 Years Update ($700), 2026 Up of MaxiSys MS906BT MaxiCOM MK900BT MK900, Advanced as MS906MAX MS906 PRO MP900-BT, 3000+ Active Test, 30+ Service, FCA, 11OS 4/ 64GB</t>
        </is>
      </c>
      <c r="B164" s="35" t="inlineStr">
        <is>
          <t>B09F2VJHW1</t>
        </is>
      </c>
      <c r="C164" s="35" t="inlineStr">
        <is>
          <t>Tablet</t>
        </is>
      </c>
      <c r="D164" s="359" t="n">
        <v>711.8512500000001</v>
      </c>
      <c r="E164" s="359" t="n">
        <v>109152.58</v>
      </c>
      <c r="F164" s="361" t="n">
        <v>5694.81</v>
      </c>
      <c r="G164" s="68" t="n">
        <v>146</v>
      </c>
      <c r="H164" s="68" t="n">
        <v>8</v>
      </c>
      <c r="I164" s="68" t="n">
        <v>108</v>
      </c>
      <c r="J164" s="69" t="n">
        <v>4.6</v>
      </c>
      <c r="K164" s="69" t="inlineStr">
        <is>
          <t>https://amazon.com/dp/B09F2VJHW1</t>
        </is>
      </c>
      <c r="L164" s="114">
        <f>HYPERLINK(Table1311[[#This Row],[Column1]])</f>
        <v/>
      </c>
    </row>
    <row r="165" ht="60" customHeight="1" s="314">
      <c r="A165" s="35" t="inlineStr">
        <is>
          <t>Autel MaxiSYS Ultra S2 AI Scanner: 2026 Top Intelligent Scan Tool, Up of Ultra EV MSUltra Elite II Pro MS909 MS919, 6-in-1 VCMI2, Topology 3.0, Motor Truspeed, 48+ Service, OE Programming, EV Tests</t>
        </is>
      </c>
      <c r="B165" s="35" t="inlineStr">
        <is>
          <t>B07JJD3NFL</t>
        </is>
      </c>
      <c r="C165" s="35" t="inlineStr">
        <is>
          <t>Tablet</t>
        </is>
      </c>
      <c r="D165" s="359" t="n">
        <v>5681</v>
      </c>
      <c r="E165" s="359" t="n">
        <v>75113.14</v>
      </c>
      <c r="F165" s="361" t="n">
        <v>5681</v>
      </c>
      <c r="G165" s="68" t="n">
        <v>10</v>
      </c>
      <c r="H165" s="68" t="n">
        <v>1</v>
      </c>
      <c r="I165" s="68" t="n">
        <v>28</v>
      </c>
      <c r="J165" s="69" t="n">
        <v>4</v>
      </c>
      <c r="K165" s="69" t="inlineStr">
        <is>
          <t>https://amazon.com/dp/B07JJD3NFL</t>
        </is>
      </c>
      <c r="L165" s="114">
        <f>HYPERLINK(Table1311[[#This Row],[Column1]])</f>
        <v/>
      </c>
    </row>
    <row r="166" ht="60" customHeight="1" s="314">
      <c r="A166" s="35" t="inlineStr">
        <is>
          <t>Autel OBD2 Scanner MaxiDIAG MD906PRO Scan Tool, 2026 MD906 PRO All System Diagnostic, Code Reader, 11 Reset Services, Oil/Brake/BMS/SAS/Injector, Free Lifetime Upgrade, Same MD909 PRO Lite of MK808S</t>
        </is>
      </c>
      <c r="B166" s="35" t="inlineStr">
        <is>
          <t>B0FG3DDHHB</t>
        </is>
      </c>
      <c r="C166" s="35" t="inlineStr">
        <is>
          <t>Tablet</t>
        </is>
      </c>
      <c r="D166" s="359" t="n">
        <v>282.5125</v>
      </c>
      <c r="E166" s="359" t="n">
        <v>69602.41153846153</v>
      </c>
      <c r="F166" s="361" t="n">
        <v>5650.25</v>
      </c>
      <c r="G166" s="68" t="n">
        <v>171</v>
      </c>
      <c r="H166" s="68" t="n">
        <v>20</v>
      </c>
      <c r="I166" s="68" t="n">
        <v>40</v>
      </c>
      <c r="J166" s="69" t="n">
        <v>4.7</v>
      </c>
      <c r="K166" s="69" t="inlineStr">
        <is>
          <t>https://amazon.com/dp/B0FG3DDHHB</t>
        </is>
      </c>
      <c r="L166" s="114">
        <f>HYPERLINK(Table1311[[#This Row],[Column1]])</f>
        <v/>
      </c>
    </row>
    <row r="167" ht="45" customHeight="1" s="314">
      <c r="A167" s="35" t="inlineStr">
        <is>
          <t>Autel AP2500E/AP2500 OBD2 Scanner Bluetooth Code Reader, Upgraded of AP200, OBDII Scanner All-System Diagnostic Tool, CAN FD, 5 Hot Resets, AutoVIN, Check Engine Light, Car Code Reader for Android/iOS</t>
        </is>
      </c>
      <c r="B167" s="35" t="inlineStr">
        <is>
          <t>B07Y8HLS33</t>
        </is>
      </c>
      <c r="C167" s="35" t="inlineStr">
        <is>
          <t>Dongle</t>
        </is>
      </c>
      <c r="D167" s="359" t="n">
        <v>59.03425531914894</v>
      </c>
      <c r="E167" s="359" t="n">
        <v>46366.92</v>
      </c>
      <c r="F167" s="361" t="n">
        <v>5549.22</v>
      </c>
      <c r="G167" s="68" t="n">
        <v>784</v>
      </c>
      <c r="H167" s="68" t="n">
        <v>94</v>
      </c>
      <c r="I167" s="68" t="n">
        <v>474</v>
      </c>
      <c r="J167" s="69" t="n">
        <v>3.9</v>
      </c>
      <c r="K167" s="69" t="inlineStr">
        <is>
          <t>https://amazon.com/dp/B07Y8HLS33</t>
        </is>
      </c>
      <c r="L167" s="114">
        <f>HYPERLINK(Table1311[[#This Row],[Column1]])</f>
        <v/>
      </c>
    </row>
    <row r="168" ht="60" customHeight="1" s="314">
      <c r="A168" s="35" t="inlineStr">
        <is>
          <t>Autel IM508S Pro Scanner OE Level Automotive Diagnostic Scan Tool 5X Faster Android 11.0 View Freeze Frame and Live Data FCA SGW 40+ Service Auto Scan 2.0 4-Core 4/64G</t>
        </is>
      </c>
      <c r="B168" s="35" t="inlineStr">
        <is>
          <t>B0G2RJ5HFL</t>
        </is>
      </c>
      <c r="C168" s="35" t="inlineStr">
        <is>
          <t>Tablet</t>
        </is>
      </c>
      <c r="D168" s="359" t="n">
        <v>1846.26</v>
      </c>
      <c r="E168" s="359" t="n">
        <v>70651.49000000001</v>
      </c>
      <c r="F168" s="361" t="n">
        <v>5538.78</v>
      </c>
      <c r="G168" s="68" t="n">
        <v>18</v>
      </c>
      <c r="H168" s="68" t="n">
        <v>3</v>
      </c>
      <c r="I168" s="68" t="n"/>
      <c r="J168" s="69" t="n"/>
      <c r="K168" s="69" t="inlineStr">
        <is>
          <t>https://amazon.com/dp/B0G2RJ5HFL</t>
        </is>
      </c>
      <c r="L168" s="114">
        <f>HYPERLINK(Table1311[[#This Row],[Column1]])</f>
        <v/>
      </c>
    </row>
    <row r="169" ht="60" customHeight="1" s="314">
      <c r="A169" s="35" t="inlineStr">
        <is>
          <t>Autel MaxiLink ML519 OBD2 Scanner [Same as AutoLink AL519], 2026 OBDII Diagnostic Scan Tool, Enhanced Mode 6 Fault Code Reader, Check Engine Light (MIL), One-Click Smog Check, Upgraded Ver. of AL319</t>
        </is>
      </c>
      <c r="B169" s="35" t="inlineStr">
        <is>
          <t>B07L8XS1ZG</t>
        </is>
      </c>
      <c r="C169" s="35" t="inlineStr">
        <is>
          <t>Handheld</t>
        </is>
      </c>
      <c r="D169" s="359" t="n">
        <v>60.14282608695652</v>
      </c>
      <c r="E169" s="359" t="n">
        <v>51749.82000000001</v>
      </c>
      <c r="F169" s="361" t="n">
        <v>5533.14</v>
      </c>
      <c r="G169" s="68" t="n">
        <v>873</v>
      </c>
      <c r="H169" s="68" t="n">
        <v>92</v>
      </c>
      <c r="I169" s="68" t="n">
        <v>1105</v>
      </c>
      <c r="J169" s="69" t="n">
        <v>4.5</v>
      </c>
      <c r="K169" s="69" t="inlineStr">
        <is>
          <t>https://amazon.com/dp/B07L8XS1ZG</t>
        </is>
      </c>
      <c r="L169" s="114">
        <f>HYPERLINK(Table1311[[#This Row],[Column1]])</f>
        <v/>
      </c>
    </row>
    <row r="170" ht="30" customHeight="1" s="314">
      <c r="A170" s="35" t="inlineStr">
        <is>
          <t>Autel Autolink Al329(Upgraded AL319) Code Reader OBDII Scanner</t>
        </is>
      </c>
      <c r="B170" s="35" t="inlineStr">
        <is>
          <t>B073RF7Z47</t>
        </is>
      </c>
      <c r="C170" s="35" t="inlineStr">
        <is>
          <t>Handheld</t>
        </is>
      </c>
      <c r="D170" s="359" t="n">
        <v>35.07866242038217</v>
      </c>
      <c r="E170" s="359" t="n">
        <v>45034.16000000001</v>
      </c>
      <c r="F170" s="361" t="n">
        <v>5507.35</v>
      </c>
      <c r="G170" s="68" t="n">
        <v>1307</v>
      </c>
      <c r="H170" s="68" t="n">
        <v>157</v>
      </c>
      <c r="I170" s="68" t="n">
        <v>546</v>
      </c>
      <c r="J170" s="69" t="n">
        <v>4.6</v>
      </c>
      <c r="K170" s="69" t="inlineStr">
        <is>
          <t>https://amazon.com/dp/B073RF7Z47</t>
        </is>
      </c>
      <c r="L170" s="114">
        <f>HYPERLINK(Table1311[[#This Row],[Column1]])</f>
        <v/>
      </c>
    </row>
    <row r="171" ht="45" customHeight="1" s="314">
      <c r="A171" s="35" t="inlineStr">
        <is>
          <t>Autel Original OBD2 Main Test Cable, 5.6ft 1.7M, 16 Pin OBDII Diagnostic Test Cable, Work with Scanner MK808 MK808S MK808Z MX808 MX808S MP808 MP808S MP808K DS708 DS808 MS906 MS908, IM508 IM508S</t>
        </is>
      </c>
      <c r="B171" s="35" t="inlineStr">
        <is>
          <t>B0DCZCNGFM</t>
        </is>
      </c>
      <c r="C171" s="35" t="inlineStr">
        <is>
          <t>Cable/Adapter</t>
        </is>
      </c>
      <c r="D171" s="359" t="n">
        <v>22.99435146443514</v>
      </c>
      <c r="E171" s="359" t="n">
        <v>39888.93000000001</v>
      </c>
      <c r="F171" s="361" t="n">
        <v>5495.65</v>
      </c>
      <c r="G171" s="68" t="n">
        <v>1737</v>
      </c>
      <c r="H171" s="68" t="n">
        <v>239</v>
      </c>
      <c r="I171" s="68" t="n">
        <v>61</v>
      </c>
      <c r="J171" s="69" t="n">
        <v>4.5</v>
      </c>
      <c r="K171" s="69" t="inlineStr">
        <is>
          <t>https://amazon.com/dp/B0DCZCNGFM</t>
        </is>
      </c>
      <c r="L171" s="114">
        <f>HYPERLINK(Table1311[[#This Row],[Column1]])</f>
        <v/>
      </c>
    </row>
    <row r="172" ht="45" customHeight="1" s="314">
      <c r="A172" s="35" t="inlineStr">
        <is>
          <t>Autel MaxiSys MS909CV Truck Scanner: 2026 Top MS909CV Up of MS908CV II, Topology 2.0, Intelligent Scanner for Commercial/Heavy Duty Truck, ECU Programmer Coding, 3K+ Test, 64 Service, Auto Scan 2.0</t>
        </is>
      </c>
      <c r="B172" s="35" t="inlineStr">
        <is>
          <t>B075ZLBR63</t>
        </is>
      </c>
      <c r="C172" s="35" t="inlineStr">
        <is>
          <t>Tablet</t>
        </is>
      </c>
      <c r="D172" s="359" t="n">
        <v>5349.39</v>
      </c>
      <c r="E172" s="359" t="n">
        <v>95835.78999999999</v>
      </c>
      <c r="F172" s="361" t="n">
        <v>5349.39</v>
      </c>
      <c r="G172" s="68" t="n">
        <v>21</v>
      </c>
      <c r="H172" s="68" t="n">
        <v>1</v>
      </c>
      <c r="I172" s="68" t="n">
        <v>6</v>
      </c>
      <c r="J172" s="69" t="n">
        <v>5</v>
      </c>
      <c r="K172" s="69" t="inlineStr">
        <is>
          <t>https://amazon.com/dp/B075ZLBR63</t>
        </is>
      </c>
      <c r="L172" s="114">
        <f>HYPERLINK(Table1311[[#This Row],[Column1]])</f>
        <v/>
      </c>
    </row>
    <row r="173" ht="30" customHeight="1" s="314">
      <c r="A173" s="35" t="inlineStr">
        <is>
          <t>Autel MaxiIM KM100 (X) OBD2 Scanner, 2026 Car Scan Tool, Lifetime Free Updates, VCI V200 Wireless BT Diagnostic, Auto VIN, 2GB &amp; 64GB, OS 9.0, for Home Mechanics &amp; DIYers, Lite of IM508S IM608 PRO 2</t>
        </is>
      </c>
      <c r="B173" s="35" t="inlineStr">
        <is>
          <t>B0FNN4RL6L</t>
        </is>
      </c>
      <c r="C173" s="35" t="inlineStr">
        <is>
          <t>Dongle</t>
        </is>
      </c>
      <c r="D173" s="359" t="n">
        <v>533.927</v>
      </c>
      <c r="E173" s="359" t="n">
        <v>57196.35153846155</v>
      </c>
      <c r="F173" s="361" t="n">
        <v>5339.27</v>
      </c>
      <c r="G173" s="68" t="n">
        <v>53</v>
      </c>
      <c r="H173" s="68" t="n">
        <v>10</v>
      </c>
      <c r="I173" s="68" t="n">
        <v>9</v>
      </c>
      <c r="J173" s="69" t="n">
        <v>4.4</v>
      </c>
      <c r="K173" s="69" t="inlineStr">
        <is>
          <t>https://amazon.com/dp/B0FNN4RL6L</t>
        </is>
      </c>
      <c r="L173" s="114">
        <f>HYPERLINK(Table1311[[#This Row],[Column1]])</f>
        <v/>
      </c>
    </row>
    <row r="174" ht="45" customHeight="1" s="314">
      <c r="A174" s="35" t="inlineStr">
        <is>
          <t>Autel Enet OBD 2 Cable for BMW F G Series Coding, Ethernet to OBD II OBDII Interface Cable, Compatible with BMW Software E-SYS ICOM ISTA+, Programming/Refresh Hidden Function, High Speed, 6.6ft/ 2M</t>
        </is>
      </c>
      <c r="B174" s="35" t="inlineStr">
        <is>
          <t>B0D4MCRF6P</t>
        </is>
      </c>
      <c r="C174" s="35" t="inlineStr">
        <is>
          <t>Cable/Adapter</t>
        </is>
      </c>
      <c r="D174" s="359" t="n">
        <v>19.94462406015038</v>
      </c>
      <c r="E174" s="359" t="n">
        <v>29956.23</v>
      </c>
      <c r="F174" s="361" t="n">
        <v>5305.27</v>
      </c>
      <c r="G174" s="68" t="n">
        <v>1501</v>
      </c>
      <c r="H174" s="68" t="n">
        <v>266</v>
      </c>
      <c r="I174" s="68" t="n">
        <v>66</v>
      </c>
      <c r="J174" s="69" t="n">
        <v>4.6</v>
      </c>
      <c r="K174" s="69" t="inlineStr">
        <is>
          <t>https://amazon.com/dp/B0D4MCRF6P</t>
        </is>
      </c>
      <c r="L174" s="114">
        <f>HYPERLINK(Table1311[[#This Row],[Column1]])</f>
        <v/>
      </c>
    </row>
    <row r="175" ht="60" customHeight="1" s="314">
      <c r="A175" s="35" t="inlineStr">
        <is>
          <t>Autel MaxiSys MS919S2 Scanner, 2026 Top Intelligent &amp; AI Diagnostic, ECU J2534 Pr0gram C0ding, Same as Ultra S2 Up of MSUltra MS909 S2, Topology 3.0, 6-in-1 VCMI2, Multi-Point DVI, 48+ Service</t>
        </is>
      </c>
      <c r="B175" s="35" t="inlineStr">
        <is>
          <t>B0GCZSL3X4</t>
        </is>
      </c>
      <c r="C175" s="35" t="inlineStr">
        <is>
          <t>Tablet</t>
        </is>
      </c>
      <c r="D175" s="359" t="n">
        <v>5299.98</v>
      </c>
      <c r="E175" s="359" t="n">
        <v>58621.87230769231</v>
      </c>
      <c r="F175" s="361" t="n">
        <v>5299.98</v>
      </c>
      <c r="G175" s="68" t="n">
        <v>2</v>
      </c>
      <c r="H175" s="68" t="n">
        <v>1</v>
      </c>
      <c r="I175" s="68" t="n">
        <v>2</v>
      </c>
      <c r="J175" s="69" t="n">
        <v>5</v>
      </c>
      <c r="K175" s="69" t="inlineStr">
        <is>
          <t>https://amazon.com/dp/B0GCZSL3X4</t>
        </is>
      </c>
      <c r="L175" s="114">
        <f>HYPERLINK(Table1311[[#This Row],[Column1]])</f>
        <v/>
      </c>
    </row>
    <row r="176" ht="45" customHeight="1" s="314">
      <c r="A176" s="35" t="inlineStr">
        <is>
          <t>Autel Scanner MaxiPRO MP900-BT w/ MV108S: 2026 MP900BT V2.0 Newer of MP900 MS906BT MS906 MP808BT PRO, 40+ Reset, OE Bidirectional Diagnostic Scan Tool as MS906 PRO/MAX, CAN FD/DoIP, 3K+ Tests, OS11</t>
        </is>
      </c>
      <c r="B176" s="35" t="inlineStr">
        <is>
          <t>B01B1P8JQ4</t>
        </is>
      </c>
      <c r="C176" s="35" t="inlineStr">
        <is>
          <t>Tablet</t>
        </is>
      </c>
      <c r="D176" s="359" t="n">
        <v>879.875</v>
      </c>
      <c r="E176" s="359" t="n">
        <v>157715.93</v>
      </c>
      <c r="F176" s="361" t="n">
        <v>5279.25</v>
      </c>
      <c r="G176" s="68" t="n">
        <v>169</v>
      </c>
      <c r="H176" s="68" t="n">
        <v>6</v>
      </c>
      <c r="I176" s="68" t="n">
        <v>319</v>
      </c>
      <c r="J176" s="69" t="n">
        <v>4.6</v>
      </c>
      <c r="K176" s="69" t="inlineStr">
        <is>
          <t>https://amazon.com/dp/B01B1P8JQ4</t>
        </is>
      </c>
      <c r="L176" s="114">
        <f>HYPERLINK(Table1311[[#This Row],[Column1]])</f>
        <v/>
      </c>
    </row>
    <row r="177" ht="60" customHeight="1" s="314">
      <c r="A177" s="35" t="inlineStr">
        <is>
          <t>Autel MaxiPRO MP900TS Scanner: 2026 MP900-TS Same as MS906 Pro-TS, Top TPMS Up of MaxiSYS MS906 PRO MS906TS MP900-BT MK900-TS, Bidirectional Scan Tool, 40+ Resets, Full Diagnostic, CAN FD&amp;DOIP</t>
        </is>
      </c>
      <c r="B177" s="35" t="inlineStr">
        <is>
          <t>B07YJGHSD4</t>
        </is>
      </c>
      <c r="C177" s="35" t="inlineStr">
        <is>
          <t>Tablet</t>
        </is>
      </c>
      <c r="D177" s="359" t="n">
        <v>1032.894</v>
      </c>
      <c r="E177" s="359" t="n">
        <v>45523.29</v>
      </c>
      <c r="F177" s="361" t="n">
        <v>5164.47</v>
      </c>
      <c r="G177" s="68" t="n">
        <v>42</v>
      </c>
      <c r="H177" s="68" t="n">
        <v>5</v>
      </c>
      <c r="I177" s="68" t="n">
        <v>169</v>
      </c>
      <c r="J177" s="69" t="n">
        <v>4.5</v>
      </c>
      <c r="K177" s="69" t="inlineStr">
        <is>
          <t>https://amazon.com/dp/B07YJGHSD4</t>
        </is>
      </c>
      <c r="L177" s="114">
        <f>HYPERLINK(Table1311[[#This Row],[Column1]])</f>
        <v/>
      </c>
    </row>
    <row r="178" ht="45" customHeight="1" s="314">
      <c r="A178" s="35" t="inlineStr">
        <is>
          <t>Autel Scanner MP900Z-BT 2026: Bidirectional OBD2 Scanner with ECU Coding &amp; 40+ Services, Upgraded of MP900/MP900E, Wireless VCI150, DoIP/CAN FD, All-System Diagnostic Tool, Alternative to MS906 Pro</t>
        </is>
      </c>
      <c r="B178" s="35" t="inlineStr">
        <is>
          <t>B0FL7N86JT</t>
        </is>
      </c>
      <c r="C178" s="35" t="inlineStr">
        <is>
          <t>Tablet</t>
        </is>
      </c>
      <c r="D178" s="359" t="n">
        <v>848.3266666666667</v>
      </c>
      <c r="E178" s="359" t="n">
        <v>45822.64769230771</v>
      </c>
      <c r="F178" s="361" t="n">
        <v>5089.96</v>
      </c>
      <c r="G178" s="68" t="n">
        <v>22</v>
      </c>
      <c r="H178" s="68" t="n">
        <v>6</v>
      </c>
      <c r="I178" s="68" t="n">
        <v>6</v>
      </c>
      <c r="J178" s="69" t="n">
        <v>5</v>
      </c>
      <c r="K178" s="69" t="inlineStr">
        <is>
          <t>https://amazon.com/dp/B0FL7N86JT</t>
        </is>
      </c>
      <c r="L178" s="114">
        <f>HYPERLINK(Table1311[[#This Row],[Column1]])</f>
        <v/>
      </c>
    </row>
    <row r="179" ht="30" customHeight="1" s="314">
      <c r="A179" s="35" t="inlineStr">
        <is>
          <t>12+8 Cable for Chrysler, 12 8 Pin Connector to OBD2 Adapter 2.6ft/ 0.8M, OBDII Security Gateway Bypass Cable for FCA SGW Vehicles, for Dodge, for Ram, for Chrysler, for Fiat, Fit All Auto Scanners</t>
        </is>
      </c>
      <c r="B179" s="35" t="inlineStr">
        <is>
          <t>B0D7VMLVNW</t>
        </is>
      </c>
      <c r="C179" s="35" t="inlineStr">
        <is>
          <t>Cable/Adapter</t>
        </is>
      </c>
      <c r="D179" s="359" t="n">
        <v>27.01031914893617</v>
      </c>
      <c r="E179" s="359" t="n">
        <v>92867.17</v>
      </c>
      <c r="F179" s="361" t="n">
        <v>5077.94</v>
      </c>
      <c r="G179" s="68" t="n">
        <v>3466</v>
      </c>
      <c r="H179" s="68" t="n">
        <v>188</v>
      </c>
      <c r="I179" s="68" t="n">
        <v>124</v>
      </c>
      <c r="J179" s="69" t="n">
        <v>4.7</v>
      </c>
      <c r="K179" s="69" t="inlineStr">
        <is>
          <t>https://amazon.com/dp/B0D7VMLVNW</t>
        </is>
      </c>
      <c r="L179" s="114">
        <f>HYPERLINK(Table1311[[#This Row],[Column1]])</f>
        <v/>
      </c>
    </row>
    <row r="180" ht="60" customHeight="1" s="314">
      <c r="A180" s="35" t="inlineStr">
        <is>
          <t>Autel MaxiSys Ultra ADAS, 2026 Top Intelligent Scan Diagnostic Tool with ADAS System Calibration Software, Up of MSUltra Lite MS919 MS909 MS908 Pro, Topology 2.0, 40+ Services, J2534 Programming</t>
        </is>
      </c>
      <c r="B180" s="35" t="inlineStr">
        <is>
          <t>B0D8VMZL46</t>
        </is>
      </c>
      <c r="C180" s="35" t="inlineStr">
        <is>
          <t>Tablet</t>
        </is>
      </c>
      <c r="D180" s="359" t="n">
        <v>5063.38</v>
      </c>
      <c r="E180" s="359" t="n">
        <v>58061.82</v>
      </c>
      <c r="F180" s="361" t="n">
        <v>5063.38</v>
      </c>
      <c r="G180" s="68" t="n">
        <v>11</v>
      </c>
      <c r="H180" s="68" t="n">
        <v>1</v>
      </c>
      <c r="I180" s="68" t="n">
        <v>1</v>
      </c>
      <c r="J180" s="69" t="n">
        <v>5</v>
      </c>
      <c r="K180" s="69" t="inlineStr">
        <is>
          <t>https://amazon.com/dp/B0D8VMZL46</t>
        </is>
      </c>
      <c r="L180" s="114">
        <f>HYPERLINK(Table1311[[#This Row],[Column1]])</f>
        <v/>
      </c>
    </row>
    <row r="181" ht="45" customHeight="1" s="314">
      <c r="A181" s="35" t="inlineStr">
        <is>
          <t>2026 Autel Scanner MaxiPRO MP808BT PRO KIT, 2 Years Update with 11PCS OBD Adapters, Function as MaxiSYS MS906 PRO MS906MAX, Up of MS906BT MK900BT MK900, Bidirectional 3000+Test, 30+ Services, FCA</t>
        </is>
      </c>
      <c r="B181" s="35" t="inlineStr">
        <is>
          <t>B098PXKRRL</t>
        </is>
      </c>
      <c r="C181" s="35" t="inlineStr">
        <is>
          <t>Tablet</t>
        </is>
      </c>
      <c r="D181" s="359" t="n">
        <v>714.6028571428571</v>
      </c>
      <c r="E181" s="359" t="n">
        <v>57069.42</v>
      </c>
      <c r="F181" s="361" t="n">
        <v>5002.22</v>
      </c>
      <c r="G181" s="68" t="n">
        <v>77</v>
      </c>
      <c r="H181" s="68" t="n">
        <v>7</v>
      </c>
      <c r="I181" s="68" t="n">
        <v>50</v>
      </c>
      <c r="J181" s="69" t="n">
        <v>4.7</v>
      </c>
      <c r="K181" s="69" t="inlineStr">
        <is>
          <t>https://amazon.com/dp/B098PXKRRL</t>
        </is>
      </c>
      <c r="L181" s="114">
        <f>HYPERLINK(Table1311[[#This Row],[Column1]])</f>
        <v/>
      </c>
    </row>
    <row r="182" ht="45" customHeight="1" s="314">
      <c r="A182" s="35" t="inlineStr">
        <is>
          <t>2026 Autel MaxiIM XP400 PRO Bi-Directional K** Progra-mer I-O Tool, 3000+ Chip Re-d/Wr-te/Learn/F-OB, EEPROM-Data, Work with Autel Scanner IM508 IM608 IM508S IM608 Pro 2 IM608S II</t>
        </is>
      </c>
      <c r="B182" s="35" t="inlineStr">
        <is>
          <t>B0DFWNZPQG</t>
        </is>
      </c>
      <c r="C182" s="35" t="inlineStr">
        <is>
          <t>Other</t>
        </is>
      </c>
      <c r="D182" s="359" t="n">
        <v>499.887</v>
      </c>
      <c r="E182" s="359" t="n">
        <v>29544.32</v>
      </c>
      <c r="F182" s="361" t="n">
        <v>4998.87</v>
      </c>
      <c r="G182" s="68" t="n">
        <v>59</v>
      </c>
      <c r="H182" s="68" t="n">
        <v>10</v>
      </c>
      <c r="I182" s="68" t="n">
        <v>34</v>
      </c>
      <c r="J182" s="69" t="n">
        <v>4.3</v>
      </c>
      <c r="K182" s="69" t="inlineStr">
        <is>
          <t>https://amazon.com/dp/B0DFWNZPQG</t>
        </is>
      </c>
      <c r="L182" s="114">
        <f>HYPERLINK(Table1311[[#This Row],[Column1]])</f>
        <v/>
      </c>
    </row>
    <row r="183" ht="17" customHeight="1" s="314">
      <c r="A183" s="35" t="inlineStr">
        <is>
          <t>Autel MaxiSYS Ultra EV 2026 Top EV Intelligent Diagnostic Scanner High-Voltage System &amp; Battery Pack Analysis 5-in-1 VCMI Topology 2.0 Motor TruSpeed Repair Up of MSUltra/ MS919</t>
        </is>
      </c>
      <c r="B183" s="35" t="inlineStr">
        <is>
          <t>B0BVV7PRXR</t>
        </is>
      </c>
      <c r="C183" s="35" t="inlineStr">
        <is>
          <t>Tablet</t>
        </is>
      </c>
      <c r="D183" s="359" t="n">
        <v>4994.88</v>
      </c>
      <c r="E183" s="359" t="n">
        <v>22347.77</v>
      </c>
      <c r="F183" s="361" t="n">
        <v>4994.88</v>
      </c>
      <c r="G183" s="68" t="n">
        <v>5</v>
      </c>
      <c r="H183" s="68" t="n">
        <v>1</v>
      </c>
      <c r="I183" s="68" t="n">
        <v>9</v>
      </c>
      <c r="J183" s="69" t="n">
        <v>4.8</v>
      </c>
      <c r="K183" s="69" t="inlineStr">
        <is>
          <t>https://amazon.com/dp/B0BVV7PRXR</t>
        </is>
      </c>
      <c r="L183" s="114">
        <f>HYPERLINK(Table1311[[#This Row],[Column1]])</f>
        <v/>
      </c>
    </row>
    <row r="184" ht="60" customHeight="1" s="314">
      <c r="A184" s="35" t="inlineStr">
        <is>
          <t>Autel MaxiCheck PRO AutoBleed Scan Tool, ABS Brake Bleed with with ABS SRS Diagnostics, Full OBDII, BMS EPB SRS SAS Oil Reset Services for Specific Vehicles, Free Update, Functions Not for All Cars</t>
        </is>
      </c>
      <c r="B184" s="35" t="inlineStr">
        <is>
          <t>B07NV4943F</t>
        </is>
      </c>
      <c r="C184" s="35" t="inlineStr">
        <is>
          <t>Handheld</t>
        </is>
      </c>
      <c r="D184" s="359" t="n">
        <v>178.2125</v>
      </c>
      <c r="E184" s="359" t="n">
        <v>60617.13769230769</v>
      </c>
      <c r="F184" s="361" t="n">
        <v>4989.95</v>
      </c>
      <c r="G184" s="68" t="n">
        <v>288</v>
      </c>
      <c r="H184" s="68" t="n">
        <v>28</v>
      </c>
      <c r="I184" s="68" t="n">
        <v>498</v>
      </c>
      <c r="J184" s="69" t="n">
        <v>4.4</v>
      </c>
      <c r="K184" s="69" t="inlineStr">
        <is>
          <t>https://amazon.com/dp/B07NV4943F</t>
        </is>
      </c>
      <c r="L184" s="114">
        <f>HYPERLINK(Table1311[[#This Row],[Column1]])</f>
        <v/>
      </c>
    </row>
    <row r="185" ht="45" customHeight="1" s="314">
      <c r="A185" s="35" t="inlineStr">
        <is>
          <t>Autel MaxiDiag MD806 OBD2 Scanner, ABS SRS Engine Transmission 4 Systems Diagnostic Scan Tool, 7 Hot Service as MD808 Pro, Oil Reset D-P.F, EPB SAS BMS Throttle A/F, Up of MD805 MD802, Free Update</t>
        </is>
      </c>
      <c r="B185" s="35" t="inlineStr">
        <is>
          <t>B07PXQVKBY</t>
        </is>
      </c>
      <c r="C185" s="35" t="inlineStr">
        <is>
          <t>Handheld</t>
        </is>
      </c>
      <c r="D185" s="359" t="n">
        <v>175.1292857142857</v>
      </c>
      <c r="E185" s="359" t="n">
        <v>52593.08</v>
      </c>
      <c r="F185" s="361" t="n">
        <v>4903.62</v>
      </c>
      <c r="G185" s="68" t="n">
        <v>269</v>
      </c>
      <c r="H185" s="68" t="n">
        <v>28</v>
      </c>
      <c r="I185" s="68" t="n">
        <v>1149</v>
      </c>
      <c r="J185" s="69" t="n">
        <v>4.4</v>
      </c>
      <c r="K185" s="69" t="inlineStr">
        <is>
          <t>https://amazon.com/dp/B07PXQVKBY</t>
        </is>
      </c>
      <c r="L185" s="114">
        <f>HYPERLINK(Table1311[[#This Row],[Column1]])</f>
        <v/>
      </c>
    </row>
    <row r="186" ht="60" customHeight="1" s="314">
      <c r="A186" s="35" t="inlineStr">
        <is>
          <t>Autel Scanner MaxiCOM MK908 II w/ $60 MV108S | 2026 10.1" Up of MaxiSYS MS908S II MS906 PRO MS906MAX, 3000+ Active Tests, 38+ Service as Elite II Pro MK908 PRO II, AutoScan2.0, OS10, OE All-Sys</t>
        </is>
      </c>
      <c r="B186" s="35" t="inlineStr">
        <is>
          <t>B07SKVMYK8</t>
        </is>
      </c>
      <c r="C186" s="35" t="inlineStr">
        <is>
          <t>Tablet</t>
        </is>
      </c>
      <c r="D186" s="359" t="n">
        <v>1605.133333333333</v>
      </c>
      <c r="E186" s="359" t="n">
        <v>46762.8</v>
      </c>
      <c r="F186" s="361" t="n">
        <v>4815.4</v>
      </c>
      <c r="G186" s="68" t="n">
        <v>30</v>
      </c>
      <c r="H186" s="68" t="n">
        <v>3</v>
      </c>
      <c r="I186" s="68" t="n">
        <v>78</v>
      </c>
      <c r="J186" s="69" t="n">
        <v>4.6</v>
      </c>
      <c r="K186" s="69" t="inlineStr">
        <is>
          <t>https://amazon.com/dp/B07SKVMYK8</t>
        </is>
      </c>
      <c r="L186" s="114">
        <f>HYPERLINK(Table1311[[#This Row],[Column1]])</f>
        <v/>
      </c>
    </row>
    <row r="187" ht="60" customHeight="1" s="314">
      <c r="A187" s="35" t="inlineStr">
        <is>
          <t>Autel MaxiCOM MK808S-TS OBD2 Scanner: 2026 Same TPMS Tool as MX808S-TS MP900-TS MS906 Pro w/ 3000+ Active Tests, 32 Service, TPMS Pr0gramming Relearn Retrofit, Full System, Up of MK900BT MK808BT Pro</t>
        </is>
      </c>
      <c r="B187" s="35" t="inlineStr">
        <is>
          <t>B07GZBCH7K</t>
        </is>
      </c>
      <c r="C187" s="35" t="inlineStr">
        <is>
          <t>Tablet</t>
        </is>
      </c>
      <c r="D187" s="359" t="n">
        <v>686.2214285714286</v>
      </c>
      <c r="E187" s="359" t="n">
        <v>225043.52</v>
      </c>
      <c r="F187" s="361" t="n">
        <v>4803.55</v>
      </c>
      <c r="G187" s="68" t="n">
        <v>326</v>
      </c>
      <c r="H187" s="68" t="n">
        <v>7</v>
      </c>
      <c r="I187" s="68" t="n">
        <v>630</v>
      </c>
      <c r="J187" s="69" t="n">
        <v>4.5</v>
      </c>
      <c r="K187" s="69" t="inlineStr">
        <is>
          <t>https://amazon.com/dp/B07GZBCH7K</t>
        </is>
      </c>
      <c r="L187" s="114">
        <f>HYPERLINK(Table1311[[#This Row],[Column1]])</f>
        <v/>
      </c>
    </row>
    <row r="188" ht="45" customHeight="1" s="314">
      <c r="A188" s="35" t="inlineStr">
        <is>
          <t>Autel Scanner MaxiCOM MK808Z-BT: Same As MK808BT Pro, Android 11 Bidirectional Scan Tool with 28+ Services, MK808S &amp; MX808S &amp; MK808 Upgraded, Bluetooth OBD2 Scanner Support BT506 &amp; FCA AutoAuth</t>
        </is>
      </c>
      <c r="B188" s="35" t="inlineStr">
        <is>
          <t>B08DG5SL9S</t>
        </is>
      </c>
      <c r="C188" s="35" t="inlineStr">
        <is>
          <t>Tablet</t>
        </is>
      </c>
      <c r="D188" s="359" t="n">
        <v>480.023</v>
      </c>
      <c r="E188" s="359" t="n">
        <v>47106</v>
      </c>
      <c r="F188" s="361" t="n">
        <v>4800.23</v>
      </c>
      <c r="G188" s="68" t="n">
        <v>91</v>
      </c>
      <c r="H188" s="68" t="n">
        <v>10</v>
      </c>
      <c r="I188" s="68" t="n">
        <v>133</v>
      </c>
      <c r="J188" s="69" t="n">
        <v>4.4</v>
      </c>
      <c r="K188" s="69" t="inlineStr">
        <is>
          <t>https://amazon.com/dp/B08DG5SL9S</t>
        </is>
      </c>
      <c r="L188" s="114">
        <f>HYPERLINK(Table1311[[#This Row],[Column1]])</f>
        <v/>
      </c>
    </row>
    <row r="189" ht="60" customHeight="1" s="314">
      <c r="A189" s="35" t="inlineStr">
        <is>
          <t>Autel MaxiIM OBD2 Scanner, 2026 OBDII Diagnostic Scan Tool with Lifetime Free Updates, Wireless BT Tool, 2GB &amp; 64GB Android 9.0, for Home Mechanics &amp; DIYers</t>
        </is>
      </c>
      <c r="B189" s="35" t="inlineStr">
        <is>
          <t>B0B31C95GX</t>
        </is>
      </c>
      <c r="C189" s="35" t="inlineStr">
        <is>
          <t>Key</t>
        </is>
      </c>
      <c r="D189" s="359" t="n">
        <v>533.2688888888889</v>
      </c>
      <c r="E189" s="359" t="n">
        <v>73048.09692307693</v>
      </c>
      <c r="F189" s="361" t="n">
        <v>4799.42</v>
      </c>
      <c r="G189" s="68" t="n">
        <v>79</v>
      </c>
      <c r="H189" s="68" t="n">
        <v>9</v>
      </c>
      <c r="I189" s="68" t="n">
        <v>225</v>
      </c>
      <c r="J189" s="69" t="n">
        <v>4.4</v>
      </c>
      <c r="K189" s="69" t="inlineStr">
        <is>
          <t>https://amazon.com/dp/B0B31C95GX</t>
        </is>
      </c>
      <c r="L189" s="114">
        <f>HYPERLINK(Table1311[[#This Row],[Column1]])</f>
        <v/>
      </c>
    </row>
    <row r="190" ht="60" customHeight="1" s="314">
      <c r="A190" s="35" t="inlineStr">
        <is>
          <t>Autel AutoLink AL619 OBD2 Scanner | 2026 ABS/SRS/CAN Diagnostic Tool | Read/Erase Codes, Check Engine Light, OBDII Live Data &amp; DTC Library | Upgrade for AL519, ML519, ML619 (Vehicle-Specific)</t>
        </is>
      </c>
      <c r="B190" s="35" t="inlineStr">
        <is>
          <t>B07PQJTQN2</t>
        </is>
      </c>
      <c r="C190" s="35" t="inlineStr">
        <is>
          <t>Handheld</t>
        </is>
      </c>
      <c r="D190" s="359" t="n">
        <v>99.94020833333332</v>
      </c>
      <c r="E190" s="359" t="n">
        <v>51012.91999999999</v>
      </c>
      <c r="F190" s="361" t="n">
        <v>4797.13</v>
      </c>
      <c r="G190" s="68" t="n">
        <v>509</v>
      </c>
      <c r="H190" s="68" t="n">
        <v>48</v>
      </c>
      <c r="I190" s="68" t="n">
        <v>541</v>
      </c>
      <c r="J190" s="69" t="n">
        <v>4.4</v>
      </c>
      <c r="K190" s="69" t="inlineStr">
        <is>
          <t>https://amazon.com/dp/B07PQJTQN2</t>
        </is>
      </c>
      <c r="L190" s="114">
        <f>HYPERLINK(Table1311[[#This Row],[Column1]])</f>
        <v/>
      </c>
    </row>
    <row r="191" ht="60" customHeight="1" s="314">
      <c r="A191" s="35" t="inlineStr">
        <is>
          <t>Autel MaxiSys MS906MAX Scanner, Upgrade Version of Ms906Pro, Top Scan Tool, Bidirectional Diagnostic Tool, Upgrade of MK900, MP900BT, MS906BT, MK908, ECU Coding, 40+ Services, All System Diagnosis</t>
        </is>
      </c>
      <c r="B191" s="35" t="inlineStr">
        <is>
          <t>B0DWMP16VT</t>
        </is>
      </c>
      <c r="C191" s="35" t="inlineStr">
        <is>
          <t>Tablet</t>
        </is>
      </c>
      <c r="D191" s="359" t="n">
        <v>1547.206666666667</v>
      </c>
      <c r="E191" s="359" t="n">
        <v>34583.46153846155</v>
      </c>
      <c r="F191" s="361" t="n">
        <v>4641.62</v>
      </c>
      <c r="G191" s="68" t="n">
        <v>8</v>
      </c>
      <c r="H191" s="68" t="n">
        <v>3</v>
      </c>
      <c r="I191" s="68" t="n">
        <v>1</v>
      </c>
      <c r="J191" s="69" t="n">
        <v>5</v>
      </c>
      <c r="K191" s="69" t="inlineStr">
        <is>
          <t>https://amazon.com/dp/B0DWMP16VT</t>
        </is>
      </c>
      <c r="L191" s="114">
        <f>HYPERLINK(Table1311[[#This Row],[Column1]])</f>
        <v/>
      </c>
    </row>
    <row r="192" ht="45" customHeight="1" s="314">
      <c r="A192" s="35" t="inlineStr">
        <is>
          <t>Autel MD600CV Heavy Duty Truck Scanner with D-P*F Regen/VGT Programming, Diesel Truck Full-System Diagnostic Scan Tool, 30+ Reset for Cummins, Detroit, Caterpillar, Volvo, Paccar, Dodge, Hino,Thomas</t>
        </is>
      </c>
      <c r="B192" s="35" t="inlineStr">
        <is>
          <t>B0D95SMX19</t>
        </is>
      </c>
      <c r="C192" s="35" t="inlineStr">
        <is>
          <t>Handheld</t>
        </is>
      </c>
      <c r="D192" s="359" t="n">
        <v>891.256</v>
      </c>
      <c r="E192" s="359" t="n">
        <v>36330.42</v>
      </c>
      <c r="F192" s="361" t="n">
        <v>4456.28</v>
      </c>
      <c r="G192" s="68" t="n">
        <v>36</v>
      </c>
      <c r="H192" s="68" t="n">
        <v>5</v>
      </c>
      <c r="I192" s="68" t="n">
        <v>3</v>
      </c>
      <c r="J192" s="69" t="n">
        <v>5</v>
      </c>
      <c r="K192" s="69" t="inlineStr">
        <is>
          <t>https://amazon.com/dp/B0D95SMX19</t>
        </is>
      </c>
      <c r="L192" s="114">
        <f>HYPERLINK(Table1311[[#This Row],[Column1]])</f>
        <v/>
      </c>
    </row>
    <row r="193" ht="45" customHeight="1" s="314">
      <c r="A193" s="35" t="inlineStr">
        <is>
          <t>Autel Scanner MaxiIM KM100 (X), 2026 OBD2 Diagnostic Scan Tool, Lifetime Free Updates, Compatible with 99% Cars, Auto Scan, V200 Wireless Conneciton, OS 9.0, 2GB+64GB, No IP Limited, Multilingual</t>
        </is>
      </c>
      <c r="B193" s="35" t="inlineStr">
        <is>
          <t>B0GKPBNHWS</t>
        </is>
      </c>
      <c r="C193" s="35" t="inlineStr">
        <is>
          <t>Tablet</t>
        </is>
      </c>
      <c r="D193" s="359" t="n">
        <v>555.35375</v>
      </c>
      <c r="E193" s="359" t="n">
        <v>51406.24846153845</v>
      </c>
      <c r="F193" s="361" t="n">
        <v>4442.83</v>
      </c>
      <c r="G193" s="68" t="n">
        <v>19</v>
      </c>
      <c r="H193" s="68" t="n">
        <v>8</v>
      </c>
      <c r="I193" s="68" t="n">
        <v>1</v>
      </c>
      <c r="J193" s="69" t="n">
        <v>5</v>
      </c>
      <c r="K193" s="69" t="inlineStr">
        <is>
          <t>https://amazon.com/dp/B0GKPBNHWS</t>
        </is>
      </c>
      <c r="L193" s="114">
        <f>HYPERLINK(Table1311[[#This Row],[Column1]])</f>
        <v/>
      </c>
    </row>
    <row r="194" ht="60" customHeight="1" s="314">
      <c r="A194" s="35" t="inlineStr">
        <is>
          <t>Autel MaxiSys Ultra Pro 2026 Scanner with MSOAK MSOBD2KIT Upgraded of Ultra Lite MS919 MS909 OBD2 Scanner 5-in-1 MaxiFlash VCMI Topology ECU Programming 15000+ Vehicle 40+ Service</t>
        </is>
      </c>
      <c r="B194" s="35" t="inlineStr">
        <is>
          <t>B0D6G96Y35</t>
        </is>
      </c>
      <c r="C194" s="35" t="inlineStr">
        <is>
          <t>Tablet</t>
        </is>
      </c>
      <c r="D194" s="359" t="n">
        <v>4399</v>
      </c>
      <c r="E194" s="359" t="n">
        <v>35036.49</v>
      </c>
      <c r="F194" s="361" t="n">
        <v>4399</v>
      </c>
      <c r="G194" s="68" t="n">
        <v>8</v>
      </c>
      <c r="H194" s="68" t="n">
        <v>1</v>
      </c>
      <c r="I194" s="68" t="n"/>
      <c r="J194" s="69" t="n"/>
      <c r="K194" s="69" t="inlineStr">
        <is>
          <t>https://amazon.com/dp/B0D6G96Y35</t>
        </is>
      </c>
      <c r="L194" s="114">
        <f>HYPERLINK(Table1311[[#This Row],[Column1]])</f>
        <v/>
      </c>
    </row>
    <row r="195" ht="60" customHeight="1" s="314">
      <c r="A195" s="35" t="inlineStr">
        <is>
          <t>Autel Scanner MaxiSYS MS906 MAX, 2026 MS906MAX Bi-Directional Tool Up of MS906 Pro MP900BT w/ECU C0ding, DoIP CANFD, FCA SGW AutAuth, All System Scan, 40+ Service 3000+ Active Tests as MS908S PRO II</t>
        </is>
      </c>
      <c r="B195" s="35" t="inlineStr">
        <is>
          <t>B089XWCTX3</t>
        </is>
      </c>
      <c r="C195" s="35" t="inlineStr">
        <is>
          <t>Tablet</t>
        </is>
      </c>
      <c r="D195" s="359" t="n">
        <v>1463.016666666667</v>
      </c>
      <c r="E195" s="359" t="n">
        <v>44903.3576923077</v>
      </c>
      <c r="F195" s="361" t="n">
        <v>4389.05</v>
      </c>
      <c r="G195" s="68" t="n">
        <v>3</v>
      </c>
      <c r="H195" s="68" t="n">
        <v>3</v>
      </c>
      <c r="I195" s="68" t="n">
        <v>191</v>
      </c>
      <c r="J195" s="69" t="n">
        <v>4.4</v>
      </c>
      <c r="K195" s="69" t="inlineStr">
        <is>
          <t>https://amazon.com/dp/B089XWCTX3</t>
        </is>
      </c>
      <c r="L195" s="114">
        <f>HYPERLINK(Table1311[[#This Row],[Column1]])</f>
        <v/>
      </c>
    </row>
    <row r="196" ht="60" customHeight="1" s="314">
      <c r="A196" s="35" t="inlineStr">
        <is>
          <t>Autel MaxiSys MaxiVCI VCI Mini Bluetooth Diagnostic Interface, 2026 Vehicle Wireless Dongle, Work with Autel Scanner MaxiCOM MK808BT PRO MK808Z-BT MP808BT Pro MK808S-TS MX808S-TS MP808S-TS MK808TS</t>
        </is>
      </c>
      <c r="B196" s="35" t="inlineStr">
        <is>
          <t>B0BL6VPVYL</t>
        </is>
      </c>
      <c r="C196" s="35" t="inlineStr">
        <is>
          <t>Dongle</t>
        </is>
      </c>
      <c r="D196" s="359" t="n">
        <v>118.482972972973</v>
      </c>
      <c r="E196" s="359" t="n">
        <v>54966.90999999999</v>
      </c>
      <c r="F196" s="361" t="n">
        <v>4383.87</v>
      </c>
      <c r="G196" s="68" t="n">
        <v>513</v>
      </c>
      <c r="H196" s="68" t="n">
        <v>37</v>
      </c>
      <c r="I196" s="68" t="n">
        <v>66</v>
      </c>
      <c r="J196" s="69" t="n">
        <v>4.4</v>
      </c>
      <c r="K196" s="69" t="inlineStr">
        <is>
          <t>https://amazon.com/dp/B0BL6VPVYL</t>
        </is>
      </c>
      <c r="L196" s="114">
        <f>HYPERLINK(Table1311[[#This Row],[Column1]])</f>
        <v/>
      </c>
    </row>
    <row r="197" ht="45" customHeight="1" s="314">
      <c r="A197" s="35" t="inlineStr">
        <is>
          <t>Autel MaxiPRO MP900-TS Scanner: 2026 Level-up of MP808S-TS, MP808BT Pro, MS906TS w/DoIP CAN-FD, 40+ Services, OE ECU C0ding, TPMS Pr0gramming Relearn, Bi-Directional Test, All System Scan, FCA SGW</t>
        </is>
      </c>
      <c r="B197" s="35" t="inlineStr">
        <is>
          <t>B01IVFC0GW</t>
        </is>
      </c>
      <c r="C197" s="35" t="inlineStr">
        <is>
          <t>Tablet</t>
        </is>
      </c>
      <c r="D197" s="359" t="n">
        <v>1082.9425</v>
      </c>
      <c r="E197" s="359" t="n">
        <v>79524.41999999998</v>
      </c>
      <c r="F197" s="361" t="n">
        <v>4331.77</v>
      </c>
      <c r="G197" s="68" t="n">
        <v>73</v>
      </c>
      <c r="H197" s="68" t="n">
        <v>4</v>
      </c>
      <c r="I197" s="68" t="n">
        <v>42</v>
      </c>
      <c r="J197" s="69" t="n">
        <v>4.5</v>
      </c>
      <c r="K197" s="69" t="inlineStr">
        <is>
          <t>https://amazon.com/dp/B01IVFC0GW</t>
        </is>
      </c>
      <c r="L197" s="114">
        <f>HYPERLINK(Table1311[[#This Row],[Column1]])</f>
        <v/>
      </c>
    </row>
    <row r="198" ht="60" customHeight="1" s="314">
      <c r="A198" s="35" t="inlineStr">
        <is>
          <t>Autel MaxiCOM MK900-TS TPMS Scanner, 2026 Bidirectional Tool Updated of MaxiCheck MX808S-TS, MK808S-TS, MS906TS w/ 40+ Service, 3000+ Active Tests, All System Diagnose, No-IP Limited Ver. of MX900TS</t>
        </is>
      </c>
      <c r="B198" s="35" t="inlineStr">
        <is>
          <t>B08DFPK2HC</t>
        </is>
      </c>
      <c r="C198" s="35" t="inlineStr">
        <is>
          <t>Tablet</t>
        </is>
      </c>
      <c r="D198" s="359" t="n">
        <v>864.324</v>
      </c>
      <c r="E198" s="359" t="n">
        <v>63102.88999999999</v>
      </c>
      <c r="F198" s="361" t="n">
        <v>4321.62</v>
      </c>
      <c r="G198" s="68" t="n">
        <v>72</v>
      </c>
      <c r="H198" s="68" t="n">
        <v>5</v>
      </c>
      <c r="I198" s="68" t="n">
        <v>20</v>
      </c>
      <c r="J198" s="69" t="n">
        <v>4.4</v>
      </c>
      <c r="K198" s="69" t="inlineStr">
        <is>
          <t>https://amazon.com/dp/B08DFPK2HC</t>
        </is>
      </c>
      <c r="L198" s="114">
        <f>HYPERLINK(Table1311[[#This Row],[Column1]])</f>
        <v/>
      </c>
    </row>
    <row r="199" ht="45" customHeight="1" s="314">
      <c r="A199" s="35" t="inlineStr">
        <is>
          <t>Autel MaxiDiag MD808 PRO OBD2 Scanner, All System Diagnostic Scan Tool, Upgraded of MD806 MD802, 7 Hottest Special Service, Oil Reset, EPB, SAS, BMS, Throttle, Free Lifetime Update, Multilingual</t>
        </is>
      </c>
      <c r="B199" s="35" t="inlineStr">
        <is>
          <t>B08XN9LGJ2</t>
        </is>
      </c>
      <c r="C199" s="35" t="inlineStr">
        <is>
          <t>Handheld</t>
        </is>
      </c>
      <c r="D199" s="359" t="n">
        <v>253.4370588235294</v>
      </c>
      <c r="E199" s="359" t="n">
        <v>52216.41</v>
      </c>
      <c r="F199" s="361" t="n">
        <v>4308.43</v>
      </c>
      <c r="G199" s="68" t="n">
        <v>200</v>
      </c>
      <c r="H199" s="68" t="n">
        <v>17</v>
      </c>
      <c r="I199" s="68" t="n">
        <v>128</v>
      </c>
      <c r="J199" s="69" t="n">
        <v>4.3</v>
      </c>
      <c r="K199" s="69" t="inlineStr">
        <is>
          <t>https://amazon.com/dp/B08XN9LGJ2</t>
        </is>
      </c>
      <c r="L199" s="114">
        <f>HYPERLINK(Table1311[[#This Row],[Column1]])</f>
        <v/>
      </c>
    </row>
    <row r="200" ht="45" customHeight="1" s="314">
      <c r="A200" s="35" t="inlineStr">
        <is>
          <t>Autel MD909 PRO MaxiDiag OBD2 Scanner, 2026 MD909PRO BT Lite of MaxiCOM MK808S MX808S MK900, CAN FD, All System Diagnostic Tool, Up of MD906 PRO MD808 MD806, 11 Service, Battery Test, Free Update, FCA</t>
        </is>
      </c>
      <c r="B200" s="35" t="inlineStr">
        <is>
          <t>B0FN44Y8ZV</t>
        </is>
      </c>
      <c r="C200" s="35" t="inlineStr">
        <is>
          <t>Tablet</t>
        </is>
      </c>
      <c r="D200" s="359" t="n">
        <v>330.0123076923077</v>
      </c>
      <c r="E200" s="359" t="n">
        <v>45869.92153846154</v>
      </c>
      <c r="F200" s="361" t="n">
        <v>4290.16</v>
      </c>
      <c r="G200" s="68" t="n">
        <v>45</v>
      </c>
      <c r="H200" s="68" t="n">
        <v>13</v>
      </c>
      <c r="I200" s="68" t="n">
        <v>2</v>
      </c>
      <c r="J200" s="69" t="n">
        <v>5</v>
      </c>
      <c r="K200" s="69" t="inlineStr">
        <is>
          <t>https://amazon.com/dp/B0FN44Y8ZV</t>
        </is>
      </c>
      <c r="L200" s="114">
        <f>HYPERLINK(Table1311[[#This Row],[Column1]])</f>
        <v/>
      </c>
    </row>
    <row r="201" ht="45" customHeight="1" s="314">
      <c r="A201" s="35" t="inlineStr">
        <is>
          <t>Autel MaxiSys MaxiVCI VCI Mini OBD2 Adapter Connector, 2026 Vehicle Wireless Diagnostic Interface, Work w/Autel Scanner MaxiCOM MK808BT PRO MK808Z-BT MK808K-BT MP808BT Pro MK808S-TS MP808S-TS MK808TS</t>
        </is>
      </c>
      <c r="B201" s="35" t="inlineStr">
        <is>
          <t>B0F26J3QSC</t>
        </is>
      </c>
      <c r="C201" s="35" t="inlineStr">
        <is>
          <t>Tablet</t>
        </is>
      </c>
      <c r="D201" s="359" t="n">
        <v>118.9530555555556</v>
      </c>
      <c r="E201" s="359" t="n">
        <v>38112.27307692308</v>
      </c>
      <c r="F201" s="361" t="n">
        <v>4282.31</v>
      </c>
      <c r="G201" s="68" t="n">
        <v>256</v>
      </c>
      <c r="H201" s="68" t="n">
        <v>36</v>
      </c>
      <c r="I201" s="68" t="n">
        <v>17</v>
      </c>
      <c r="J201" s="69" t="n">
        <v>4.6</v>
      </c>
      <c r="K201" s="69" t="inlineStr">
        <is>
          <t>https://amazon.com/dp/B0F26J3QSC</t>
        </is>
      </c>
      <c r="L201" s="114">
        <f>HYPERLINK(Table1311[[#This Row],[Column1]])</f>
        <v/>
      </c>
    </row>
    <row r="202" ht="45" customHeight="1" s="314">
      <c r="A202" s="35" t="inlineStr">
        <is>
          <t>Autel Scanner MaxiIM KM100 (X), 2026 OBD2 Car Diagnostic Tool, V200 Wireless BT OBDII Scan Tool with Lifetime Free Updates, 700+ Models, 2GB &amp; 64GB Android 9.0, for Home Mechanics &amp; DIYers</t>
        </is>
      </c>
      <c r="B202" s="35" t="inlineStr">
        <is>
          <t>B0FZBK7KJD</t>
        </is>
      </c>
      <c r="C202" s="35" t="inlineStr">
        <is>
          <t>Tablet</t>
        </is>
      </c>
      <c r="D202" s="359" t="n">
        <v>474.4866666666667</v>
      </c>
      <c r="E202" s="359" t="n">
        <v>59865.36307692307</v>
      </c>
      <c r="F202" s="361" t="n">
        <v>4270.38</v>
      </c>
      <c r="G202" s="68" t="n">
        <v>47</v>
      </c>
      <c r="H202" s="68" t="n">
        <v>9</v>
      </c>
      <c r="I202" s="68" t="n">
        <v>1</v>
      </c>
      <c r="J202" s="69" t="n">
        <v>5</v>
      </c>
      <c r="K202" s="69" t="inlineStr">
        <is>
          <t>https://amazon.com/dp/B0FZBK7KJD</t>
        </is>
      </c>
      <c r="L202" s="114">
        <f>HYPERLINK(Table1311[[#This Row],[Column1]])</f>
        <v/>
      </c>
    </row>
    <row r="203" ht="45" customHeight="1" s="314">
      <c r="A203" s="35" t="inlineStr">
        <is>
          <t>2026 Autel MaxiSYS Ultra Scanner: Top Auto Tool with 40+ Service, 5-in-1 VCMI, Intelligent Scan, Topology Map, OE Programming &amp; Coding, Upgraded of MaxiCOM Ultra Lite Elite II Pro MS919 Ultra EV</t>
        </is>
      </c>
      <c r="B203" s="35" t="inlineStr">
        <is>
          <t>B08SVXHWK9</t>
        </is>
      </c>
      <c r="C203" s="35" t="inlineStr">
        <is>
          <t>Tablet</t>
        </is>
      </c>
      <c r="D203" s="359" t="n">
        <v>4258.72</v>
      </c>
      <c r="E203" s="359" t="n">
        <v>203772.1</v>
      </c>
      <c r="F203" s="361" t="n">
        <v>4258.72</v>
      </c>
      <c r="G203" s="68" t="n">
        <v>53</v>
      </c>
      <c r="H203" s="68" t="n">
        <v>1</v>
      </c>
      <c r="I203" s="68" t="n">
        <v>31</v>
      </c>
      <c r="J203" s="69" t="n">
        <v>4.3</v>
      </c>
      <c r="K203" s="69" t="inlineStr">
        <is>
          <t>https://amazon.com/dp/B08SVXHWK9</t>
        </is>
      </c>
      <c r="L203" s="114">
        <f>HYPERLINK(Table1311[[#This Row],[Column1]])</f>
        <v/>
      </c>
    </row>
    <row r="204" ht="60" customHeight="1" s="314">
      <c r="A204" s="35" t="inlineStr">
        <is>
          <t>Autel MaxiSYS MS906 PRO-TS Scanner: 2026 MS906Pro-TS Up of MP900TS MS906 PRO MP900BT MS906MAX, Full TPMS &amp; OE Coding, Bidirectional Scan Tool, 3000+ Test, 36+ Service, CAN FD&amp;DoIP, Auto Scan 2.0</t>
        </is>
      </c>
      <c r="B204" s="35" t="inlineStr">
        <is>
          <t>B01J1GWZVK</t>
        </is>
      </c>
      <c r="C204" s="35" t="inlineStr">
        <is>
          <t>Tablet</t>
        </is>
      </c>
      <c r="D204" s="359" t="n">
        <v>1388.883333333333</v>
      </c>
      <c r="E204" s="359" t="n">
        <v>45259.78</v>
      </c>
      <c r="F204" s="361" t="n">
        <v>4166.65</v>
      </c>
      <c r="G204" s="68" t="n">
        <v>28</v>
      </c>
      <c r="H204" s="68" t="n">
        <v>3</v>
      </c>
      <c r="I204" s="68" t="n">
        <v>42</v>
      </c>
      <c r="J204" s="69" t="n">
        <v>4.5</v>
      </c>
      <c r="K204" s="69" t="inlineStr">
        <is>
          <t>https://amazon.com/dp/B01J1GWZVK</t>
        </is>
      </c>
      <c r="L204" s="114">
        <f>HYPERLINK(Table1311[[#This Row],[Column1]])</f>
        <v/>
      </c>
    </row>
    <row r="205" ht="45" customHeight="1" s="314">
      <c r="A205" s="35" t="inlineStr">
        <is>
          <t>Autel MaxiCOM Ultra Lite Scanner: 2026 Intelligent Tool as MaxiSys Ultra S2, Up of MS909 MS919 Elite II Pro, 2 Years Free Update, Motor TruSpeed, Topology 2.0, 40+ Service, 3000+ Active Test, FCA SGW</t>
        </is>
      </c>
      <c r="B205" s="35" t="inlineStr">
        <is>
          <t>B0172DD22U</t>
        </is>
      </c>
      <c r="C205" s="35" t="inlineStr">
        <is>
          <t>Tablet</t>
        </is>
      </c>
      <c r="D205" s="359" t="n">
        <v>4145.81</v>
      </c>
      <c r="E205" s="359" t="n">
        <v>81436.96000000001</v>
      </c>
      <c r="F205" s="361" t="n">
        <v>4145.81</v>
      </c>
      <c r="G205" s="68" t="n">
        <v>36</v>
      </c>
      <c r="H205" s="68" t="n">
        <v>1</v>
      </c>
      <c r="I205" s="68" t="n">
        <v>7</v>
      </c>
      <c r="J205" s="69" t="n">
        <v>5</v>
      </c>
      <c r="K205" s="69" t="inlineStr">
        <is>
          <t>https://amazon.com/dp/B0172DD22U</t>
        </is>
      </c>
      <c r="L205" s="114">
        <f>HYPERLINK(Table1311[[#This Row],[Column1]])</f>
        <v/>
      </c>
    </row>
    <row r="206" ht="45" customHeight="1" s="314">
      <c r="A206" s="35" t="inlineStr">
        <is>
          <t>Autel EVDiag Box EV Diagnostics Upgrade Kit Professional Electric Vehicle Scanner for EV High-Voltage Sys &amp; Battery Pack Diagnostics Test Compatible with MaxiSys Ultra/Ultra ADAS/ MS919/ MS909</t>
        </is>
      </c>
      <c r="B206" s="35" t="inlineStr">
        <is>
          <t>B0BS8MC2V7</t>
        </is>
      </c>
      <c r="C206" s="35" t="inlineStr">
        <is>
          <t>VCI</t>
        </is>
      </c>
      <c r="D206" s="359" t="n">
        <v>820.778</v>
      </c>
      <c r="E206" s="359" t="n">
        <v>11775.47615384616</v>
      </c>
      <c r="F206" s="361" t="n">
        <v>4103.89</v>
      </c>
      <c r="G206" s="68" t="n">
        <v>9</v>
      </c>
      <c r="H206" s="68" t="n">
        <v>5</v>
      </c>
      <c r="I206" s="68" t="n"/>
      <c r="J206" s="69" t="n"/>
      <c r="K206" s="69" t="inlineStr">
        <is>
          <t>https://amazon.com/dp/B0BS8MC2V7</t>
        </is>
      </c>
      <c r="L206" s="114">
        <f>HYPERLINK(Table1311[[#This Row],[Column1]])</f>
        <v/>
      </c>
    </row>
    <row r="207" ht="60" customHeight="1" s="314">
      <c r="A207" s="35" t="inlineStr">
        <is>
          <t>Autel MaxiPRO MP808S Scanner, 2026 MP808S Scan Tool with 2-Year Update, OE ECU Function as MP900-BT MP900 MaxiSys MS906 PRO MS906MAX, 31+ Resets, 3K+ Tests, Up of MP808BT PRO MX900 MK900BT MK900</t>
        </is>
      </c>
      <c r="B207" s="35" t="inlineStr">
        <is>
          <t>B06XY1PY6D</t>
        </is>
      </c>
      <c r="C207" s="35" t="inlineStr">
        <is>
          <t>Tablet</t>
        </is>
      </c>
      <c r="D207" s="359" t="n">
        <v>678.1116666666667</v>
      </c>
      <c r="E207" s="359" t="n">
        <v>40795.9653846154</v>
      </c>
      <c r="F207" s="361" t="n">
        <v>4068.67</v>
      </c>
      <c r="G207" s="68" t="n">
        <v>56</v>
      </c>
      <c r="H207" s="68" t="n">
        <v>6</v>
      </c>
      <c r="I207" s="68" t="n">
        <v>346</v>
      </c>
      <c r="J207" s="69" t="n">
        <v>4.4</v>
      </c>
      <c r="K207" s="69" t="inlineStr">
        <is>
          <t>https://amazon.com/dp/B06XY1PY6D</t>
        </is>
      </c>
      <c r="L207" s="114">
        <f>HYPERLINK(Table1311[[#This Row],[Column1]])</f>
        <v/>
      </c>
    </row>
    <row r="208" ht="45" customHeight="1" s="314">
      <c r="A208" s="35" t="inlineStr">
        <is>
          <t>Autel Scanner MaxiDAS DS808S-BT PRO w/ 11pcs Adapters[$200], 2026 Work as MS906 Pro MP900BT MS906MAX, Bidirectional Scan Tool, All-Sys, Up DS808 DS708 MaxiPro MP808S MP808BT, 32+ Service, OS 11</t>
        </is>
      </c>
      <c r="B208" s="35" t="inlineStr">
        <is>
          <t>B0FCSB14KN</t>
        </is>
      </c>
      <c r="C208" s="35" t="inlineStr">
        <is>
          <t>Tablet</t>
        </is>
      </c>
      <c r="D208" s="359" t="n">
        <v>675.4116666666666</v>
      </c>
      <c r="E208" s="359" t="n">
        <v>40243.22461538462</v>
      </c>
      <c r="F208" s="361" t="n">
        <v>4052.47</v>
      </c>
      <c r="G208" s="68" t="n">
        <v>44</v>
      </c>
      <c r="H208" s="68" t="n">
        <v>6</v>
      </c>
      <c r="I208" s="68" t="n"/>
      <c r="J208" s="69" t="n"/>
      <c r="K208" s="69" t="inlineStr">
        <is>
          <t>https://amazon.com/dp/B0FCSB14KN</t>
        </is>
      </c>
      <c r="L208" s="114">
        <f>HYPERLINK(Table1311[[#This Row],[Column1]])</f>
        <v/>
      </c>
    </row>
    <row r="209" ht="60" customHeight="1" s="314">
      <c r="A209" s="35" t="inlineStr">
        <is>
          <t>Autel MaxiDiag MD906PRO MD906 Pro OBD2 Scanner: 2026 2.0 of MD802Pro MD806 MD808 Pro, Full Systems Diagnostics, 11 Service Oil Reset Bleeding Injector SAS etc, FCA SGW CAN FD, Free Update</t>
        </is>
      </c>
      <c r="B209" s="35" t="inlineStr">
        <is>
          <t>B0FHPX5VNF</t>
        </is>
      </c>
      <c r="C209" s="35" t="inlineStr">
        <is>
          <t>Tablet</t>
        </is>
      </c>
      <c r="D209" s="359" t="n">
        <v>268.4806666666667</v>
      </c>
      <c r="E209" s="359" t="n">
        <v>75102.98846153848</v>
      </c>
      <c r="F209" s="361" t="n">
        <v>4027.21</v>
      </c>
      <c r="G209" s="68" t="n">
        <v>214</v>
      </c>
      <c r="H209" s="68" t="n">
        <v>15</v>
      </c>
      <c r="I209" s="68" t="n">
        <v>31</v>
      </c>
      <c r="J209" s="69" t="n">
        <v>4.7</v>
      </c>
      <c r="K209" s="69" t="inlineStr">
        <is>
          <t>https://amazon.com/dp/B0FHPX5VNF</t>
        </is>
      </c>
      <c r="L209" s="114">
        <f>HYPERLINK(Table1311[[#This Row],[Column1]])</f>
        <v/>
      </c>
    </row>
    <row r="210" ht="45" customHeight="1" s="314">
      <c r="A210" s="35" t="inlineStr">
        <is>
          <t>Autel OBD 2 Extension Cable, Ultra-Long 10ft 3M, 16 Pin OBD II OBD2 Car Male to Female Extension Cord, OBD2 Diagnostic Extender Adapter, for All OBDII Vehicles</t>
        </is>
      </c>
      <c r="B210" s="35" t="inlineStr">
        <is>
          <t>B0D4QVZ7JG</t>
        </is>
      </c>
      <c r="C210" s="35" t="inlineStr">
        <is>
          <t>Cable/Adapter</t>
        </is>
      </c>
      <c r="D210" s="359" t="n">
        <v>25.9537012987013</v>
      </c>
      <c r="E210" s="359" t="n">
        <v>40381.5</v>
      </c>
      <c r="F210" s="361" t="n">
        <v>3996.87</v>
      </c>
      <c r="G210" s="68" t="n">
        <v>1557</v>
      </c>
      <c r="H210" s="68" t="n">
        <v>154</v>
      </c>
      <c r="I210" s="68" t="n">
        <v>97</v>
      </c>
      <c r="J210" s="69" t="n">
        <v>4.7</v>
      </c>
      <c r="K210" s="69" t="inlineStr">
        <is>
          <t>https://amazon.com/dp/B0D4QVZ7JG</t>
        </is>
      </c>
      <c r="L210" s="114">
        <f>HYPERLINK(Table1311[[#This Row],[Column1]])</f>
        <v/>
      </c>
    </row>
    <row r="211" ht="60" customHeight="1" s="314">
      <c r="A211" s="35" t="inlineStr">
        <is>
          <t>Autel MaxiCheck MX900 Scanner, 2026 Bidirectional Scan Tool with 3000+ Active Tests, All System Diagnosis, CAN FD/Do IP, OE No-IP Limited, Upgrade MK808S MK808BT MX808S MK808Z Same as MK900</t>
        </is>
      </c>
      <c r="B211" s="35" t="inlineStr">
        <is>
          <t>B0C1RPXXQ8</t>
        </is>
      </c>
      <c r="C211" s="35" t="inlineStr">
        <is>
          <t>Tablet</t>
        </is>
      </c>
      <c r="D211" s="359" t="n">
        <v>560.5085714285714</v>
      </c>
      <c r="E211" s="359" t="n">
        <v>73302.65769230769</v>
      </c>
      <c r="F211" s="361" t="n">
        <v>3923.56</v>
      </c>
      <c r="G211" s="68" t="n">
        <v>128</v>
      </c>
      <c r="H211" s="68" t="n">
        <v>7</v>
      </c>
      <c r="I211" s="68" t="n">
        <v>55</v>
      </c>
      <c r="J211" s="69" t="n">
        <v>4.4</v>
      </c>
      <c r="K211" s="69" t="inlineStr">
        <is>
          <t>https://amazon.com/dp/B0C1RPXXQ8</t>
        </is>
      </c>
      <c r="L211" s="114">
        <f>HYPERLINK(Table1311[[#This Row],[Column1]])</f>
        <v/>
      </c>
    </row>
    <row r="212" ht="45" customHeight="1" s="314">
      <c r="A212" s="35" t="inlineStr">
        <is>
          <t>Autel MaxiLink ML629 Automotive OBD2 Scanner, 2026 Newer Model Upgraded of AL619, ML619, Car Code Reader Check Engine ABS SRS Transmission Diagnostic Scan Tool with Auto VIN, Ready Test, DTC Lookup</t>
        </is>
      </c>
      <c r="B212" s="35" t="inlineStr">
        <is>
          <t>B07D9ZPHV4</t>
        </is>
      </c>
      <c r="C212" s="35" t="inlineStr">
        <is>
          <t>Handheld</t>
        </is>
      </c>
      <c r="D212" s="359" t="n">
        <v>113.9544117647059</v>
      </c>
      <c r="E212" s="359" t="n">
        <v>38353.43538461539</v>
      </c>
      <c r="F212" s="361" t="n">
        <v>3874.45</v>
      </c>
      <c r="G212" s="68" t="n">
        <v>307</v>
      </c>
      <c r="H212" s="68" t="n">
        <v>34</v>
      </c>
      <c r="I212" s="68" t="n">
        <v>221</v>
      </c>
      <c r="J212" s="69" t="n">
        <v>4.4</v>
      </c>
      <c r="K212" s="69" t="inlineStr">
        <is>
          <t>https://amazon.com/dp/B07D9ZPHV4</t>
        </is>
      </c>
      <c r="L212" s="114">
        <f>HYPERLINK(Table1311[[#This Row],[Column1]])</f>
        <v/>
      </c>
    </row>
    <row r="213" ht="45" customHeight="1" s="314">
      <c r="A213" s="35" t="inlineStr">
        <is>
          <t>Autel MaxiSys Ultra 1-Year Update Service, Total Care Program (TCP) Card, One Year Software Subscription &amp; Warranty</t>
        </is>
      </c>
      <c r="B213" s="35" t="inlineStr">
        <is>
          <t>B0G7FM9844</t>
        </is>
      </c>
      <c r="C213" s="35" t="inlineStr">
        <is>
          <t>Other</t>
        </is>
      </c>
      <c r="D213" s="359" t="n">
        <v>1283.4</v>
      </c>
      <c r="E213" s="359" t="n">
        <v>42761.43692307692</v>
      </c>
      <c r="F213" s="361" t="n">
        <v>3850.2</v>
      </c>
      <c r="G213" s="68" t="n">
        <v>9</v>
      </c>
      <c r="H213" s="68" t="n">
        <v>3</v>
      </c>
      <c r="I213" s="68" t="n"/>
      <c r="J213" s="69" t="n"/>
      <c r="K213" s="69" t="inlineStr">
        <is>
          <t>https://amazon.com/dp/B0G7FM9844</t>
        </is>
      </c>
      <c r="L213" s="114">
        <f>HYPERLINK(Table1311[[#This Row],[Column1]])</f>
        <v/>
      </c>
    </row>
    <row r="214" ht="60" customHeight="1" s="314">
      <c r="A214" s="35" t="inlineStr">
        <is>
          <t>Autel MaxiPRO MP808S Scanner, 2026 Bidirectional Scan Tool, 2-Year Update, Upgraded of MK808S MX900 MK900BT MP808BT PRO, Advanced ECU Coding as MP900-BT / MS906 PRO, 31+ Resets, All System Diagnostic</t>
        </is>
      </c>
      <c r="B214" s="35" t="inlineStr">
        <is>
          <t>B0BGJBJGQM</t>
        </is>
      </c>
      <c r="C214" s="35" t="inlineStr">
        <is>
          <t>Tablet</t>
        </is>
      </c>
      <c r="D214" s="359" t="n">
        <v>629.7466666666667</v>
      </c>
      <c r="E214" s="359" t="n">
        <v>48720.97000000001</v>
      </c>
      <c r="F214" s="361" t="n">
        <v>3778.48</v>
      </c>
      <c r="G214" s="68" t="n">
        <v>75</v>
      </c>
      <c r="H214" s="68" t="n">
        <v>6</v>
      </c>
      <c r="I214" s="68" t="n">
        <v>48</v>
      </c>
      <c r="J214" s="69" t="n">
        <v>4.7</v>
      </c>
      <c r="K214" s="69" t="inlineStr">
        <is>
          <t>https://amazon.com/dp/B0BGJBJGQM</t>
        </is>
      </c>
      <c r="L214" s="114">
        <f>HYPERLINK(Table1311[[#This Row],[Column1]])</f>
        <v/>
      </c>
    </row>
    <row r="215" ht="45" customHeight="1" s="314">
      <c r="A215" s="35" t="inlineStr">
        <is>
          <t>Autel MaxiVCI V200 Vehicle Communication Interface OBD2 Connector Bluetooth Adapter Work with MS906PRO MK906PRO TS ITS600 KM100 BT608 BT609 Wireless VCI200 Diagnostic DoIP CAN FD</t>
        </is>
      </c>
      <c r="B215" s="35" t="inlineStr">
        <is>
          <t>B0DDZY1L2Q</t>
        </is>
      </c>
      <c r="C215" s="35" t="inlineStr">
        <is>
          <t>VCI</t>
        </is>
      </c>
      <c r="D215" s="359" t="n">
        <v>218.5570588235294</v>
      </c>
      <c r="E215" s="359" t="n">
        <v>43002.38</v>
      </c>
      <c r="F215" s="361" t="n">
        <v>3715.47</v>
      </c>
      <c r="G215" s="68" t="n">
        <v>209</v>
      </c>
      <c r="H215" s="68" t="n">
        <v>17</v>
      </c>
      <c r="I215" s="68" t="n">
        <v>9</v>
      </c>
      <c r="J215" s="69" t="n">
        <v>5</v>
      </c>
      <c r="K215" s="69" t="inlineStr">
        <is>
          <t>https://amazon.com/dp/B0DDZY1L2Q</t>
        </is>
      </c>
      <c r="L215" s="114">
        <f>HYPERLINK(Table1311[[#This Row],[Column1]])</f>
        <v/>
      </c>
    </row>
    <row r="216" ht="60" customHeight="1" s="314">
      <c r="A216" s="35" t="inlineStr">
        <is>
          <t>Autel Scanner MaxiSYS MS909, 2026 Top Intelligent Scan Tool Same as MSUltra MS919 Ultra Lite, Motor TruSpeed, Topology 2.0, OE J2534 Functions, Up of Elite 2 Pro, 40+ Service 3000+ Tests, CAN FD DOIP</t>
        </is>
      </c>
      <c r="B216" s="35" t="inlineStr">
        <is>
          <t>B0995SJKH1</t>
        </is>
      </c>
      <c r="C216" s="35" t="inlineStr">
        <is>
          <t>Tablet</t>
        </is>
      </c>
      <c r="D216" s="359" t="n">
        <v>3618.36</v>
      </c>
      <c r="E216" s="359" t="n">
        <v>77656.7</v>
      </c>
      <c r="F216" s="361" t="n">
        <v>3618.36</v>
      </c>
      <c r="G216" s="68" t="n">
        <v>26</v>
      </c>
      <c r="H216" s="68" t="n">
        <v>1</v>
      </c>
      <c r="I216" s="68" t="n">
        <v>17</v>
      </c>
      <c r="J216" s="69" t="n">
        <v>4.7</v>
      </c>
      <c r="K216" s="69" t="inlineStr">
        <is>
          <t>https://amazon.com/dp/B0995SJKH1</t>
        </is>
      </c>
      <c r="L216" s="114">
        <f>HYPERLINK(Table1311[[#This Row],[Column1]])</f>
        <v/>
      </c>
    </row>
    <row r="217" ht="60" customHeight="1" s="314">
      <c r="A217" s="35" t="inlineStr">
        <is>
          <t>Autel MaxiDiag MD909 PRO All-Systems OBD2 Diagnostic Scanner, 11 Services, CAN FD &amp; DoIP, Upgraded from MD808PRO/MD906, FCA AutoAuth, Lifetime Free Updates, 1996+ US, Asian &amp; European Vehicles</t>
        </is>
      </c>
      <c r="B217" s="35" t="inlineStr">
        <is>
          <t>B0FFH14CPB</t>
        </is>
      </c>
      <c r="C217" s="35" t="inlineStr">
        <is>
          <t>Tablet</t>
        </is>
      </c>
      <c r="D217" s="359" t="n">
        <v>326.9545454545454</v>
      </c>
      <c r="E217" s="359" t="n">
        <v>75527.67461538462</v>
      </c>
      <c r="F217" s="361" t="n">
        <v>3596.5</v>
      </c>
      <c r="G217" s="68" t="n">
        <v>186</v>
      </c>
      <c r="H217" s="68" t="n">
        <v>11</v>
      </c>
      <c r="I217" s="68" t="n">
        <v>13</v>
      </c>
      <c r="J217" s="69" t="n">
        <v>4.3</v>
      </c>
      <c r="K217" s="69" t="inlineStr">
        <is>
          <t>https://amazon.com/dp/B0FFH14CPB</t>
        </is>
      </c>
      <c r="L217" s="114">
        <f>HYPERLINK(Table1311[[#This Row],[Column1]])</f>
        <v/>
      </c>
    </row>
    <row r="218" ht="60" customHeight="1" s="314">
      <c r="A218" s="35" t="inlineStr">
        <is>
          <t>Autel Scanner Maxicom MK900TS, 2026 MK900-TS Up of MS906-TS MX900TS MK808S-TS MK900BT MK900, Top TPMS Program/Relearn, 3000+ Active Test, 40+ Service, CAN FD &amp; DoIP, Bidirectional Scan Tool OS 11.0</t>
        </is>
      </c>
      <c r="B218" s="35" t="inlineStr">
        <is>
          <t>B06VW6HM8C</t>
        </is>
      </c>
      <c r="C218" s="35" t="inlineStr">
        <is>
          <t>Tablet</t>
        </is>
      </c>
      <c r="D218" s="359" t="n">
        <v>888.8825000000001</v>
      </c>
      <c r="E218" s="359" t="n">
        <v>48402.86</v>
      </c>
      <c r="F218" s="361" t="n">
        <v>3555.53</v>
      </c>
      <c r="G218" s="68" t="n">
        <v>55</v>
      </c>
      <c r="H218" s="68" t="n">
        <v>4</v>
      </c>
      <c r="I218" s="68" t="n">
        <v>91</v>
      </c>
      <c r="J218" s="69" t="n">
        <v>4.5</v>
      </c>
      <c r="K218" s="69" t="inlineStr">
        <is>
          <t>https://amazon.com/dp/B06VW6HM8C</t>
        </is>
      </c>
      <c r="L218" s="114">
        <f>HYPERLINK(Table1311[[#This Row],[Column1]])</f>
        <v/>
      </c>
    </row>
    <row r="219" ht="17" customHeight="1" s="314">
      <c r="A219" s="35" t="inlineStr">
        <is>
          <t>Autel Scanner MaxiPro MP900Z-BT: 2026 ECU Coding OBD2 Bidirectional Scan Tool with 40+ Services, Upgraded of MP900 MS906BT MP900BT All System OBDII Car Code Reader CAN FD, Alternative to MS906 Pro</t>
        </is>
      </c>
      <c r="B219" s="35" t="inlineStr">
        <is>
          <t>B0CCJMF7PY</t>
        </is>
      </c>
      <c r="C219" s="35" t="inlineStr">
        <is>
          <t>Tablet</t>
        </is>
      </c>
      <c r="D219" s="359" t="n">
        <v>882.3575</v>
      </c>
      <c r="E219" s="359" t="n">
        <v>29335.19</v>
      </c>
      <c r="F219" s="361" t="n">
        <v>3529.43</v>
      </c>
      <c r="G219" s="68" t="n">
        <v>31</v>
      </c>
      <c r="H219" s="68" t="n">
        <v>4</v>
      </c>
      <c r="I219" s="68" t="n">
        <v>133</v>
      </c>
      <c r="J219" s="69" t="n">
        <v>4.4</v>
      </c>
      <c r="K219" s="69" t="inlineStr">
        <is>
          <t>https://amazon.com/dp/B0CCJMF7PY</t>
        </is>
      </c>
      <c r="L219" s="114">
        <f>HYPERLINK(Table1311[[#This Row],[Column1]])</f>
        <v/>
      </c>
    </row>
    <row r="220" ht="45" customHeight="1" s="314">
      <c r="A220" s="35" t="inlineStr">
        <is>
          <t>Autel MaxiIM Blank Key, IKEYAT005BL, Programmable Universal Remote Fob Replacement, 5-Button, OE-Quality, OBD Learning for 700+ Cars, Dual-Band, 130FT Remote, Multi-Frequency, Work w/ KM100 Scan Tool</t>
        </is>
      </c>
      <c r="B220" s="35" t="inlineStr">
        <is>
          <t>B0D14TWPB6</t>
        </is>
      </c>
      <c r="C220" s="35" t="inlineStr">
        <is>
          <t>Key</t>
        </is>
      </c>
      <c r="D220" s="359" t="n">
        <v>40.06613636363637</v>
      </c>
      <c r="E220" s="359" t="n">
        <v>39408.33</v>
      </c>
      <c r="F220" s="361" t="n">
        <v>3525.82</v>
      </c>
      <c r="G220" s="68" t="n">
        <v>986</v>
      </c>
      <c r="H220" s="68" t="n">
        <v>88</v>
      </c>
      <c r="I220" s="68" t="n">
        <v>79</v>
      </c>
      <c r="J220" s="69" t="n">
        <v>4.3</v>
      </c>
      <c r="K220" s="69" t="inlineStr">
        <is>
          <t>https://amazon.com/dp/B0D14TWPB6</t>
        </is>
      </c>
      <c r="L220" s="114">
        <f>HYPERLINK(Table1311[[#This Row],[Column1]])</f>
        <v/>
      </c>
    </row>
    <row r="221" ht="45" customHeight="1" s="314">
      <c r="A221" s="35" t="inlineStr">
        <is>
          <t>2026 Autel CAN FD Adapter, Support CANFD Protocol for GM 2020+, for Ford 2021+, for FCA Cars 2020+, for Toyota 2020+, etc., Work with Autel OBD2 Scanner MK808S MX808S MaxiSys Elite MK908 MS908 MS906BT</t>
        </is>
      </c>
      <c r="B221" s="35" t="inlineStr">
        <is>
          <t>B0F26CZRFF</t>
        </is>
      </c>
      <c r="C221" s="35" t="inlineStr">
        <is>
          <t>Tablet</t>
        </is>
      </c>
      <c r="D221" s="359" t="n">
        <v>119.8744827586207</v>
      </c>
      <c r="E221" s="359" t="n">
        <v>26591.00538461538</v>
      </c>
      <c r="F221" s="361" t="n">
        <v>3476.36</v>
      </c>
      <c r="G221" s="68" t="n">
        <v>171</v>
      </c>
      <c r="H221" s="68" t="n">
        <v>29</v>
      </c>
      <c r="I221" s="68" t="n">
        <v>3</v>
      </c>
      <c r="J221" s="69" t="n">
        <v>5</v>
      </c>
      <c r="K221" s="69" t="inlineStr">
        <is>
          <t>https://amazon.com/dp/B0F26CZRFF</t>
        </is>
      </c>
      <c r="L221" s="114">
        <f>HYPERLINK(Table1311[[#This Row],[Column1]])</f>
        <v/>
      </c>
    </row>
    <row r="222" ht="45" customHeight="1" s="314">
      <c r="A222" s="35" t="inlineStr">
        <is>
          <t>2026 Autel ML629 OBD2 Scanner ABS SRS Engine Transmission Diagnoses OBD II Full Functions Upgraded Version of AL519/AL619/ ML619 for DIYers Professionals</t>
        </is>
      </c>
      <c r="B222" s="35" t="inlineStr">
        <is>
          <t>B07M66RH77</t>
        </is>
      </c>
      <c r="C222" s="35" t="inlineStr">
        <is>
          <t>Handheld</t>
        </is>
      </c>
      <c r="D222" s="359" t="n">
        <v>127.372962962963</v>
      </c>
      <c r="E222" s="359" t="n">
        <v>72095.19</v>
      </c>
      <c r="F222" s="361" t="n">
        <v>3439.07</v>
      </c>
      <c r="G222" s="68" t="n">
        <v>581</v>
      </c>
      <c r="H222" s="68" t="n">
        <v>27</v>
      </c>
      <c r="I222" s="68" t="n">
        <v>1114</v>
      </c>
      <c r="J222" s="69" t="n">
        <v>4.3</v>
      </c>
      <c r="K222" s="69" t="inlineStr">
        <is>
          <t>https://amazon.com/dp/B07M66RH77</t>
        </is>
      </c>
      <c r="L222" s="114">
        <f>HYPERLINK(Table1311[[#This Row],[Column1]])</f>
        <v/>
      </c>
    </row>
    <row r="223" ht="45" customHeight="1" s="314">
      <c r="A223" s="35" t="inlineStr">
        <is>
          <t>Autel Scanner MaxiCOM MX900, OE All-System OBD2 Scanner &amp; Bidirectional Tool, 8in Up of MK808S MK808BT MX808S MK808Z, 3000+ Active Tests, 40+ Service, CAN-FD&amp;DOIP, Smart Auto VI-N, FCA Auto Auth 11OS</t>
        </is>
      </c>
      <c r="B223" s="35" t="inlineStr">
        <is>
          <t>B0FLY2HCN7</t>
        </is>
      </c>
      <c r="C223" s="35" t="inlineStr">
        <is>
          <t>Tablet</t>
        </is>
      </c>
      <c r="D223" s="359" t="n">
        <v>570.5616666666666</v>
      </c>
      <c r="E223" s="359" t="n">
        <v>56306.50307692309</v>
      </c>
      <c r="F223" s="361" t="n">
        <v>3423.37</v>
      </c>
      <c r="G223" s="68" t="n">
        <v>69</v>
      </c>
      <c r="H223" s="68" t="n">
        <v>6</v>
      </c>
      <c r="I223" s="68" t="n">
        <v>369</v>
      </c>
      <c r="J223" s="69" t="n">
        <v>4.4</v>
      </c>
      <c r="K223" s="69" t="inlineStr">
        <is>
          <t>https://amazon.com/dp/B0FLY2HCN7</t>
        </is>
      </c>
      <c r="L223" s="114">
        <f>HYPERLINK(Table1311[[#This Row],[Column1]])</f>
        <v/>
      </c>
    </row>
    <row r="224" ht="45" customHeight="1" s="314">
      <c r="A224" s="35" t="inlineStr">
        <is>
          <t>Autel MaxiCheck MX900 Bidirectional Scanner: 2026 Up of MaxiCOM MK808S MX808S, Work as MK900-BT MK900BT OBD2 Diagnostic Tool w/ 3000+ Active Test, 40+ Service, CAN-FD&amp;DOIP, All System, FCA 11 OS</t>
        </is>
      </c>
      <c r="B224" s="35" t="inlineStr">
        <is>
          <t>B00LPIRY6E</t>
        </is>
      </c>
      <c r="C224" s="35" t="inlineStr">
        <is>
          <t>Tablet</t>
        </is>
      </c>
      <c r="D224" s="359" t="n">
        <v>568.5716666666666</v>
      </c>
      <c r="E224" s="359" t="n">
        <v>69897.99999999999</v>
      </c>
      <c r="F224" s="361" t="n">
        <v>3411.43</v>
      </c>
      <c r="G224" s="68" t="n">
        <v>115</v>
      </c>
      <c r="H224" s="68" t="n">
        <v>6</v>
      </c>
      <c r="I224" s="68" t="n">
        <v>466</v>
      </c>
      <c r="J224" s="69" t="n">
        <v>4.4</v>
      </c>
      <c r="K224" s="69" t="inlineStr">
        <is>
          <t>https://amazon.com/dp/B00LPIRY6E</t>
        </is>
      </c>
      <c r="L224" s="114">
        <f>HYPERLINK(Table1311[[#This Row],[Column1]])</f>
        <v/>
      </c>
    </row>
    <row r="225" ht="45" customHeight="1" s="314">
      <c r="A225" s="35" t="inlineStr">
        <is>
          <t>Autel MaxiDiag MD806 PRO OBD2 Scanner: Full Systems Diagnostic Scan Tool w/Live Data Oil Reset BMS SAS Throttle A/F EPB D-P.F, AutoScan, Up of MD808 MD806 MD805 MD802, Free Update, Data Print</t>
        </is>
      </c>
      <c r="B225" s="35" t="inlineStr">
        <is>
          <t>B0GFW5736P</t>
        </is>
      </c>
      <c r="C225" s="35" t="inlineStr">
        <is>
          <t>Tablet</t>
        </is>
      </c>
      <c r="D225" s="359" t="n">
        <v>200.6076470588235</v>
      </c>
      <c r="E225" s="359" t="n">
        <v>37954.66230769231</v>
      </c>
      <c r="F225" s="361" t="n">
        <v>3410.33</v>
      </c>
      <c r="G225" s="68" t="n">
        <v>49</v>
      </c>
      <c r="H225" s="68" t="n">
        <v>17</v>
      </c>
      <c r="I225" s="68" t="n">
        <v>91</v>
      </c>
      <c r="J225" s="69" t="n">
        <v>4.5</v>
      </c>
      <c r="K225" s="69" t="inlineStr">
        <is>
          <t>https://amazon.com/dp/B0GFW5736P</t>
        </is>
      </c>
      <c r="L225" s="114">
        <f>HYPERLINK(Table1311[[#This Row],[Column1]])</f>
        <v/>
      </c>
    </row>
    <row r="226" ht="45" customHeight="1" s="314">
      <c r="A226" s="35" t="inlineStr">
        <is>
          <t>Autel Scanner Diagnostic Scan Tool, 2026 OBD2 Car Scanner with 4 Useful Accessories Worth 2000Bucks, 40 Services, OE Full System, Full Bidirectional Tool, 3K+ Active Test, DOIP CANFD, OS10, 4G&amp;128G</t>
        </is>
      </c>
      <c r="B226" s="35" t="inlineStr">
        <is>
          <t>B09ZPK3PBV</t>
        </is>
      </c>
      <c r="C226" s="35" t="inlineStr">
        <is>
          <t>Tablet</t>
        </is>
      </c>
      <c r="D226" s="359" t="n">
        <v>3384.2</v>
      </c>
      <c r="E226" s="359" t="n">
        <v>66829.99692307692</v>
      </c>
      <c r="F226" s="361" t="n">
        <v>3384.2</v>
      </c>
      <c r="G226" s="68" t="n">
        <v>18</v>
      </c>
      <c r="H226" s="68" t="n">
        <v>1</v>
      </c>
      <c r="I226" s="68" t="n">
        <v>6</v>
      </c>
      <c r="J226" s="69" t="n">
        <v>5</v>
      </c>
      <c r="K226" s="69" t="inlineStr">
        <is>
          <t>https://amazon.com/dp/B09ZPK3PBV</t>
        </is>
      </c>
      <c r="L226" s="114">
        <f>HYPERLINK(Table1311[[#This Row],[Column1]])</f>
        <v/>
      </c>
    </row>
    <row r="227" ht="45" customHeight="1" s="314">
      <c r="A227" s="35" t="inlineStr">
        <is>
          <t>Autel MaxiSys Elite II Pro Scanner J2534 Reprogramming Tool 2-Years Free Update Motor TruSpeed Repair CANFD &amp;DoIP 40+ Hot Services 3K+ Active Test as Ultra MS908S PRO II Up of MS908S Pro II MK908P</t>
        </is>
      </c>
      <c r="B227" s="35" t="inlineStr">
        <is>
          <t>B0FHVC9TMC</t>
        </is>
      </c>
      <c r="C227" s="35" t="inlineStr">
        <is>
          <t>Tablet</t>
        </is>
      </c>
      <c r="D227" s="359" t="n">
        <v>3367.26</v>
      </c>
      <c r="E227" s="359" t="n">
        <v>95356.52000000002</v>
      </c>
      <c r="F227" s="361" t="n">
        <v>3367.26</v>
      </c>
      <c r="G227" s="68" t="n">
        <v>35</v>
      </c>
      <c r="H227" s="68" t="n">
        <v>1</v>
      </c>
      <c r="I227" s="68" t="n">
        <v>4</v>
      </c>
      <c r="J227" s="69" t="n">
        <v>4.7</v>
      </c>
      <c r="K227" s="69" t="inlineStr">
        <is>
          <t>https://amazon.com/dp/B0FHVC9TMC</t>
        </is>
      </c>
      <c r="L227" s="114">
        <f>HYPERLINK(Table1311[[#This Row],[Column1]])</f>
        <v/>
      </c>
    </row>
    <row r="228" ht="60" customHeight="1" s="314">
      <c r="A228" s="35" t="inlineStr">
        <is>
          <t>Autel MaxiSys MS906 Pro-TS Scanner, 2026 Same as MS906 PRO2-TS Up of MP900TS MS-906MAX MS906PRO, Top TPMS Scan Tool W/OE C0d-ing, 3000+ Active Test, 36+ Service, CAN FD&amp;DoIP Auto Scan 2.0</t>
        </is>
      </c>
      <c r="B228" s="35" t="inlineStr">
        <is>
          <t>B071RLXN2W</t>
        </is>
      </c>
      <c r="C228" s="35" t="inlineStr">
        <is>
          <t>Tablet</t>
        </is>
      </c>
      <c r="D228" s="359" t="n">
        <v>1647.8</v>
      </c>
      <c r="E228" s="359" t="n">
        <v>92200.19</v>
      </c>
      <c r="F228" s="361" t="n">
        <v>3295.6</v>
      </c>
      <c r="G228" s="68" t="n">
        <v>58</v>
      </c>
      <c r="H228" s="68" t="n">
        <v>2</v>
      </c>
      <c r="I228" s="68" t="n">
        <v>25</v>
      </c>
      <c r="J228" s="69" t="n">
        <v>4.7</v>
      </c>
      <c r="K228" s="69" t="inlineStr">
        <is>
          <t>https://amazon.com/dp/B071RLXN2W</t>
        </is>
      </c>
      <c r="L228" s="114">
        <f>HYPERLINK(Table1311[[#This Row],[Column1]])</f>
        <v/>
      </c>
    </row>
    <row r="229" ht="45" customHeight="1" s="314">
      <c r="A229" s="35" t="inlineStr">
        <is>
          <t>Autel MaxiIM IM508S Pro OBD2 Diagnostic Scanner, 2026 All System Scan Tool w/Pro Accessory up of IM508S, Professional Automotive Tablet Work as IM608 Pro II w/ 40+ Reset Services, 3000+ Active Tests</t>
        </is>
      </c>
      <c r="B229" s="35" t="inlineStr">
        <is>
          <t>B0FSZDZ264</t>
        </is>
      </c>
      <c r="C229" s="35" t="inlineStr">
        <is>
          <t>Tablet</t>
        </is>
      </c>
      <c r="D229" s="359" t="n">
        <v>1637.7</v>
      </c>
      <c r="E229" s="359" t="n">
        <v>39556.75384615385</v>
      </c>
      <c r="F229" s="361" t="n">
        <v>3275.4</v>
      </c>
      <c r="G229" s="68" t="n">
        <v>2</v>
      </c>
      <c r="H229" s="68" t="n">
        <v>2</v>
      </c>
      <c r="I229" s="68" t="n">
        <v>1</v>
      </c>
      <c r="J229" s="69" t="n">
        <v>5</v>
      </c>
      <c r="K229" s="69" t="inlineStr">
        <is>
          <t>https://amazon.com/dp/B0FSZDZ264</t>
        </is>
      </c>
      <c r="L229" s="114">
        <f>HYPERLINK(Table1311[[#This Row],[Column1]])</f>
        <v/>
      </c>
    </row>
    <row r="230" ht="45" customHeight="1" s="314">
      <c r="A230" s="35" t="inlineStr">
        <is>
          <t>Autel Original 3-in-1 OBD2 Adapter Cable,16 Pin to 6/4/3 Pin OBD Diagnostic Cable, OBD2 to OBD1 6pin 4pin 3pin Plug Adapter for Motorcycle Honda/Guzzi/Kawasaki/Suzuki, Compatible with OBDII Scanners</t>
        </is>
      </c>
      <c r="B230" s="35" t="inlineStr">
        <is>
          <t>B0DF2M277F</t>
        </is>
      </c>
      <c r="C230" s="35" t="inlineStr">
        <is>
          <t>Cable/Adapter</t>
        </is>
      </c>
      <c r="D230" s="359" t="n">
        <v>23.05607142857143</v>
      </c>
      <c r="E230" s="359" t="n">
        <v>22159.69384615384</v>
      </c>
      <c r="F230" s="361" t="n">
        <v>3227.85</v>
      </c>
      <c r="G230" s="68" t="n">
        <v>835</v>
      </c>
      <c r="H230" s="68" t="n">
        <v>140</v>
      </c>
      <c r="I230" s="68" t="n">
        <v>31</v>
      </c>
      <c r="J230" s="69" t="n">
        <v>4.3</v>
      </c>
      <c r="K230" s="69" t="inlineStr">
        <is>
          <t>https://amazon.com/dp/B0DF2M277F</t>
        </is>
      </c>
      <c r="L230" s="114">
        <f>HYPERLINK(Table1311[[#This Row],[Column1]])</f>
        <v/>
      </c>
    </row>
    <row r="231" ht="60" customHeight="1" s="314">
      <c r="A231" s="35" t="inlineStr">
        <is>
          <t>Autel Scanner MaxiCOM MK900BT, 2026 MK900-BT Bidirectional OBD2 Diagnostic Tool CAN FD DoIP, BT 2.0 Up. of MK900 MK808S MK808BT PRO MX900 MX808S, 40+ Service 3000+ Active Tests, OE Diagnostic, FCA SGW</t>
        </is>
      </c>
      <c r="B231" s="35" t="inlineStr">
        <is>
          <t>B0BSB1CZ8H</t>
        </is>
      </c>
      <c r="C231" s="35" t="inlineStr">
        <is>
          <t>Tablet</t>
        </is>
      </c>
      <c r="D231" s="359" t="n">
        <v>645.302</v>
      </c>
      <c r="E231" s="359" t="n">
        <v>49952.37</v>
      </c>
      <c r="F231" s="361" t="n">
        <v>3226.51</v>
      </c>
      <c r="G231" s="68" t="n">
        <v>80</v>
      </c>
      <c r="H231" s="68" t="n">
        <v>5</v>
      </c>
      <c r="I231" s="68" t="n">
        <v>22</v>
      </c>
      <c r="J231" s="69" t="n">
        <v>4.7</v>
      </c>
      <c r="K231" s="69" t="inlineStr">
        <is>
          <t>https://amazon.com/dp/B0BSB1CZ8H</t>
        </is>
      </c>
      <c r="L231" s="114">
        <f>HYPERLINK(Table1311[[#This Row],[Column1]])</f>
        <v/>
      </c>
    </row>
    <row r="232" ht="45" customHeight="1" s="314">
      <c r="A232" s="35" t="inlineStr">
        <is>
          <t>Autel Original BENZ-38 PIN Adapter, 38 Pin Male to 16 Pin Female OBDII Connector Compatible with Mercedes-Benz Pre-2001, Work with OBD2 Diagnostic Scan Tool OBD II Scanner</t>
        </is>
      </c>
      <c r="B232" s="35" t="inlineStr">
        <is>
          <t>B0D62Z3ZGV</t>
        </is>
      </c>
      <c r="C232" s="35" t="inlineStr">
        <is>
          <t>Cable/Adapter</t>
        </is>
      </c>
      <c r="D232" s="359" t="n">
        <v>49.6040625</v>
      </c>
      <c r="E232" s="359" t="n">
        <v>29819.69</v>
      </c>
      <c r="F232" s="361" t="n">
        <v>3174.66</v>
      </c>
      <c r="G232" s="68" t="n">
        <v>522</v>
      </c>
      <c r="H232" s="68" t="n">
        <v>64</v>
      </c>
      <c r="I232" s="68" t="n">
        <v>23</v>
      </c>
      <c r="J232" s="69" t="n">
        <v>4.5</v>
      </c>
      <c r="K232" s="69" t="inlineStr">
        <is>
          <t>https://amazon.com/dp/B0D62Z3ZGV</t>
        </is>
      </c>
      <c r="L232" s="114">
        <f>HYPERLINK(Table1311[[#This Row],[Column1]])</f>
        <v/>
      </c>
    </row>
    <row r="233" ht="45" customHeight="1" s="314">
      <c r="A233" s="35" t="inlineStr">
        <is>
          <t>Autel MaxiCheck MX900 Bidirectional Scanner, 2026 OBD2 Scan Tool Up of MaxiCOM MK808S MX808S MK808BT Pro, US Ver. of MK900BT w/ 3000+ Active Test, 40+ Service, CAN-FD&amp;DOIP, All-Sys Diagnose, FCA 11 OS</t>
        </is>
      </c>
      <c r="B233" s="35" t="inlineStr">
        <is>
          <t>B0GNTKBQD8</t>
        </is>
      </c>
      <c r="C233" s="35" t="inlineStr">
        <is>
          <t>Tablet</t>
        </is>
      </c>
      <c r="D233" s="359" t="n">
        <v>633.292</v>
      </c>
      <c r="E233" s="359" t="n">
        <v>35318.20769230769</v>
      </c>
      <c r="F233" s="361" t="n">
        <v>3166.46</v>
      </c>
      <c r="G233" s="68" t="n">
        <v>5</v>
      </c>
      <c r="H233" s="68" t="n">
        <v>5</v>
      </c>
      <c r="I233" s="68" t="n">
        <v>6</v>
      </c>
      <c r="J233" s="69" t="n">
        <v>4.7</v>
      </c>
      <c r="K233" s="69" t="inlineStr">
        <is>
          <t>https://amazon.com/dp/B0GNTKBQD8</t>
        </is>
      </c>
      <c r="L233" s="114">
        <f>HYPERLINK(Table1311[[#This Row],[Column1]])</f>
        <v/>
      </c>
    </row>
    <row r="234" ht="60" customHeight="1" s="314">
      <c r="A234" s="35" t="inlineStr">
        <is>
          <t>Autel MaxiSys MS908CV II Heavy Duty Truck Scanner, J2534 ECU Programming Tool, Upgraded from MS908CV, 64+ Services, All System Diagnostics, Class 1–9 Vehicles, Commercial &amp; Semi Truck Scan Tool</t>
        </is>
      </c>
      <c r="B234" s="35" t="inlineStr">
        <is>
          <t>B0D4Q5QPNK</t>
        </is>
      </c>
      <c r="C234" s="35" t="inlineStr">
        <is>
          <t>Tablet</t>
        </is>
      </c>
      <c r="D234" s="359" t="n">
        <v>3107.13</v>
      </c>
      <c r="E234" s="359" t="n">
        <v>3107.13</v>
      </c>
      <c r="F234" s="361" t="n">
        <v>3107.13</v>
      </c>
      <c r="G234" s="68" t="n">
        <v>1</v>
      </c>
      <c r="H234" s="68" t="n">
        <v>1</v>
      </c>
      <c r="I234" s="68" t="n">
        <v>1</v>
      </c>
      <c r="J234" s="69" t="n">
        <v>5</v>
      </c>
      <c r="K234" s="69" t="inlineStr">
        <is>
          <t>https://amazon.com/dp/B0D4Q5QPNK</t>
        </is>
      </c>
      <c r="L234" s="114">
        <f>HYPERLINK(Table1311[[#This Row],[Column1]])</f>
        <v/>
      </c>
    </row>
    <row r="235" ht="45" customHeight="1" s="314">
      <c r="A235" s="35" t="inlineStr">
        <is>
          <t>Autel Scanner MaxiCheck MX808S-TS, 2026 TPMS &amp; Bidirectional Diagnostic Scan Tool, Same as MK900TS MK808S-TS TS900 Up of MK808S MX808S, Top TPMS Programming Tool, 3000+ Test, 28+ Service, FCA, OS 11</t>
        </is>
      </c>
      <c r="B235" s="35" t="inlineStr">
        <is>
          <t>B09QX781WY</t>
        </is>
      </c>
      <c r="C235" s="35" t="inlineStr">
        <is>
          <t>Tablet</t>
        </is>
      </c>
      <c r="D235" s="359" t="n">
        <v>605.15</v>
      </c>
      <c r="E235" s="359" t="n">
        <v>76293.39999999999</v>
      </c>
      <c r="F235" s="361" t="n">
        <v>3025.75</v>
      </c>
      <c r="G235" s="68" t="n">
        <v>118</v>
      </c>
      <c r="H235" s="68" t="n">
        <v>5</v>
      </c>
      <c r="I235" s="68" t="n">
        <v>76</v>
      </c>
      <c r="J235" s="69" t="n">
        <v>4.5</v>
      </c>
      <c r="K235" s="69" t="inlineStr">
        <is>
          <t>https://amazon.com/dp/B09QX781WY</t>
        </is>
      </c>
      <c r="L235" s="114">
        <f>HYPERLINK(Table1311[[#This Row],[Column1]])</f>
        <v/>
      </c>
    </row>
    <row r="236" ht="17" customHeight="1" s="314">
      <c r="A236" s="35" t="inlineStr">
        <is>
          <t>Autel Original MaxiVCI V150 VCI150 OBD2 Bluetooth Adapter, 2026 VCI 150 Car Wireless Communication Interface, Work w/Autel Diagnostic Scanner MK900BT MP900BT MP900Z-BT MP900TS MK900TS MX900TS TS900</t>
        </is>
      </c>
      <c r="B236" s="35" t="inlineStr">
        <is>
          <t>B0FKG6TDF1</t>
        </is>
      </c>
      <c r="C236" s="35" t="inlineStr">
        <is>
          <t>Dongle</t>
        </is>
      </c>
      <c r="D236" s="359" t="n">
        <v>199.2533333333334</v>
      </c>
      <c r="E236" s="359" t="n">
        <v>35132.54153846155</v>
      </c>
      <c r="F236" s="361" t="n">
        <v>2988.8</v>
      </c>
      <c r="G236" s="68" t="n">
        <v>107</v>
      </c>
      <c r="H236" s="68" t="n">
        <v>15</v>
      </c>
      <c r="I236" s="68" t="n">
        <v>3</v>
      </c>
      <c r="J236" s="69" t="n">
        <v>5</v>
      </c>
      <c r="K236" s="69" t="inlineStr">
        <is>
          <t>https://amazon.com/dp/B0FKG6TDF1</t>
        </is>
      </c>
      <c r="L236" s="114">
        <f>HYPERLINK(Table1311[[#This Row],[Column1]])</f>
        <v/>
      </c>
    </row>
    <row r="237" ht="45" customHeight="1" s="314">
      <c r="A237" s="35" t="inlineStr">
        <is>
          <t>Autel Scanner MaxiIM KM100 (X), 2026 Car Diagnostic Scan Tool, OBD-Learn for 99% Cars, Lifetime Free Update, IM508S IM608 PRO II Lite Model, 2.0 Hardware for Home Mechanics &amp; DIYers (KM Series 100)</t>
        </is>
      </c>
      <c r="B237" s="35" t="inlineStr">
        <is>
          <t>B0FX88STZH</t>
        </is>
      </c>
      <c r="C237" s="35" t="inlineStr">
        <is>
          <t>Tablet</t>
        </is>
      </c>
      <c r="D237" s="359" t="n">
        <v>496</v>
      </c>
      <c r="E237" s="359" t="n">
        <v>37547.27846153845</v>
      </c>
      <c r="F237" s="361" t="n">
        <v>2976</v>
      </c>
      <c r="G237" s="68" t="n">
        <v>34</v>
      </c>
      <c r="H237" s="68" t="n">
        <v>6</v>
      </c>
      <c r="I237" s="68" t="n">
        <v>86</v>
      </c>
      <c r="J237" s="69" t="n">
        <v>4.6</v>
      </c>
      <c r="K237" s="69" t="inlineStr">
        <is>
          <t>https://amazon.com/dp/B0FX88STZH</t>
        </is>
      </c>
      <c r="L237" s="114">
        <f>HYPERLINK(Table1311[[#This Row],[Column1]])</f>
        <v/>
      </c>
    </row>
    <row r="238" ht="60" customHeight="1" s="314">
      <c r="A238" s="35" t="inlineStr">
        <is>
          <t>Autel MaxiSYS MS906pro TS Autel Scanner Upgrade of MS906 Pro/ MS906TS/ MK908 Top Car Scanner CAN FD/Do IP 36+ Services All System Diagnostic ECU Coding 3000+ Test FCA OS 10</t>
        </is>
      </c>
      <c r="B238" s="35" t="inlineStr">
        <is>
          <t>B0BG2M2ZFD</t>
        </is>
      </c>
      <c r="C238" s="35" t="inlineStr">
        <is>
          <t>Tablet</t>
        </is>
      </c>
      <c r="D238" s="359" t="n">
        <v>1483.285</v>
      </c>
      <c r="E238" s="359" t="n">
        <v>126004.1023076923</v>
      </c>
      <c r="F238" s="361" t="n">
        <v>2966.57</v>
      </c>
      <c r="G238" s="68" t="n">
        <v>81</v>
      </c>
      <c r="H238" s="68" t="n">
        <v>2</v>
      </c>
      <c r="I238" s="68" t="n">
        <v>20</v>
      </c>
      <c r="J238" s="69" t="n">
        <v>4.9</v>
      </c>
      <c r="K238" s="69" t="inlineStr">
        <is>
          <t>https://amazon.com/dp/B0BG2M2ZFD</t>
        </is>
      </c>
      <c r="L238" s="114">
        <f>HYPERLINK(Table1311[[#This Row],[Column1]])</f>
        <v/>
      </c>
    </row>
    <row r="239" ht="45" customHeight="1" s="314">
      <c r="A239" s="35" t="inlineStr">
        <is>
          <t>2026 Autel MaxiBAS BTMS OBD2 Car Battery Tester Memory Saver, Preserve Vehicle Data Code Electronic Preset, Maintain Data Surge Protection Attaches to 12 Volt Backup Battery, Provide Power to Vehicle</t>
        </is>
      </c>
      <c r="B239" s="35" t="inlineStr">
        <is>
          <t>B0CZDKVZSN</t>
        </is>
      </c>
      <c r="C239" s="35" t="inlineStr">
        <is>
          <t>Other</t>
        </is>
      </c>
      <c r="D239" s="359" t="n">
        <v>45.87095238095238</v>
      </c>
      <c r="E239" s="359" t="n">
        <v>34744.83692307693</v>
      </c>
      <c r="F239" s="361" t="n">
        <v>2889.87</v>
      </c>
      <c r="G239" s="68" t="n">
        <v>582</v>
      </c>
      <c r="H239" s="68" t="n">
        <v>63</v>
      </c>
      <c r="I239" s="68" t="n">
        <v>56</v>
      </c>
      <c r="J239" s="69" t="n">
        <v>5</v>
      </c>
      <c r="K239" s="69" t="inlineStr">
        <is>
          <t>https://amazon.com/dp/B0CZDKVZSN</t>
        </is>
      </c>
      <c r="L239" s="114">
        <f>HYPERLINK(Table1311[[#This Row],[Column1]])</f>
        <v/>
      </c>
    </row>
    <row r="240" ht="60" customHeight="1" s="314">
      <c r="A240" s="35" t="inlineStr">
        <is>
          <t>Autel MaxiCOM MK808S OBD2 Scanner, 2026 Bidirectional Diagnostic Tool as MaxiCheck MX900 MX808S MK900BT MK808BT Pro, 3000+ Active Tests, 28+ Service, All System, Injector Coding, FCA Autoauth OS11</t>
        </is>
      </c>
      <c r="B240" s="35" t="inlineStr">
        <is>
          <t>B07T9J34HT</t>
        </is>
      </c>
      <c r="C240" s="35" t="inlineStr">
        <is>
          <t>Tablet</t>
        </is>
      </c>
      <c r="D240" s="359" t="n">
        <v>476.935</v>
      </c>
      <c r="E240" s="359" t="n">
        <v>32256.45</v>
      </c>
      <c r="F240" s="361" t="n">
        <v>2861.61</v>
      </c>
      <c r="G240" s="68" t="n">
        <v>70</v>
      </c>
      <c r="H240" s="68" t="n">
        <v>6</v>
      </c>
      <c r="I240" s="68" t="n">
        <v>381</v>
      </c>
      <c r="J240" s="69" t="n">
        <v>4.4</v>
      </c>
      <c r="K240" s="69" t="inlineStr">
        <is>
          <t>https://amazon.com/dp/B07T9J34HT</t>
        </is>
      </c>
      <c r="L240" s="114">
        <f>HYPERLINK(Table1311[[#This Row],[Column1]])</f>
        <v/>
      </c>
    </row>
    <row r="241" ht="45" customHeight="1" s="314">
      <c r="A241" s="35" t="inlineStr">
        <is>
          <t>2026 New Autel ML629 OBD2 Scanner, ABS SRS Engine Transmission Diagnostic Scan Tool, Mechanic Full OBDII Code Reader w/DTC Lookup AutoVIN, OBD2 Live Data, Up of AL619 AL629 for Professionals DIYers</t>
        </is>
      </c>
      <c r="B241" s="35" t="inlineStr">
        <is>
          <t>B07PQL9HDR</t>
        </is>
      </c>
      <c r="C241" s="35" t="inlineStr">
        <is>
          <t>Handheld</t>
        </is>
      </c>
      <c r="D241" s="359" t="n">
        <v>113.7428</v>
      </c>
      <c r="E241" s="359" t="n">
        <v>18239.97</v>
      </c>
      <c r="F241" s="361" t="n">
        <v>2843.57</v>
      </c>
      <c r="G241" s="68" t="n">
        <v>161</v>
      </c>
      <c r="H241" s="68" t="n">
        <v>25</v>
      </c>
      <c r="I241" s="68" t="n">
        <v>679</v>
      </c>
      <c r="J241" s="69" t="n">
        <v>4.3</v>
      </c>
      <c r="K241" s="69" t="inlineStr">
        <is>
          <t>https://amazon.com/dp/B07PQL9HDR</t>
        </is>
      </c>
      <c r="L241" s="114">
        <f>HYPERLINK(Table1311[[#This Row],[Column1]])</f>
        <v/>
      </c>
    </row>
    <row r="242" ht="60" customHeight="1" s="314">
      <c r="A242" s="35" t="inlineStr">
        <is>
          <t>Autel MaxiCheck Pro OBD2 Scanner ABS Scan Tool for Auto Bleeding, SRS ABS Scanner Car Diagnostic Tool with Oil Reset Airbag SAS EPB BMS Services for Specific Vehicles Up to 2015, Lifetime Free Update</t>
        </is>
      </c>
      <c r="B242" s="35" t="inlineStr">
        <is>
          <t>B07P621KR1</t>
        </is>
      </c>
      <c r="C242" s="35" t="inlineStr">
        <is>
          <t>Handheld</t>
        </is>
      </c>
      <c r="D242" s="359" t="n">
        <v>198.2378571428571</v>
      </c>
      <c r="E242" s="359" t="n">
        <v>53266.07</v>
      </c>
      <c r="F242" s="361" t="n">
        <v>2775.33</v>
      </c>
      <c r="G242" s="68" t="n">
        <v>268</v>
      </c>
      <c r="H242" s="68" t="n">
        <v>14</v>
      </c>
      <c r="I242" s="68" t="n">
        <v>1149</v>
      </c>
      <c r="J242" s="69" t="n">
        <v>4.4</v>
      </c>
      <c r="K242" s="69" t="inlineStr">
        <is>
          <t>https://amazon.com/dp/B07P621KR1</t>
        </is>
      </c>
      <c r="L242" s="114">
        <f>HYPERLINK(Table1311[[#This Row],[Column1]])</f>
        <v/>
      </c>
    </row>
    <row r="243" ht="45" customHeight="1" s="314">
      <c r="A243" s="35" t="inlineStr">
        <is>
          <t>Autel Original TCAN003 Splitter Diagnostic Cable for Tesla Model 3, Y, S, X, 20 Pin + 12 Pin to 16 Pin OBDII Adapter OBD2 Connector Work w/Autel Scanner MaxiSys Ultra Elite II PRO MS909</t>
        </is>
      </c>
      <c r="B243" s="35" t="inlineStr">
        <is>
          <t>B0D3V9DMLP</t>
        </is>
      </c>
      <c r="C243" s="35" t="inlineStr">
        <is>
          <t>Cable/Adapter</t>
        </is>
      </c>
      <c r="D243" s="359" t="n">
        <v>26.05485436893204</v>
      </c>
      <c r="E243" s="359" t="n">
        <v>29500.61</v>
      </c>
      <c r="F243" s="361" t="n">
        <v>2683.65</v>
      </c>
      <c r="G243" s="68" t="n">
        <v>1137</v>
      </c>
      <c r="H243" s="68" t="n">
        <v>103</v>
      </c>
      <c r="I243" s="68" t="n">
        <v>36</v>
      </c>
      <c r="J243" s="69" t="n">
        <v>4.5</v>
      </c>
      <c r="K243" s="69" t="inlineStr">
        <is>
          <t>https://amazon.com/dp/B0D3V9DMLP</t>
        </is>
      </c>
      <c r="L243" s="114">
        <f>HYPERLINK(Table1311[[#This Row],[Column1]])</f>
        <v/>
      </c>
    </row>
    <row r="244" ht="60" customHeight="1" s="314">
      <c r="A244" s="35" t="inlineStr">
        <is>
          <t>Autel Original OBD1 to OBD2 GM Adapter Cable, 12 Pin Male to 16 Pin Female Extension, OBD II Connector Replacement for GM Diagnostic Tool</t>
        </is>
      </c>
      <c r="B244" s="35" t="inlineStr">
        <is>
          <t>B0FNDB1JPY</t>
        </is>
      </c>
      <c r="C244" s="35" t="inlineStr">
        <is>
          <t>OBD1</t>
        </is>
      </c>
      <c r="D244" s="359" t="n">
        <v>16.97183544303797</v>
      </c>
      <c r="E244" s="359" t="n">
        <v>34767.58538461538</v>
      </c>
      <c r="F244" s="361" t="n">
        <v>2681.55</v>
      </c>
      <c r="G244" s="68" t="n">
        <v>882</v>
      </c>
      <c r="H244" s="68" t="n">
        <v>158</v>
      </c>
      <c r="I244" s="68" t="n">
        <v>43</v>
      </c>
      <c r="J244" s="69" t="n">
        <v>3.1</v>
      </c>
      <c r="K244" s="69" t="inlineStr">
        <is>
          <t>https://amazon.com/dp/B0FNDB1JPY</t>
        </is>
      </c>
      <c r="L244" s="114">
        <f>HYPERLINK(Table1311[[#This Row],[Column1]])</f>
        <v/>
      </c>
    </row>
    <row r="245" ht="45" customHeight="1" s="314">
      <c r="A245" s="35" t="inlineStr">
        <is>
          <t>Autel MaxiLink ML519 OBD2 Scanner, New Ver. of AL519, Enhanced Mode 6 Car Code Reader, Check Engine Light Read/Erase Fault Code Car Diagnostic Tool, One-Click Smong Check, DTC Lookup, Up of AL319</t>
        </is>
      </c>
      <c r="B245" s="35" t="inlineStr">
        <is>
          <t>B07PRPQCSL</t>
        </is>
      </c>
      <c r="C245" s="35" t="inlineStr">
        <is>
          <t>Handheld</t>
        </is>
      </c>
      <c r="D245" s="359" t="n">
        <v>60.34186046511628</v>
      </c>
      <c r="E245" s="359" t="n">
        <v>22084.5</v>
      </c>
      <c r="F245" s="361" t="n">
        <v>2594.7</v>
      </c>
      <c r="G245" s="68" t="n">
        <v>368</v>
      </c>
      <c r="H245" s="68" t="n">
        <v>43</v>
      </c>
      <c r="I245" s="68" t="n">
        <v>3786</v>
      </c>
      <c r="J245" s="69" t="n">
        <v>4.6</v>
      </c>
      <c r="K245" s="69" t="inlineStr">
        <is>
          <t>https://amazon.com/dp/B07PRPQCSL</t>
        </is>
      </c>
      <c r="L245" s="114">
        <f>HYPERLINK(Table1311[[#This Row],[Column1]])</f>
        <v/>
      </c>
    </row>
    <row r="246" ht="45" customHeight="1" s="314">
      <c r="A246" s="35" t="inlineStr">
        <is>
          <t>Autel Autolink AL319 Car OBD2 Scanner Code Reader Engine Fault Code Reader Scanner CAN Diagnostic Scan Tool for All OBD II Protocol Cars Since 1996</t>
        </is>
      </c>
      <c r="B246" s="35" t="inlineStr">
        <is>
          <t>B008EPKWD8</t>
        </is>
      </c>
      <c r="C246" s="35" t="inlineStr">
        <is>
          <t>Handheld</t>
        </is>
      </c>
      <c r="D246" s="359" t="n">
        <v>36.91376811594203</v>
      </c>
      <c r="E246" s="359" t="n">
        <v>30130.26</v>
      </c>
      <c r="F246" s="361" t="n">
        <v>2547.05</v>
      </c>
      <c r="G246" s="68" t="n">
        <v>815</v>
      </c>
      <c r="H246" s="68" t="n">
        <v>69</v>
      </c>
      <c r="I246" s="68" t="n">
        <v>109</v>
      </c>
      <c r="J246" s="69" t="n">
        <v>4.7</v>
      </c>
      <c r="K246" s="69" t="inlineStr">
        <is>
          <t>https://amazon.com/dp/B008EPKWD8</t>
        </is>
      </c>
      <c r="L246" s="114">
        <f>HYPERLINK(Table1311[[#This Row],[Column1]])</f>
        <v/>
      </c>
    </row>
    <row r="247" ht="45" customHeight="1" s="314">
      <c r="A247" s="35" t="inlineStr">
        <is>
          <t>Autel MaxiPRO MP900TS Scanner Up of MS906 PRO MS906TS MP900BT MK900-TS TPMS Programming Diagnostic Tool Same as MS906 Pro TS Bi-Directional Test CAN FD&amp;DOIP 40+ Service FCA SGW</t>
        </is>
      </c>
      <c r="B247" s="35" t="inlineStr">
        <is>
          <t>B0FJ1GZ12Z</t>
        </is>
      </c>
      <c r="C247" s="35" t="inlineStr">
        <is>
          <t>Tablet</t>
        </is>
      </c>
      <c r="D247" s="359" t="n">
        <v>1187.13</v>
      </c>
      <c r="E247" s="359" t="n">
        <v>30860.36769230769</v>
      </c>
      <c r="F247" s="361" t="n">
        <v>2374.26</v>
      </c>
      <c r="G247" s="68" t="n">
        <v>17</v>
      </c>
      <c r="H247" s="68" t="n">
        <v>2</v>
      </c>
      <c r="I247" s="68" t="n">
        <v>2</v>
      </c>
      <c r="J247" s="69" t="n">
        <v>5</v>
      </c>
      <c r="K247" s="69" t="inlineStr">
        <is>
          <t>https://amazon.com/dp/B0FJ1GZ12Z</t>
        </is>
      </c>
      <c r="L247" s="114">
        <f>HYPERLINK(Table1311[[#This Row],[Column1]])</f>
        <v/>
      </c>
    </row>
    <row r="248" ht="60" customHeight="1" s="314">
      <c r="A248" s="35" t="inlineStr">
        <is>
          <t>Autel MaxiDiag MD906 PRO OBD2 Scanner, 2026 MD906PRO All Sys Diagnostic Scan Tool Same as MD909 PRO, BT Lite of MK808S, CAN FD, 11 Services, 10 OBDII Test Modes, FCA, Free Update, Up of MD808Pro MD806</t>
        </is>
      </c>
      <c r="B248" s="35" t="inlineStr">
        <is>
          <t>B07R19JCWR</t>
        </is>
      </c>
      <c r="C248" s="35" t="inlineStr">
        <is>
          <t>Tablet</t>
        </is>
      </c>
      <c r="D248" s="359" t="n">
        <v>290.69125</v>
      </c>
      <c r="E248" s="359" t="n">
        <v>19547.72</v>
      </c>
      <c r="F248" s="361" t="n">
        <v>2325.53</v>
      </c>
      <c r="G248" s="68" t="n">
        <v>56</v>
      </c>
      <c r="H248" s="68" t="n">
        <v>8</v>
      </c>
      <c r="I248" s="68" t="n">
        <v>77</v>
      </c>
      <c r="J248" s="69" t="n">
        <v>4.4</v>
      </c>
      <c r="K248" s="69" t="inlineStr">
        <is>
          <t>https://amazon.com/dp/B07R19JCWR</t>
        </is>
      </c>
      <c r="L248" s="114">
        <f>HYPERLINK(Table1311[[#This Row],[Column1]])</f>
        <v/>
      </c>
    </row>
    <row r="249" ht="45" customHeight="1" s="314">
      <c r="A249" s="35" t="inlineStr">
        <is>
          <t>Autel 6 Pin Obd2 Adapter Cable for Kawasaki Yamaha Suzuki Honda Yamaha Milan Piaggio Guzzi Motorcycle, Euro 5 6 Pin OBD1 to 16 Pin OBD2 Cable Connector, Fits CAN Bus and K-Line,Work with Code Reader</t>
        </is>
      </c>
      <c r="B249" s="35" t="inlineStr">
        <is>
          <t>B0DXBRRGVZ</t>
        </is>
      </c>
      <c r="C249" s="35" t="inlineStr">
        <is>
          <t>Cable/Adapter</t>
        </is>
      </c>
      <c r="D249" s="359" t="n">
        <v>19.89939655172414</v>
      </c>
      <c r="E249" s="359" t="n">
        <v>13247.34615384615</v>
      </c>
      <c r="F249" s="361" t="n">
        <v>2308.33</v>
      </c>
      <c r="G249" s="68" t="n">
        <v>558</v>
      </c>
      <c r="H249" s="68" t="n">
        <v>116</v>
      </c>
      <c r="I249" s="68" t="n">
        <v>35</v>
      </c>
      <c r="J249" s="69" t="n">
        <v>4.7</v>
      </c>
      <c r="K249" s="69" t="inlineStr">
        <is>
          <t>https://amazon.com/dp/B0DXBRRGVZ</t>
        </is>
      </c>
      <c r="L249" s="114">
        <f>HYPERLINK(Table1311[[#This Row],[Column1]])</f>
        <v/>
      </c>
    </row>
    <row r="250" ht="45" customHeight="1" s="314">
      <c r="A250" s="35" t="inlineStr">
        <is>
          <t>Autel MaxiSys Ultra Full System Diagnostic OBD2 Scanner Tablet Autel Ultra Have 40+ Reset Services with 5in1 MaxiFlash VCMI Can ECU Programming and ECU Coding Better MS909 MS919 MS Elite MK908 MK909</t>
        </is>
      </c>
      <c r="B250" s="35" t="inlineStr">
        <is>
          <t>B094VFFP4L</t>
        </is>
      </c>
      <c r="C250" s="35" t="inlineStr">
        <is>
          <t>Tablet</t>
        </is>
      </c>
      <c r="D250" s="359" t="n">
        <v>2257.6</v>
      </c>
      <c r="E250" s="359" t="n">
        <v>74181.26999999999</v>
      </c>
      <c r="F250" s="361" t="n">
        <v>2257.6</v>
      </c>
      <c r="G250" s="68" t="n">
        <v>20</v>
      </c>
      <c r="H250" s="68" t="n">
        <v>1</v>
      </c>
      <c r="I250" s="68" t="n">
        <v>21</v>
      </c>
      <c r="J250" s="69" t="n">
        <v>4.4</v>
      </c>
      <c r="K250" s="69" t="inlineStr">
        <is>
          <t>https://amazon.com/dp/B094VFFP4L</t>
        </is>
      </c>
      <c r="L250" s="114">
        <f>HYPERLINK(Table1311[[#This Row],[Column1]])</f>
        <v/>
      </c>
    </row>
    <row r="251" ht="45" customHeight="1" s="314">
      <c r="A251" s="35" t="inlineStr">
        <is>
          <t>Autel TPMS Programming Tool MaxiTPMS ITS600 2023 Version Read/Activate/Relearn TPMS Sensor Program MX Sensor OLS/SAS/BMS/EPB AutoVIN VINscan Free TPMS Software Update Compatible TBE200 TBE100</t>
        </is>
      </c>
      <c r="B251" s="35" t="inlineStr">
        <is>
          <t>B0BDRBDDX6</t>
        </is>
      </c>
      <c r="C251" s="35" t="inlineStr">
        <is>
          <t>Handheld</t>
        </is>
      </c>
      <c r="D251" s="359" t="n">
        <v>547.0075000000001</v>
      </c>
      <c r="E251" s="359" t="n">
        <v>9261.529999999999</v>
      </c>
      <c r="F251" s="361" t="n">
        <v>2188.03</v>
      </c>
      <c r="G251" s="68" t="n">
        <v>19</v>
      </c>
      <c r="H251" s="68" t="n">
        <v>4</v>
      </c>
      <c r="I251" s="68" t="n">
        <v>1</v>
      </c>
      <c r="J251" s="69" t="n">
        <v>5</v>
      </c>
      <c r="K251" s="69" t="inlineStr">
        <is>
          <t>https://amazon.com/dp/B0BDRBDDX6</t>
        </is>
      </c>
      <c r="L251" s="114">
        <f>HYPERLINK(Table1311[[#This Row],[Column1]])</f>
        <v/>
      </c>
    </row>
    <row r="252" ht="60" customHeight="1" s="314">
      <c r="A252" s="35" t="inlineStr">
        <is>
          <t>Autel MaxiCOM MK900TS Diagnostic Scanner - Upgraded from MS906TS/MK808S-TS/MX900, Bi-Directional Scan Tool with Full TPMS Programming, 40+ Services, CAN FD/DOIP, FCA SGW, Android 11</t>
        </is>
      </c>
      <c r="B252" s="35" t="inlineStr">
        <is>
          <t>B0FM83XBLV</t>
        </is>
      </c>
      <c r="C252" s="35" t="inlineStr">
        <is>
          <t>Tablet</t>
        </is>
      </c>
      <c r="D252" s="359" t="n">
        <v>1084.195</v>
      </c>
      <c r="E252" s="359" t="n">
        <v>18481.79538461539</v>
      </c>
      <c r="F252" s="361" t="n">
        <v>2168.39</v>
      </c>
      <c r="G252" s="68" t="n">
        <v>5</v>
      </c>
      <c r="H252" s="68" t="n">
        <v>2</v>
      </c>
      <c r="I252" s="68" t="n">
        <v>2</v>
      </c>
      <c r="J252" s="69" t="n">
        <v>5</v>
      </c>
      <c r="K252" s="69" t="inlineStr">
        <is>
          <t>https://amazon.com/dp/B0FM83XBLV</t>
        </is>
      </c>
      <c r="L252" s="114">
        <f>HYPERLINK(Table1311[[#This Row],[Column1]])</f>
        <v/>
      </c>
    </row>
    <row r="253" ht="45" customHeight="1" s="314">
      <c r="A253" s="35" t="inlineStr">
        <is>
          <t>Autel MaxiDiag MD909 PRO OBD2 Scanner, 2026 MD909PRO Car Code Reader All System Diagnostic Tool, 11 Reset Services, AutoVIN, No Subscription Fee, Lite of MaxiCOM MK808S MX808S MK808BT, CAN FD&amp; FCA SGW</t>
        </is>
      </c>
      <c r="B253" s="35" t="inlineStr">
        <is>
          <t>B0FMRPF7W1</t>
        </is>
      </c>
      <c r="C253" s="35" t="inlineStr">
        <is>
          <t>Tablet</t>
        </is>
      </c>
      <c r="D253" s="359" t="n">
        <v>351.7683333333334</v>
      </c>
      <c r="E253" s="359" t="n">
        <v>32233.5876923077</v>
      </c>
      <c r="F253" s="361" t="n">
        <v>2110.61</v>
      </c>
      <c r="G253" s="68" t="n">
        <v>55</v>
      </c>
      <c r="H253" s="68" t="n">
        <v>6</v>
      </c>
      <c r="I253" s="68" t="n">
        <v>2</v>
      </c>
      <c r="J253" s="69" t="n">
        <v>4.5</v>
      </c>
      <c r="K253" s="69" t="inlineStr">
        <is>
          <t>https://amazon.com/dp/B0FMRPF7W1</t>
        </is>
      </c>
      <c r="L253" s="114">
        <f>HYPERLINK(Table1311[[#This Row],[Column1]])</f>
        <v/>
      </c>
    </row>
    <row r="254" ht="45" customHeight="1" s="314">
      <c r="A254" s="35" t="inlineStr">
        <is>
          <t>Autel MaxiLink ML619 OBD II Scanner - Same as AL619, ABS &amp; SRS Diagnostic Tool for 1996+ Vehicles, Up of AL519 ML519, Code Reader with Live Data &amp; Troubleshooting Tips</t>
        </is>
      </c>
      <c r="B254" s="35" t="inlineStr">
        <is>
          <t>B0FL7HQTPP</t>
        </is>
      </c>
      <c r="C254" s="35" t="inlineStr">
        <is>
          <t>Handheld</t>
        </is>
      </c>
      <c r="D254" s="359" t="n">
        <v>98.99666666666666</v>
      </c>
      <c r="E254" s="359" t="n">
        <v>20918.46153846154</v>
      </c>
      <c r="F254" s="361" t="n">
        <v>2078.93</v>
      </c>
      <c r="G254" s="68" t="n">
        <v>115</v>
      </c>
      <c r="H254" s="68" t="n">
        <v>21</v>
      </c>
      <c r="I254" s="68" t="n">
        <v>5</v>
      </c>
      <c r="J254" s="69" t="n">
        <v>3.9</v>
      </c>
      <c r="K254" s="69" t="inlineStr">
        <is>
          <t>https://amazon.com/dp/B0FL7HQTPP</t>
        </is>
      </c>
      <c r="L254" s="114">
        <f>HYPERLINK(Table1311[[#This Row],[Column1]])</f>
        <v/>
      </c>
    </row>
    <row r="255" ht="45" customHeight="1" s="314">
      <c r="A255" s="35" t="inlineStr">
        <is>
          <t>Autel Scanner MaxiIM IM508S, 2026 Full Bidirectional OBD2 Diagnostic Tool, 3000+ Active Tests, 40+ Services, OE All Systems OBDII Scan for All Cars, Up of IM508 MaxiCOM MK900BT MK900 MK808S, FCA</t>
        </is>
      </c>
      <c r="B255" s="35" t="inlineStr">
        <is>
          <t>B0FR4T4L8L</t>
        </is>
      </c>
      <c r="C255" s="35" t="inlineStr">
        <is>
          <t>Tablet</t>
        </is>
      </c>
      <c r="D255" s="359" t="n">
        <v>1038.585</v>
      </c>
      <c r="E255" s="359" t="n">
        <v>40845.31615384614</v>
      </c>
      <c r="F255" s="361" t="n">
        <v>2077.17</v>
      </c>
      <c r="G255" s="68" t="n">
        <v>25</v>
      </c>
      <c r="H255" s="68" t="n">
        <v>2</v>
      </c>
      <c r="I255" s="68" t="n">
        <v>1</v>
      </c>
      <c r="J255" s="69" t="n">
        <v>5</v>
      </c>
      <c r="K255" s="69" t="inlineStr">
        <is>
          <t>https://amazon.com/dp/B0FR4T4L8L</t>
        </is>
      </c>
      <c r="L255" s="114">
        <f>HYPERLINK(Table1311[[#This Row],[Column1]])</f>
        <v/>
      </c>
    </row>
    <row r="256" ht="60" customHeight="1" s="314">
      <c r="A256" s="35" t="inlineStr">
        <is>
          <t>Autel OBD2 Memory Saver for Car Battery, 2026 MaxiBAS BTMS for All 12V Vehicles, Preserve ECU Code &amp; Electronic Presets, Maintain PCM Data, Polarity Protection, Built-in Voltage Meter, LED Lights</t>
        </is>
      </c>
      <c r="B256" s="35" t="inlineStr">
        <is>
          <t>B0DTV6LHHH</t>
        </is>
      </c>
      <c r="C256" s="35" t="inlineStr">
        <is>
          <t>Other</t>
        </is>
      </c>
      <c r="D256" s="359" t="n">
        <v>42.06042553191489</v>
      </c>
      <c r="E256" s="359" t="n">
        <v>23973.46538461538</v>
      </c>
      <c r="F256" s="361" t="n">
        <v>1976.84</v>
      </c>
      <c r="G256" s="68" t="n">
        <v>537</v>
      </c>
      <c r="H256" s="68" t="n">
        <v>47</v>
      </c>
      <c r="I256" s="68" t="n">
        <v>46</v>
      </c>
      <c r="J256" s="69" t="n">
        <v>4.9</v>
      </c>
      <c r="K256" s="69" t="inlineStr">
        <is>
          <t>https://amazon.com/dp/B0DTV6LHHH</t>
        </is>
      </c>
      <c r="L256" s="114">
        <f>HYPERLINK(Table1311[[#This Row],[Column1]])</f>
        <v/>
      </c>
    </row>
    <row r="257" ht="60" customHeight="1" s="314">
      <c r="A257" s="35" t="inlineStr">
        <is>
          <t>Autel MaxiI-M IM608 PRO 2 Scanner, 2026 Same as M608 II /IM608S PRO II /IM608S II, Advanced as Elite II Pro, 40+ Service, 3000+ Active Test, OE Full Diagnostic, CAN FD&amp; DOIP Up of IM608 PRO/IM508S</t>
        </is>
      </c>
      <c r="B257" s="35" t="inlineStr">
        <is>
          <t>B0DJ1DKRZQ</t>
        </is>
      </c>
      <c r="C257" s="35" t="inlineStr">
        <is>
          <t>Tablet</t>
        </is>
      </c>
      <c r="D257" s="359" t="n">
        <v>1964.95</v>
      </c>
      <c r="E257" s="359" t="n">
        <v>134336.66</v>
      </c>
      <c r="F257" s="361" t="n">
        <v>1964.95</v>
      </c>
      <c r="G257" s="68" t="n">
        <v>44</v>
      </c>
      <c r="H257" s="68" t="n">
        <v>1</v>
      </c>
      <c r="I257" s="68" t="n">
        <v>7</v>
      </c>
      <c r="J257" s="69" t="n">
        <v>4.1</v>
      </c>
      <c r="K257" s="69" t="inlineStr">
        <is>
          <t>https://amazon.com/dp/B0DJ1DKRZQ</t>
        </is>
      </c>
      <c r="L257" s="114">
        <f>HYPERLINK(Table1311[[#This Row],[Column1]])</f>
        <v/>
      </c>
    </row>
    <row r="258" ht="60" customHeight="1" s="314">
      <c r="A258" s="35" t="inlineStr">
        <is>
          <t>Autel OBD2 OBDII Extension Cable, 5ft 1.5M, 16 Pin OBD II Male to Female Extension Cable Extender, Car 16Pin OBD 2 Diagnostic Cord Adapter, for All OBD2 Vehicles, Work with Scam Tool and Code Reader</t>
        </is>
      </c>
      <c r="B258" s="35" t="inlineStr">
        <is>
          <t>B0D4M9BQF2</t>
        </is>
      </c>
      <c r="C258" s="35" t="inlineStr">
        <is>
          <t>Cable/Adapter</t>
        </is>
      </c>
      <c r="D258" s="359" t="n">
        <v>23.07590361445783</v>
      </c>
      <c r="E258" s="359" t="n">
        <v>17656.07</v>
      </c>
      <c r="F258" s="361" t="n">
        <v>1915.3</v>
      </c>
      <c r="G258" s="68" t="n">
        <v>768</v>
      </c>
      <c r="H258" s="68" t="n">
        <v>83</v>
      </c>
      <c r="I258" s="68" t="n">
        <v>77</v>
      </c>
      <c r="J258" s="69" t="n">
        <v>4.7</v>
      </c>
      <c r="K258" s="69" t="inlineStr">
        <is>
          <t>https://amazon.com/dp/B0D4M9BQF2</t>
        </is>
      </c>
      <c r="L258" s="114">
        <f>HYPERLINK(Table1311[[#This Row],[Column1]])</f>
        <v/>
      </c>
    </row>
    <row r="259" ht="45" customHeight="1" s="314">
      <c r="A259" s="35" t="inlineStr">
        <is>
          <t>Autel MaxiIM KM100 OBD2 Diagnostic Scan Tool, Lifetime Free Update 2026 New Autel Scanner (95% Covered), 10+ Service, 2+64G, 10X Fast Hardware, No IP Limit</t>
        </is>
      </c>
      <c r="B259" s="35" t="inlineStr">
        <is>
          <t>B0FPC6GQ8K</t>
        </is>
      </c>
      <c r="C259" s="35" t="inlineStr">
        <is>
          <t>Tablet</t>
        </is>
      </c>
      <c r="D259" s="359" t="n">
        <v>474.0425</v>
      </c>
      <c r="E259" s="359" t="n">
        <v>21684.56846153846</v>
      </c>
      <c r="F259" s="361" t="n">
        <v>1896.17</v>
      </c>
      <c r="G259" s="68" t="n">
        <v>5</v>
      </c>
      <c r="H259" s="68" t="n">
        <v>4</v>
      </c>
      <c r="I259" s="68" t="n"/>
      <c r="J259" s="69" t="n"/>
      <c r="K259" s="69" t="inlineStr">
        <is>
          <t>https://amazon.com/dp/B0FPC6GQ8K</t>
        </is>
      </c>
      <c r="L259" s="114">
        <f>HYPERLINK(Table1311[[#This Row],[Column1]])</f>
        <v/>
      </c>
    </row>
    <row r="260" ht="30" customHeight="1" s="314">
      <c r="A260" s="35" t="inlineStr">
        <is>
          <t>Autel MaxiVCI V150 Bluetooth Vehicle Communication Interface, VCI150 OBD Scanner, Comprehensive Diagnostic, Work with TS900, MP900-BT, MP900Z-BT, DS900TS, DS900BT, MP900-TS</t>
        </is>
      </c>
      <c r="B260" s="35" t="inlineStr">
        <is>
          <t>B0DJQQMHNR</t>
        </is>
      </c>
      <c r="C260" s="35" t="inlineStr">
        <is>
          <t>Dongle</t>
        </is>
      </c>
      <c r="D260" s="359" t="n">
        <v>189.215</v>
      </c>
      <c r="E260" s="359" t="n">
        <v>20109.73</v>
      </c>
      <c r="F260" s="361" t="n">
        <v>1892.15</v>
      </c>
      <c r="G260" s="68" t="n">
        <v>101</v>
      </c>
      <c r="H260" s="68" t="n">
        <v>10</v>
      </c>
      <c r="I260" s="68" t="n">
        <v>5</v>
      </c>
      <c r="J260" s="69" t="n">
        <v>5</v>
      </c>
      <c r="K260" s="69" t="inlineStr">
        <is>
          <t>https://amazon.com/dp/B0DJQQMHNR</t>
        </is>
      </c>
      <c r="L260" s="114">
        <f>HYPERLINK(Table1311[[#This Row],[Column1]])</f>
        <v/>
      </c>
    </row>
    <row r="261" ht="45" customHeight="1" s="314">
      <c r="A261" s="35" t="inlineStr">
        <is>
          <t>Autel MaxiSYS MS906 PRO-TS Scanner, Up of MS906MAX MS906Pro MP900TS MS906TS MP900BT, Full TPMS Diagnostic, Bidirectional Scan Tool, ECU Coding, 36+ Service, DOIP&amp;CAN FD, FCA, VAG</t>
        </is>
      </c>
      <c r="B261" s="35" t="inlineStr">
        <is>
          <t>B0BS6GZC5J</t>
        </is>
      </c>
      <c r="C261" s="35" t="inlineStr">
        <is>
          <t>Tablet</t>
        </is>
      </c>
      <c r="D261" s="359" t="n">
        <v>1888.22</v>
      </c>
      <c r="E261" s="359" t="n">
        <v>44856.11</v>
      </c>
      <c r="F261" s="361" t="n">
        <v>1888.22</v>
      </c>
      <c r="G261" s="68" t="n">
        <v>29</v>
      </c>
      <c r="H261" s="68" t="n">
        <v>1</v>
      </c>
      <c r="I261" s="68" t="n">
        <v>18</v>
      </c>
      <c r="J261" s="69" t="n">
        <v>4.6</v>
      </c>
      <c r="K261" s="69" t="inlineStr">
        <is>
          <t>https://amazon.com/dp/B0BS6GZC5J</t>
        </is>
      </c>
      <c r="L261" s="114">
        <f>HYPERLINK(Table1311[[#This Row],[Column1]])</f>
        <v/>
      </c>
    </row>
    <row r="262" ht="45" customHeight="1" s="314">
      <c r="A262" s="35" t="inlineStr">
        <is>
          <t>Autel MaxiSys MSOBD2KIT Non-OBDII Adapter Kit, 9PCS OBD Diagnostics Connectors w/Rugged Blow-Molded Carrying Case, Support All Autel Scanners MSUltra MS919 MS909 Elite II MS906 Pro MK808S MX900 MK900</t>
        </is>
      </c>
      <c r="B262" s="35" t="inlineStr">
        <is>
          <t>B0B14HBF2H</t>
        </is>
      </c>
      <c r="C262" s="35" t="inlineStr">
        <is>
          <t>Cable/Adapter</t>
        </is>
      </c>
      <c r="D262" s="359" t="n">
        <v>134.5685714285714</v>
      </c>
      <c r="E262" s="359" t="n">
        <v>21041.72</v>
      </c>
      <c r="F262" s="361" t="n">
        <v>1883.96</v>
      </c>
      <c r="G262" s="68" t="n">
        <v>153</v>
      </c>
      <c r="H262" s="68" t="n">
        <v>14</v>
      </c>
      <c r="I262" s="68" t="n">
        <v>24</v>
      </c>
      <c r="J262" s="69" t="n">
        <v>4.9</v>
      </c>
      <c r="K262" s="69" t="inlineStr">
        <is>
          <t>https://amazon.com/dp/B0B14HBF2H</t>
        </is>
      </c>
      <c r="L262" s="114">
        <f>HYPERLINK(Table1311[[#This Row],[Column1]])</f>
        <v/>
      </c>
    </row>
    <row r="263" ht="60" customHeight="1" s="314">
      <c r="A263" s="35" t="inlineStr">
        <is>
          <t>Autel OBDII OBD2 Code Reader Diaglink (DIY Version of MD802) All Systems/Modules Diagnostic for ABS, SRS, Engine, Transmission, EPB, Oil Reset</t>
        </is>
      </c>
      <c r="B263" s="35" t="inlineStr">
        <is>
          <t>B01N0QQZY7</t>
        </is>
      </c>
      <c r="C263" s="35" t="inlineStr">
        <is>
          <t>Handheld</t>
        </is>
      </c>
      <c r="D263" s="359" t="n">
        <v>88.42100000000001</v>
      </c>
      <c r="E263" s="359" t="n">
        <v>17816.4</v>
      </c>
      <c r="F263" s="361" t="n">
        <v>1768.42</v>
      </c>
      <c r="G263" s="68" t="n">
        <v>186</v>
      </c>
      <c r="H263" s="68" t="n">
        <v>20</v>
      </c>
      <c r="I263" s="68" t="n">
        <v>1069</v>
      </c>
      <c r="J263" s="69" t="n">
        <v>4</v>
      </c>
      <c r="K263" s="69" t="inlineStr">
        <is>
          <t>https://amazon.com/dp/B01N0QQZY7</t>
        </is>
      </c>
      <c r="L263" s="114">
        <f>HYPERLINK(Table1311[[#This Row],[Column1]])</f>
        <v/>
      </c>
    </row>
    <row r="264" ht="45" customHeight="1" s="314">
      <c r="A264" s="35" t="inlineStr">
        <is>
          <t>Autel Total Care Program 1-Year Warranty Update for MS909 — Model# MS9091YRUPDATE</t>
        </is>
      </c>
      <c r="B264" s="35" t="inlineStr">
        <is>
          <t>B09WW5CBNS</t>
        </is>
      </c>
      <c r="C264" s="35" t="inlineStr">
        <is>
          <t>Other</t>
        </is>
      </c>
      <c r="D264" s="359" t="n">
        <v>882.58</v>
      </c>
      <c r="E264" s="359" t="n">
        <v>24348.81</v>
      </c>
      <c r="F264" s="361" t="n">
        <v>1765.16</v>
      </c>
      <c r="G264" s="68" t="n">
        <v>28</v>
      </c>
      <c r="H264" s="68" t="n">
        <v>2</v>
      </c>
      <c r="I264" s="68" t="n">
        <v>2</v>
      </c>
      <c r="J264" s="69" t="n">
        <v>5</v>
      </c>
      <c r="K264" s="69" t="inlineStr">
        <is>
          <t>https://amazon.com/dp/B09WW5CBNS</t>
        </is>
      </c>
      <c r="L264" s="114">
        <f>HYPERLINK(Table1311[[#This Row],[Column1]])</f>
        <v/>
      </c>
    </row>
    <row r="265" ht="60" customHeight="1" s="314">
      <c r="A265" s="35" t="inlineStr">
        <is>
          <t>Autel MaxiCOM MK900 Bidirectional Scanner, New Autel Scanner Upgrade from MK808S MX808S MK808Z, 40+ OBD2 Service Mode, All System Scan Tool for Car, WiFi Print, DoIP CAN FD, FCA Auto Auth</t>
        </is>
      </c>
      <c r="B265" s="35" t="inlineStr">
        <is>
          <t>B0DHG4FP45</t>
        </is>
      </c>
      <c r="C265" s="35" t="inlineStr">
        <is>
          <t>Tablet</t>
        </is>
      </c>
      <c r="D265" s="359" t="n">
        <v>586.2233333333334</v>
      </c>
      <c r="E265" s="359" t="n">
        <v>85943.76999999999</v>
      </c>
      <c r="F265" s="361" t="n">
        <v>1758.67</v>
      </c>
      <c r="G265" s="68" t="n">
        <v>157</v>
      </c>
      <c r="H265" s="68" t="n">
        <v>3</v>
      </c>
      <c r="I265" s="68" t="n">
        <v>5</v>
      </c>
      <c r="J265" s="69" t="n">
        <v>4.6</v>
      </c>
      <c r="K265" s="69" t="inlineStr">
        <is>
          <t>https://amazon.com/dp/B0DHG4FP45</t>
        </is>
      </c>
      <c r="L265" s="114">
        <f>HYPERLINK(Table1311[[#This Row],[Column1]])</f>
        <v/>
      </c>
    </row>
    <row r="266" ht="45" customHeight="1" s="314">
      <c r="A266" s="35" t="inlineStr">
        <is>
          <t>MaxiCheck MX900</t>
        </is>
      </c>
      <c r="B266" s="35" t="inlineStr">
        <is>
          <t>B0F1W591BJ</t>
        </is>
      </c>
      <c r="C266" s="35" t="inlineStr">
        <is>
          <t>Tablet</t>
        </is>
      </c>
      <c r="D266" s="359" t="n">
        <v>572.77</v>
      </c>
      <c r="E266" s="359" t="n">
        <v>20751.89769230769</v>
      </c>
      <c r="F266" s="361" t="n">
        <v>1718.31</v>
      </c>
      <c r="G266" s="68" t="n">
        <v>3</v>
      </c>
      <c r="H266" s="68" t="n">
        <v>3</v>
      </c>
      <c r="I266" s="68" t="n"/>
      <c r="J266" s="69" t="n"/>
      <c r="K266" s="69" t="inlineStr">
        <is>
          <t>https://amazon.com/dp/B0F1W591BJ</t>
        </is>
      </c>
      <c r="L266" s="114">
        <f>HYPERLINK(Table1311[[#This Row],[Column1]])</f>
        <v/>
      </c>
    </row>
    <row r="267" ht="45" customHeight="1" s="314">
      <c r="A267" s="35" t="inlineStr">
        <is>
          <t>Autel MaxiSys MSOBD2KIT Non-OBDII Adapter Kit, 9PCS Connector for Diagnose OBD 1 Vehicle, OE-Compliant Connectors, Support Autel Scanner MK808S MK900 MX900 MK808BT PRO MK900BT MP900BT MS906 PRO Ultra</t>
        </is>
      </c>
      <c r="B267" s="35" t="inlineStr">
        <is>
          <t>B09MYDX4JS</t>
        </is>
      </c>
      <c r="C267" s="35" t="inlineStr">
        <is>
          <t>Cable/Adapter</t>
        </is>
      </c>
      <c r="D267" s="359" t="n">
        <v>130.7461538461538</v>
      </c>
      <c r="E267" s="359" t="n">
        <v>18814.98</v>
      </c>
      <c r="F267" s="361" t="n">
        <v>1699.7</v>
      </c>
      <c r="G267" s="68" t="n">
        <v>148</v>
      </c>
      <c r="H267" s="68" t="n">
        <v>13</v>
      </c>
      <c r="I267" s="68" t="n">
        <v>37</v>
      </c>
      <c r="J267" s="69" t="n">
        <v>4.8</v>
      </c>
      <c r="K267" s="69" t="inlineStr">
        <is>
          <t>https://amazon.com/dp/B09MYDX4JS</t>
        </is>
      </c>
      <c r="L267" s="114">
        <f>HYPERLINK(Table1311[[#This Row],[Column1]])</f>
        <v/>
      </c>
    </row>
    <row r="268" ht="45" customHeight="1" s="314">
      <c r="A268" s="35" t="inlineStr">
        <is>
          <t>Autel IM508S PRO OBD2 Diagnostic Scanner, 2026 Full Bundle as 608 pro 2, Upgrade of IM508S IM508, 40+ Service, 3000+ Active Tests, All System Diagnostic, FCA, OS 11.0</t>
        </is>
      </c>
      <c r="B268" s="35" t="inlineStr">
        <is>
          <t>B0GQ8F5F23</t>
        </is>
      </c>
      <c r="C268" s="35" t="inlineStr">
        <is>
          <t>Tablet</t>
        </is>
      </c>
      <c r="D268" s="359" t="n">
        <v>1698.98</v>
      </c>
      <c r="E268" s="359" t="n">
        <v>20518.45076923077</v>
      </c>
      <c r="F268" s="361" t="n">
        <v>1698.98</v>
      </c>
      <c r="G268" s="68" t="n">
        <v>1</v>
      </c>
      <c r="H268" s="68" t="n">
        <v>1</v>
      </c>
      <c r="I268" s="68" t="n"/>
      <c r="J268" s="69" t="n"/>
      <c r="K268" s="69" t="inlineStr">
        <is>
          <t>https://amazon.com/dp/B0GQ8F5F23</t>
        </is>
      </c>
      <c r="L268" s="114">
        <f>HYPERLINK(Table1311[[#This Row],[Column1]])</f>
        <v/>
      </c>
    </row>
    <row r="269" ht="60" customHeight="1" s="314">
      <c r="A269" s="35" t="inlineStr">
        <is>
          <t>Autel MaxiFlash VCI Kit J2534 Reprogramming Tool J2534 PassThru ECU Programming Tool Support CAN FD 4 CAN Channels DoIP D-PDU Autel Bluetooth VCI Works with PC MS909 MS909EV MS909CV</t>
        </is>
      </c>
      <c r="B269" s="35" t="inlineStr">
        <is>
          <t>B0CXP123X6</t>
        </is>
      </c>
      <c r="C269" s="35" t="inlineStr">
        <is>
          <t>VCI</t>
        </is>
      </c>
      <c r="D269" s="359" t="n">
        <v>826.35</v>
      </c>
      <c r="E269" s="359" t="n">
        <v>17154.55</v>
      </c>
      <c r="F269" s="361" t="n">
        <v>1652.7</v>
      </c>
      <c r="G269" s="68" t="n">
        <v>18</v>
      </c>
      <c r="H269" s="68" t="n">
        <v>2</v>
      </c>
      <c r="I269" s="68" t="n"/>
      <c r="J269" s="69" t="n"/>
      <c r="K269" s="69" t="inlineStr">
        <is>
          <t>https://amazon.com/dp/B0CXP123X6</t>
        </is>
      </c>
      <c r="L269" s="114">
        <f>HYPERLINK(Table1311[[#This Row],[Column1]])</f>
        <v/>
      </c>
    </row>
    <row r="270" ht="45" customHeight="1" s="314">
      <c r="A270" s="35" t="inlineStr">
        <is>
          <t>Autel AT100 Super Chip 2026, Transponder for ID11 ID12 ID13 ID46 ID47 ID48 ID49 ID4A ID4C ID5C ID4D ID64 ID8A ID8C MQB, Work with MaxiIM KM100 IM508 IM508S IM608 IM608 PRO 2 (10PCS/ Pack)</t>
        </is>
      </c>
      <c r="B270" s="35" t="inlineStr">
        <is>
          <t>B0FM49DF77</t>
        </is>
      </c>
      <c r="C270" s="35" t="inlineStr">
        <is>
          <t>Key</t>
        </is>
      </c>
      <c r="D270" s="359" t="n">
        <v>48.58176470588235</v>
      </c>
      <c r="E270" s="359" t="n">
        <v>17382.04</v>
      </c>
      <c r="F270" s="361" t="n">
        <v>1651.78</v>
      </c>
      <c r="G270" s="68" t="n">
        <v>169</v>
      </c>
      <c r="H270" s="68" t="n">
        <v>34</v>
      </c>
      <c r="I270" s="68" t="n">
        <v>21</v>
      </c>
      <c r="J270" s="69" t="n">
        <v>4.9</v>
      </c>
      <c r="K270" s="69" t="inlineStr">
        <is>
          <t>https://amazon.com/dp/B0FM49DF77</t>
        </is>
      </c>
      <c r="L270" s="114">
        <f>HYPERLINK(Table1311[[#This Row],[Column1]])</f>
        <v/>
      </c>
    </row>
    <row r="271" ht="60" customHeight="1" s="314">
      <c r="A271" s="35" t="inlineStr">
        <is>
          <t>Autel MaxiPRO MP900 Scanner, 2026 MP900 Same as MP900BT MS906 PRO MS906MAX, Up of MS906 MP808BT PRO MP808S MK900 MX900, Bidirectional Scan Tool, 3K+ Test, 40+ Resets, CAN FD &amp; DOIP, 11.0 OS</t>
        </is>
      </c>
      <c r="B271" s="35" t="inlineStr">
        <is>
          <t>B0F5H3MBQW</t>
        </is>
      </c>
      <c r="C271" s="35" t="inlineStr">
        <is>
          <t>Tablet</t>
        </is>
      </c>
      <c r="D271" s="359" t="n">
        <v>798.99</v>
      </c>
      <c r="E271" s="359" t="n">
        <v>24030.32692307693</v>
      </c>
      <c r="F271" s="361" t="n">
        <v>1597.98</v>
      </c>
      <c r="G271" s="68" t="n">
        <v>26</v>
      </c>
      <c r="H271" s="68" t="n">
        <v>2</v>
      </c>
      <c r="I271" s="68" t="n">
        <v>6</v>
      </c>
      <c r="J271" s="69" t="n">
        <v>4.4</v>
      </c>
      <c r="K271" s="69" t="inlineStr">
        <is>
          <t>https://amazon.com/dp/B0F5H3MBQW</t>
        </is>
      </c>
      <c r="L271" s="114">
        <f>HYPERLINK(Table1311[[#This Row],[Column1]])</f>
        <v/>
      </c>
    </row>
    <row r="272" ht="60" customHeight="1" s="314">
      <c r="A272" s="35" t="inlineStr">
        <is>
          <t>Autel Original CV CAT 14-Pin Adapter, CAT 14 Off Highway Connector for Caterpillar Engines, 2026 Work with Autel Scanner Heavy Duty Truck Semi Scan Tool MaxiSYS MS909CV, MS908CV II, MS908CV, MS906CV</t>
        </is>
      </c>
      <c r="B272" s="35" t="inlineStr">
        <is>
          <t>B0DBHVKGK8</t>
        </is>
      </c>
      <c r="C272" s="35" t="inlineStr">
        <is>
          <t>Cable/Adapter</t>
        </is>
      </c>
      <c r="D272" s="359" t="n">
        <v>39.6695</v>
      </c>
      <c r="E272" s="359" t="n">
        <v>14806.99</v>
      </c>
      <c r="F272" s="361" t="n">
        <v>1586.78</v>
      </c>
      <c r="G272" s="68" t="n">
        <v>376</v>
      </c>
      <c r="H272" s="68" t="n">
        <v>40</v>
      </c>
      <c r="I272" s="68" t="n">
        <v>8</v>
      </c>
      <c r="J272" s="69" t="n">
        <v>4.5</v>
      </c>
      <c r="K272" s="69" t="inlineStr">
        <is>
          <t>https://amazon.com/dp/B0DBHVKGK8</t>
        </is>
      </c>
      <c r="L272" s="114">
        <f>HYPERLINK(Table1311[[#This Row],[Column1]])</f>
        <v/>
      </c>
    </row>
    <row r="273" ht="60" customHeight="1" s="314">
      <c r="A273" s="35" t="inlineStr">
        <is>
          <t>Autel MaxiSys Elite 2 Pro Scanner, 2026 Elite II Pro with 2 Years Update, J2534 Pr0gramming as MS Ultra MS909 MS919 Up of MS908S PRO II MK908P, Motor TruSpeed, 3000+ Tests, 40+ Service, CANFD, 10.0 OS</t>
        </is>
      </c>
      <c r="B273" s="35" t="inlineStr">
        <is>
          <t>B0G6ZDHJPR</t>
        </is>
      </c>
      <c r="C273" s="35" t="inlineStr">
        <is>
          <t>Tablet</t>
        </is>
      </c>
      <c r="D273" s="359" t="n">
        <v>1579.32</v>
      </c>
      <c r="E273" s="359" t="n">
        <v>28625.81076923078</v>
      </c>
      <c r="F273" s="361" t="n">
        <v>1579.32</v>
      </c>
      <c r="G273" s="68" t="n">
        <v>8</v>
      </c>
      <c r="H273" s="68" t="n">
        <v>1</v>
      </c>
      <c r="I273" s="68" t="n">
        <v>30</v>
      </c>
      <c r="J273" s="69" t="n">
        <v>4.4</v>
      </c>
      <c r="K273" s="69" t="inlineStr">
        <is>
          <t>https://amazon.com/dp/B0G6ZDHJPR</t>
        </is>
      </c>
      <c r="L273" s="114">
        <f>HYPERLINK(Table1311[[#This Row],[Column1]])</f>
        <v/>
      </c>
    </row>
    <row r="274" ht="30" customHeight="1" s="314">
      <c r="A274" s="35" t="inlineStr">
        <is>
          <t>2026 Autel MaxiPRO MP808S KIT Scanner, 2-Year Update of MP900Z-BT MP900-BT KIT, ECU C0ding, 31+ Reset, 3000+ Test, Alternative to MaxiSYS MS906 PRO, w/ $200 11PCS OBD Cables, Up of MK808S MX900 MK900</t>
        </is>
      </c>
      <c r="B274" s="35" t="inlineStr">
        <is>
          <t>B07R2N9K31</t>
        </is>
      </c>
      <c r="C274" s="35" t="inlineStr">
        <is>
          <t>Tablet</t>
        </is>
      </c>
      <c r="D274" s="359" t="n">
        <v>771.42</v>
      </c>
      <c r="E274" s="359" t="n">
        <v>27335.97</v>
      </c>
      <c r="F274" s="361" t="n">
        <v>1542.84</v>
      </c>
      <c r="G274" s="68" t="n">
        <v>38</v>
      </c>
      <c r="H274" s="68" t="n">
        <v>2</v>
      </c>
      <c r="I274" s="68" t="n">
        <v>314</v>
      </c>
      <c r="J274" s="69" t="n">
        <v>4.5</v>
      </c>
      <c r="K274" s="69" t="inlineStr">
        <is>
          <t>https://amazon.com/dp/B07R2N9K31</t>
        </is>
      </c>
      <c r="L274" s="114">
        <f>HYPERLINK(Table1311[[#This Row],[Column1]])</f>
        <v/>
      </c>
    </row>
    <row r="275" ht="60" customHeight="1" s="314">
      <c r="A275" s="35" t="inlineStr">
        <is>
          <t>Autel OBD2 Scanner MS309 Automotive Check Engine Code Reader, Check Emission Monitor Status, CAN Diagnostic Scan Tool for All OBDII Protocol Vehicles After 1996</t>
        </is>
      </c>
      <c r="B275" s="35" t="inlineStr">
        <is>
          <t>B001LHQBMC</t>
        </is>
      </c>
      <c r="C275" s="35" t="inlineStr">
        <is>
          <t>Handheld</t>
        </is>
      </c>
      <c r="D275" s="359" t="n">
        <v>22.82925373134328</v>
      </c>
      <c r="E275" s="359" t="n">
        <v>21120.23</v>
      </c>
      <c r="F275" s="361" t="n">
        <v>1529.56</v>
      </c>
      <c r="G275" s="68" t="n">
        <v>921</v>
      </c>
      <c r="H275" s="68" t="n">
        <v>67</v>
      </c>
      <c r="I275" s="68" t="n">
        <v>3626</v>
      </c>
      <c r="J275" s="69" t="n">
        <v>4.5</v>
      </c>
      <c r="K275" s="69" t="inlineStr">
        <is>
          <t>https://amazon.com/dp/B001LHQBMC</t>
        </is>
      </c>
      <c r="L275" s="114">
        <f>HYPERLINK(Table1311[[#This Row],[Column1]])</f>
        <v/>
      </c>
    </row>
    <row r="276" ht="45" customHeight="1" s="314">
      <c r="A276" s="35" t="inlineStr">
        <is>
          <t>Autel MaxiVCI Mini Bluetooth, Vehicle Communication Wireless Interface, Diagnostic Connector Compatible for MK808BT MK808TS MX808TS MP808TS TS608</t>
        </is>
      </c>
      <c r="B276" s="35" t="inlineStr">
        <is>
          <t>B09Z24BVGP</t>
        </is>
      </c>
      <c r="C276" s="35" t="inlineStr">
        <is>
          <t>Dongle</t>
        </is>
      </c>
      <c r="D276" s="359" t="n">
        <v>122.9825</v>
      </c>
      <c r="E276" s="359" t="n">
        <v>14379.75</v>
      </c>
      <c r="F276" s="361" t="n">
        <v>1475.79</v>
      </c>
      <c r="G276" s="68" t="n">
        <v>123</v>
      </c>
      <c r="H276" s="68" t="n">
        <v>12</v>
      </c>
      <c r="I276" s="68" t="n">
        <v>17</v>
      </c>
      <c r="J276" s="69" t="n">
        <v>4.6</v>
      </c>
      <c r="K276" s="69" t="inlineStr">
        <is>
          <t>https://amazon.com/dp/B09Z24BVGP</t>
        </is>
      </c>
      <c r="L276" s="114">
        <f>HYPERLINK(Table1311[[#This Row],[Column1]])</f>
        <v/>
      </c>
    </row>
    <row r="277" ht="45" customHeight="1" s="314">
      <c r="A277" s="35" t="inlineStr">
        <is>
          <t>Autel MaxiSys Ultra 1-Year Update Service, Total Care Program (TCP) Card, One Year Software Subscription &amp; Warranty</t>
        </is>
      </c>
      <c r="B277" s="35" t="inlineStr">
        <is>
          <t>B0G64B7R8V</t>
        </is>
      </c>
      <c r="C277" s="35" t="inlineStr">
        <is>
          <t>Other</t>
        </is>
      </c>
      <c r="D277" s="359" t="n">
        <v>1465.53</v>
      </c>
      <c r="E277" s="359" t="n">
        <v>15133.39538461539</v>
      </c>
      <c r="F277" s="361" t="n">
        <v>1465.53</v>
      </c>
      <c r="G277" s="68" t="n">
        <v>3</v>
      </c>
      <c r="H277" s="68" t="n">
        <v>1</v>
      </c>
      <c r="I277" s="68" t="n"/>
      <c r="J277" s="69" t="n"/>
      <c r="K277" s="69" t="inlineStr">
        <is>
          <t>https://amazon.com/dp/B0G64B7R8V</t>
        </is>
      </c>
      <c r="L277" s="114">
        <f>HYPERLINK(Table1311[[#This Row],[Column1]])</f>
        <v/>
      </c>
    </row>
    <row r="278" ht="45" customHeight="1" s="314">
      <c r="A278" s="35" t="inlineStr">
        <is>
          <t>Autel MaxiVCI V100 Bluetooth Vehicle Communication Interface OBD Scanner Comprehensive Diagnostics Work with MS906BT, MK906BT, MS906TS, MK908, MS908, MS908S Pro, MS908 Pro, MK908P, MaxiSYS Elite</t>
        </is>
      </c>
      <c r="B278" s="35" t="inlineStr">
        <is>
          <t>B0BNM91GZH</t>
        </is>
      </c>
      <c r="C278" s="35" t="inlineStr">
        <is>
          <t>Dongle</t>
        </is>
      </c>
      <c r="D278" s="359" t="n">
        <v>204.3457142857143</v>
      </c>
      <c r="E278" s="359" t="n">
        <v>25465.96</v>
      </c>
      <c r="F278" s="361" t="n">
        <v>1430.42</v>
      </c>
      <c r="G278" s="68" t="n">
        <v>131</v>
      </c>
      <c r="H278" s="68" t="n">
        <v>7</v>
      </c>
      <c r="I278" s="68" t="n">
        <v>9</v>
      </c>
      <c r="J278" s="69" t="n">
        <v>5</v>
      </c>
      <c r="K278" s="69" t="inlineStr">
        <is>
          <t>https://amazon.com/dp/B0BNM91GZH</t>
        </is>
      </c>
      <c r="L278" s="114">
        <f>HYPERLINK(Table1311[[#This Row],[Column1]])</f>
        <v/>
      </c>
    </row>
    <row r="279" ht="45" customHeight="1" s="314">
      <c r="A279" s="35" t="inlineStr">
        <is>
          <t>Autel MaxiCOM MK808Z-TS Scanner, TPMS Programming Tool with All System Diagnostic Scan, Same as MX808S-TS MK808S-TS, MX-Sensor Programmer, 28+ Services, 3000+ Active Tests, Android 11, FCA AutoAuth</t>
        </is>
      </c>
      <c r="B279" s="35" t="inlineStr">
        <is>
          <t>B0FKGN6W6S</t>
        </is>
      </c>
      <c r="C279" s="35" t="inlineStr">
        <is>
          <t>Tablet</t>
        </is>
      </c>
      <c r="D279" s="359" t="n">
        <v>705.775</v>
      </c>
      <c r="E279" s="359" t="n">
        <v>15451.04538461539</v>
      </c>
      <c r="F279" s="361" t="n">
        <v>1411.55</v>
      </c>
      <c r="G279" s="68" t="n">
        <v>11</v>
      </c>
      <c r="H279" s="68" t="n">
        <v>2</v>
      </c>
      <c r="I279" s="68" t="n">
        <v>2</v>
      </c>
      <c r="J279" s="69" t="n">
        <v>5</v>
      </c>
      <c r="K279" s="69" t="inlineStr">
        <is>
          <t>https://amazon.com/dp/B0FKGN6W6S</t>
        </is>
      </c>
      <c r="L279" s="114">
        <f>HYPERLINK(Table1311[[#This Row],[Column1]])</f>
        <v/>
      </c>
    </row>
    <row r="280" ht="45" customHeight="1" s="314">
      <c r="A280" s="35" t="inlineStr">
        <is>
          <t>Autel Scanner KM100E OBD2 Tool: 2026 Lite Version of IM508 Pro, IM608 Pro 2 IM608S II, V200 Wireless BT Connect, Auto Scan 2.0, Android 9.0, 10X Faster Hardware, Full Functions, Support 150-200 Brands</t>
        </is>
      </c>
      <c r="B280" s="35" t="inlineStr">
        <is>
          <t>B07Q2LMS7J</t>
        </is>
      </c>
      <c r="C280" s="35" t="inlineStr">
        <is>
          <t>Tablet</t>
        </is>
      </c>
      <c r="D280" s="359" t="n">
        <v>461.8699999999999</v>
      </c>
      <c r="E280" s="359" t="n">
        <v>21754.89</v>
      </c>
      <c r="F280" s="361" t="n">
        <v>1385.61</v>
      </c>
      <c r="G280" s="68" t="n">
        <v>40</v>
      </c>
      <c r="H280" s="68" t="n">
        <v>3</v>
      </c>
      <c r="I280" s="68" t="n">
        <v>180</v>
      </c>
      <c r="J280" s="69" t="n">
        <v>4.5</v>
      </c>
      <c r="K280" s="69" t="inlineStr">
        <is>
          <t>https://amazon.com/dp/B07Q2LMS7J</t>
        </is>
      </c>
      <c r="L280" s="114">
        <f>HYPERLINK(Table1311[[#This Row],[Column1]])</f>
        <v/>
      </c>
    </row>
    <row r="281" ht="17" customHeight="1" s="314">
      <c r="A281" s="35" t="inlineStr">
        <is>
          <t>Autel AutoLink AL619 OBD2 Scanner, ABS SRS Airbag Warning Light Scan Tool, Turn Off Check Engine Light Car Diagnostic Tool, 10 OBDII Test Modes, Live Data, Freeze Frame, 2026 Up of ML619 AL519 ML519</t>
        </is>
      </c>
      <c r="B281" s="35" t="inlineStr">
        <is>
          <t>B07CMX3L2V</t>
        </is>
      </c>
      <c r="C281" s="35" t="inlineStr">
        <is>
          <t>Handheld</t>
        </is>
      </c>
      <c r="D281" s="359" t="n">
        <v>98.44428571428573</v>
      </c>
      <c r="E281" s="359" t="n">
        <v>22401.56</v>
      </c>
      <c r="F281" s="361" t="n">
        <v>1378.22</v>
      </c>
      <c r="G281" s="68" t="n">
        <v>226</v>
      </c>
      <c r="H281" s="68" t="n">
        <v>14</v>
      </c>
      <c r="I281" s="68" t="n">
        <v>237</v>
      </c>
      <c r="J281" s="69" t="n">
        <v>4.4</v>
      </c>
      <c r="K281" s="69" t="inlineStr">
        <is>
          <t>https://amazon.com/dp/B07CMX3L2V</t>
        </is>
      </c>
      <c r="L281" s="114">
        <f>HYPERLINK(Table1311[[#This Row],[Column1]])</f>
        <v/>
      </c>
    </row>
    <row r="282" ht="45" customHeight="1" s="314">
      <c r="A282" s="35" t="inlineStr">
        <is>
          <t>Autel - Total Care Program for Msultra (ULTRA1YRUPD)</t>
        </is>
      </c>
      <c r="B282" s="35" t="inlineStr">
        <is>
          <t>B09WW424ZL</t>
        </is>
      </c>
      <c r="C282" s="35" t="inlineStr">
        <is>
          <t>Other</t>
        </is>
      </c>
      <c r="D282" s="359" t="n">
        <v>1350.15</v>
      </c>
      <c r="E282" s="359" t="n">
        <v>71078.14999999999</v>
      </c>
      <c r="F282" s="361" t="n">
        <v>1350.15</v>
      </c>
      <c r="G282" s="68" t="n">
        <v>75</v>
      </c>
      <c r="H282" s="68" t="n">
        <v>1</v>
      </c>
      <c r="I282" s="68" t="n">
        <v>5</v>
      </c>
      <c r="J282" s="69" t="n">
        <v>5</v>
      </c>
      <c r="K282" s="69" t="inlineStr">
        <is>
          <t>https://amazon.com/dp/B09WW424ZL</t>
        </is>
      </c>
      <c r="L282" s="114">
        <f>HYPERLINK(Table1311[[#This Row],[Column1]])</f>
        <v/>
      </c>
    </row>
    <row r="283" ht="60" customHeight="1" s="314">
      <c r="A283" s="35" t="inlineStr">
        <is>
          <t>Autel Scanner MaxiCheck MX900, 2026 Bidirectional OBD2 Diagnostic Scan Tool with CAN FD DOIP, 8In US Ver. of MaxiCOM MK900 MK900BT V2.0 of MK808S MK808 MK808BT MX808S, 3000+ Active Test, 40+ Service</t>
        </is>
      </c>
      <c r="B283" s="35" t="inlineStr">
        <is>
          <t>B07PYSM27R</t>
        </is>
      </c>
      <c r="C283" s="35" t="inlineStr">
        <is>
          <t>Tablet</t>
        </is>
      </c>
      <c r="D283" s="359" t="n">
        <v>660.995</v>
      </c>
      <c r="E283" s="359" t="n">
        <v>40868.67999999999</v>
      </c>
      <c r="F283" s="361" t="n">
        <v>1321.99</v>
      </c>
      <c r="G283" s="68" t="n">
        <v>77</v>
      </c>
      <c r="H283" s="68" t="n">
        <v>2</v>
      </c>
      <c r="I283" s="68" t="n">
        <v>172</v>
      </c>
      <c r="J283" s="69" t="n">
        <v>4.4</v>
      </c>
      <c r="K283" s="69" t="inlineStr">
        <is>
          <t>https://amazon.com/dp/B07PYSM27R</t>
        </is>
      </c>
      <c r="L283" s="114">
        <f>HYPERLINK(Table1311[[#This Row],[Column1]])</f>
        <v/>
      </c>
    </row>
    <row r="284" ht="45" customHeight="1" s="314">
      <c r="A284" s="35" t="inlineStr">
        <is>
          <t>Autel MaxiVCI V200 VCI200 OBD2 Adapter Connector, 2026 VCI 200 Car Wireless Communication Interface, Work w/Autel Scanner MaxiSys MS906PRO MS906 PRO-TS KM100 BT608 BT609 ITS600 MK906 PRO MK906 PRO TS</t>
        </is>
      </c>
      <c r="B284" s="35" t="inlineStr">
        <is>
          <t>B0GWPXFNL8</t>
        </is>
      </c>
      <c r="C284" s="35" t="inlineStr">
        <is>
          <t>Dongle</t>
        </is>
      </c>
      <c r="D284" s="359" t="n">
        <v>219</v>
      </c>
      <c r="E284" s="359" t="n">
        <v>15869.07692307692</v>
      </c>
      <c r="F284" s="361" t="n">
        <v>1314</v>
      </c>
      <c r="G284" s="68" t="n">
        <v>6</v>
      </c>
      <c r="H284" s="68" t="n">
        <v>6</v>
      </c>
      <c r="I284" s="68" t="n"/>
      <c r="J284" s="69" t="n"/>
      <c r="K284" s="69" t="inlineStr">
        <is>
          <t>https://amazon.com/dp/B0GWPXFNL8</t>
        </is>
      </c>
      <c r="L284" s="114">
        <f>HYPERLINK(Table1311[[#This Row],[Column1]])</f>
        <v/>
      </c>
    </row>
    <row r="285" ht="45" customHeight="1" s="314">
      <c r="A285" s="35" t="inlineStr">
        <is>
          <t>Autel AutoLink AL529HD with Screen Wiper OBD2 Scanner Heavy Duty Truck Code Reader AutoVIN Read/Erase DTCs O2 Monitor Test Check Live Data Advanced AL519/AL529 Compatible SAE-J1939/J1708</t>
        </is>
      </c>
      <c r="B285" s="35" t="inlineStr">
        <is>
          <t>B094VX7S63</t>
        </is>
      </c>
      <c r="C285" s="35" t="inlineStr">
        <is>
          <t>Handheld</t>
        </is>
      </c>
      <c r="D285" s="359" t="n">
        <v>115.0827272727273</v>
      </c>
      <c r="E285" s="359" t="n">
        <v>40664.52461538462</v>
      </c>
      <c r="F285" s="361" t="n">
        <v>1265.91</v>
      </c>
      <c r="G285" s="68" t="n">
        <v>319</v>
      </c>
      <c r="H285" s="68" t="n">
        <v>11</v>
      </c>
      <c r="I285" s="68" t="n">
        <v>31</v>
      </c>
      <c r="J285" s="69" t="n">
        <v>4.2</v>
      </c>
      <c r="K285" s="69" t="inlineStr">
        <is>
          <t>https://amazon.com/dp/B094VX7S63</t>
        </is>
      </c>
      <c r="L285" s="114">
        <f>HYPERLINK(Table1311[[#This Row],[Column1]])</f>
        <v/>
      </c>
    </row>
    <row r="286" ht="60" customHeight="1" s="314">
      <c r="A286" s="35" t="inlineStr">
        <is>
          <t>Autel CAN FD Adapter for GM MY2020 Vehicles Accessories, Mini VCI J2534, Adaptador CAN FD, Compatible with Autel MaxiSys IM608, IM508, MX808, MS906, MS908, Ultra Series</t>
        </is>
      </c>
      <c r="B286" s="35" t="inlineStr">
        <is>
          <t>B0D5XYZTHW</t>
        </is>
      </c>
      <c r="C286" s="35" t="inlineStr">
        <is>
          <t>Cable/Adapter</t>
        </is>
      </c>
      <c r="D286" s="359" t="n">
        <v>115.05</v>
      </c>
      <c r="E286" s="359" t="n">
        <v>18093.99</v>
      </c>
      <c r="F286" s="361" t="n">
        <v>1265.55</v>
      </c>
      <c r="G286" s="68" t="n">
        <v>160</v>
      </c>
      <c r="H286" s="68" t="n">
        <v>11</v>
      </c>
      <c r="I286" s="68" t="n">
        <v>8</v>
      </c>
      <c r="J286" s="69" t="n">
        <v>4.8</v>
      </c>
      <c r="K286" s="69" t="inlineStr">
        <is>
          <t>https://amazon.com/dp/B0D5XYZTHW</t>
        </is>
      </c>
      <c r="L286" s="114">
        <f>HYPERLINK(Table1311[[#This Row],[Column1]])</f>
        <v/>
      </c>
    </row>
    <row r="287" ht="30" customHeight="1" s="314">
      <c r="A287" s="35" t="inlineStr">
        <is>
          <t>Autel Original OBD2 Cable for Harley Davidson, 4pin+6pin 2 in 1 Motorcycle OBD Scanner Adapter, 16Pin to 4Pin and 6Pin OBDII Connector Work with Harleydavidson Diagnostic Tool</t>
        </is>
      </c>
      <c r="B287" s="35" t="inlineStr">
        <is>
          <t>B0G13GBCB7</t>
        </is>
      </c>
      <c r="C287" s="35" t="inlineStr">
        <is>
          <t>Cable/Adapter</t>
        </is>
      </c>
      <c r="D287" s="359" t="n">
        <v>19.75390625</v>
      </c>
      <c r="E287" s="359" t="n">
        <v>13032.7</v>
      </c>
      <c r="F287" s="361" t="n">
        <v>1264.25</v>
      </c>
      <c r="G287" s="68" t="n">
        <v>123</v>
      </c>
      <c r="H287" s="68" t="n">
        <v>64</v>
      </c>
      <c r="I287" s="68" t="n">
        <v>24</v>
      </c>
      <c r="J287" s="69" t="n">
        <v>4.1</v>
      </c>
      <c r="K287" s="69" t="inlineStr">
        <is>
          <t>https://amazon.com/dp/B0G13GBCB7</t>
        </is>
      </c>
      <c r="L287" s="114">
        <f>HYPERLINK(Table1311[[#This Row],[Column1]])</f>
        <v/>
      </c>
    </row>
    <row r="288" ht="45" customHeight="1" s="314">
      <c r="A288" s="35" t="inlineStr">
        <is>
          <t>Autel IM508S Scanner Programmer Tool Full OBDII Diagnostics Code Readers Diagnostics Scan Tool Programming 3000+ Bidirectional Tests 40+ Resets Android 11 FCA AutoAuth 4/64G</t>
        </is>
      </c>
      <c r="B288" s="35" t="inlineStr">
        <is>
          <t>B0G5Y5Q7M3</t>
        </is>
      </c>
      <c r="C288" s="35" t="inlineStr">
        <is>
          <t>Tablet</t>
        </is>
      </c>
      <c r="D288" s="359" t="n">
        <v>1263.4</v>
      </c>
      <c r="E288" s="359" t="n">
        <v>14211.88384615385</v>
      </c>
      <c r="F288" s="361" t="n">
        <v>1263.4</v>
      </c>
      <c r="G288" s="68" t="n">
        <v>2</v>
      </c>
      <c r="H288" s="68" t="n">
        <v>1</v>
      </c>
      <c r="I288" s="68" t="n"/>
      <c r="J288" s="69" t="n"/>
      <c r="K288" s="69" t="inlineStr">
        <is>
          <t>https://amazon.com/dp/B0G5Y5Q7M3</t>
        </is>
      </c>
      <c r="L288" s="114">
        <f>HYPERLINK(Table1311[[#This Row],[Column1]])</f>
        <v/>
      </c>
    </row>
    <row r="289" ht="60" customHeight="1" s="314">
      <c r="A289" s="35" t="inlineStr">
        <is>
          <t>Autel Scanner, escáner para carros en español, Autel MX900 with MV108, OBD2 Scanner, 40+ Resets, Support CAN FD/Do IP, All System, Android 11, FCA Auto auth, 3000+ Active Test, Upgrade MX808 MK808S</t>
        </is>
      </c>
      <c r="B289" s="35" t="inlineStr">
        <is>
          <t>B0CRRDVYKD</t>
        </is>
      </c>
      <c r="C289" s="35" t="inlineStr">
        <is>
          <t>Tablet</t>
        </is>
      </c>
      <c r="D289" s="359" t="n">
        <v>623.645</v>
      </c>
      <c r="E289" s="359" t="n">
        <v>13242.39</v>
      </c>
      <c r="F289" s="361" t="n">
        <v>1247.29</v>
      </c>
      <c r="G289" s="68" t="n">
        <v>25</v>
      </c>
      <c r="H289" s="68" t="n">
        <v>2</v>
      </c>
      <c r="I289" s="68" t="n">
        <v>15</v>
      </c>
      <c r="J289" s="69" t="n">
        <v>5</v>
      </c>
      <c r="K289" s="69" t="inlineStr">
        <is>
          <t>https://amazon.com/dp/B0CRRDVYKD</t>
        </is>
      </c>
      <c r="L289" s="114">
        <f>HYPERLINK(Table1311[[#This Row],[Column1]])</f>
        <v/>
      </c>
    </row>
    <row r="290" ht="45" customHeight="1" s="314">
      <c r="A290" s="35" t="inlineStr">
        <is>
          <t>Autel Original OBD to Type 2 Green 9pin J1939 Male and 6pin J1708 Split Y Cable, 2-in-1 OBD2 Adapter for Commercial Vehicles Diesel Truck Heavy Duty Diagnostic, Work with Both Tpye2 and Type1</t>
        </is>
      </c>
      <c r="B290" s="35" t="inlineStr">
        <is>
          <t>B0G4LYW24Q</t>
        </is>
      </c>
      <c r="C290" s="35" t="inlineStr">
        <is>
          <t>Cable/Adapter</t>
        </is>
      </c>
      <c r="D290" s="359" t="n">
        <v>22.11482142857143</v>
      </c>
      <c r="E290" s="359" t="n">
        <v>13707.10153846154</v>
      </c>
      <c r="F290" s="361" t="n">
        <v>1238.43</v>
      </c>
      <c r="G290" s="68" t="n">
        <v>102</v>
      </c>
      <c r="H290" s="68" t="n">
        <v>56</v>
      </c>
      <c r="I290" s="68" t="n">
        <v>15</v>
      </c>
      <c r="J290" s="69" t="n">
        <v>4.9</v>
      </c>
      <c r="K290" s="69" t="inlineStr">
        <is>
          <t>https://amazon.com/dp/B0G4LYW24Q</t>
        </is>
      </c>
      <c r="L290" s="114">
        <f>HYPERLINK(Table1311[[#This Row],[Column1]])</f>
        <v/>
      </c>
    </row>
    <row r="291" ht="45" customHeight="1" s="314">
      <c r="A291" s="35" t="inlineStr">
        <is>
          <t>Autel J2534 Pass-Thru Programmer, 2026 MaxiFlash VCI OEM Programming &amp; Diagnostic Tool 2.0V of MaxiFlash Elite, SAE J-2534 CAN FD DoIP D-PDU RP1210, Work with OE Tools &amp; MaxiSYS Elite II PRO MS909</t>
        </is>
      </c>
      <c r="B291" s="35" t="inlineStr">
        <is>
          <t>B09J4Y9JRP</t>
        </is>
      </c>
      <c r="C291" s="35" t="inlineStr">
        <is>
          <t>VCI</t>
        </is>
      </c>
      <c r="D291" s="359" t="n">
        <v>1238.23</v>
      </c>
      <c r="E291" s="359" t="n">
        <v>47267.03153846154</v>
      </c>
      <c r="F291" s="361" t="n">
        <v>1238.23</v>
      </c>
      <c r="G291" s="68" t="n">
        <v>46</v>
      </c>
      <c r="H291" s="68" t="n">
        <v>1</v>
      </c>
      <c r="I291" s="68" t="n">
        <v>1</v>
      </c>
      <c r="J291" s="69" t="n">
        <v>5</v>
      </c>
      <c r="K291" s="69" t="inlineStr">
        <is>
          <t>https://amazon.com/dp/B09J4Y9JRP</t>
        </is>
      </c>
      <c r="L291" s="114">
        <f>HYPERLINK(Table1311[[#This Row],[Column1]])</f>
        <v/>
      </c>
    </row>
    <row r="292" ht="45" customHeight="1" s="314">
      <c r="A292" s="35" t="inlineStr">
        <is>
          <t>Autel MaxiIM IMKPA KIT - 12Pcs Expanded Fo-b Programming Chips w/Case, Work with XP400 PRO + Autel IM608 PRO II IM608S II IM608 PRO IM608 II IM508S IM508, Advanced for Benz/BWM/VW/Audi</t>
        </is>
      </c>
      <c r="B292" s="35" t="inlineStr">
        <is>
          <t>B08PPFNLSR</t>
        </is>
      </c>
      <c r="C292" s="35" t="inlineStr">
        <is>
          <t>Key</t>
        </is>
      </c>
      <c r="D292" s="359" t="n">
        <v>244.77</v>
      </c>
      <c r="E292" s="359" t="n">
        <v>10799</v>
      </c>
      <c r="F292" s="361" t="n">
        <v>1223.85</v>
      </c>
      <c r="G292" s="68" t="n">
        <v>45</v>
      </c>
      <c r="H292" s="68" t="n">
        <v>5</v>
      </c>
      <c r="I292" s="68" t="n">
        <v>15</v>
      </c>
      <c r="J292" s="69" t="n">
        <v>4.8</v>
      </c>
      <c r="K292" s="69" t="inlineStr">
        <is>
          <t>https://amazon.com/dp/B08PPFNLSR</t>
        </is>
      </c>
      <c r="L292" s="114">
        <f>HYPERLINK(Table1311[[#This Row],[Column1]])</f>
        <v/>
      </c>
    </row>
    <row r="293" ht="45" customHeight="1" s="314">
      <c r="A293" s="35" t="inlineStr">
        <is>
          <t>Autel OBD2 16Pin J1962 Female to OBDII Open Pigtail Cable, Pigtail Fixed Wire Harness with Underdash Mount Bracket, OE-Quality, 1FT/ 30CM</t>
        </is>
      </c>
      <c r="B293" s="35" t="inlineStr">
        <is>
          <t>B0F3XHP8FF</t>
        </is>
      </c>
      <c r="C293" s="35" t="inlineStr">
        <is>
          <t>Cable/Adapter</t>
        </is>
      </c>
      <c r="D293" s="359" t="n">
        <v>20.01967213114754</v>
      </c>
      <c r="E293" s="359" t="n">
        <v>11806.84</v>
      </c>
      <c r="F293" s="361" t="n">
        <v>1221.2</v>
      </c>
      <c r="G293" s="68" t="n">
        <v>670</v>
      </c>
      <c r="H293" s="68" t="n">
        <v>61</v>
      </c>
      <c r="I293" s="68" t="n">
        <v>25</v>
      </c>
      <c r="J293" s="69" t="n">
        <v>4.7</v>
      </c>
      <c r="K293" s="69" t="inlineStr">
        <is>
          <t>https://amazon.com/dp/B0F3XHP8FF</t>
        </is>
      </c>
      <c r="L293" s="114">
        <f>HYPERLINK(Table1311[[#This Row],[Column1]])</f>
        <v/>
      </c>
    </row>
    <row r="294" ht="45" customHeight="1" s="314">
      <c r="A294" s="35" t="inlineStr">
        <is>
          <t>Autel Original OBD to Green Type2 9 Pin J1939 and 6 Pin J1708 Split Y Cable for Diesel Truck Diagnostics, 9Pin and 6Pin Male to 16Pin OBDII Female Splitter Adapter, OBD to OBD2 16 Pin Diagnostic Tool</t>
        </is>
      </c>
      <c r="B294" s="35" t="inlineStr">
        <is>
          <t>B0DBZTZLJ1</t>
        </is>
      </c>
      <c r="C294" s="35" t="inlineStr">
        <is>
          <t>Cable/Adapter</t>
        </is>
      </c>
      <c r="D294" s="359" t="n">
        <v>25.77872340425532</v>
      </c>
      <c r="E294" s="359" t="n">
        <v>17054.48</v>
      </c>
      <c r="F294" s="361" t="n">
        <v>1211.6</v>
      </c>
      <c r="G294" s="68" t="n">
        <v>656</v>
      </c>
      <c r="H294" s="68" t="n">
        <v>47</v>
      </c>
      <c r="I294" s="68" t="n">
        <v>27</v>
      </c>
      <c r="J294" s="69" t="n">
        <v>4.3</v>
      </c>
      <c r="K294" s="69" t="inlineStr">
        <is>
          <t>https://amazon.com/dp/B0DBZTZLJ1</t>
        </is>
      </c>
      <c r="L294" s="114">
        <f>HYPERLINK(Table1311[[#This Row],[Column1]])</f>
        <v/>
      </c>
    </row>
    <row r="295" ht="45" customHeight="1" s="314">
      <c r="A295" s="35" t="inlineStr">
        <is>
          <t>XP400PRO</t>
        </is>
      </c>
      <c r="B295" s="35" t="inlineStr">
        <is>
          <t>B09PVQZPK5</t>
        </is>
      </c>
      <c r="C295" s="35" t="inlineStr">
        <is>
          <t>Tablet</t>
        </is>
      </c>
      <c r="D295" s="359" t="n">
        <v>401.6333333333334</v>
      </c>
      <c r="E295" s="359" t="n">
        <v>16294.20846153847</v>
      </c>
      <c r="F295" s="361" t="n">
        <v>1204.9</v>
      </c>
      <c r="G295" s="68" t="n">
        <v>16</v>
      </c>
      <c r="H295" s="68" t="n">
        <v>3</v>
      </c>
      <c r="I295" s="68" t="n">
        <v>2</v>
      </c>
      <c r="J295" s="69" t="n">
        <v>5</v>
      </c>
      <c r="K295" s="69" t="inlineStr">
        <is>
          <t>https://amazon.com/dp/B09PVQZPK5</t>
        </is>
      </c>
      <c r="L295" s="114">
        <f>HYPERLINK(Table1311[[#This Row],[Column1]])</f>
        <v/>
      </c>
    </row>
    <row r="296" ht="45" customHeight="1" s="314">
      <c r="A296" s="35" t="inlineStr">
        <is>
          <t>Autel Scanner MaxiCheck MX900: 2026 Bidirectional Scan Tool Upgrade of MX808S MK808S MK808BT-Pro, US Ver. of Autel MK900BT MK900, CANFD &amp;DOIP, 40+Services, 3000+ Active Test, All-System Diagnose</t>
        </is>
      </c>
      <c r="B296" s="35" t="inlineStr">
        <is>
          <t>B0F5W6CZJ9</t>
        </is>
      </c>
      <c r="C296" s="35" t="inlineStr">
        <is>
          <t>Tablet</t>
        </is>
      </c>
      <c r="D296" s="359" t="n">
        <v>595.98</v>
      </c>
      <c r="E296" s="359" t="n">
        <v>23240.14230769231</v>
      </c>
      <c r="F296" s="361" t="n">
        <v>1191.96</v>
      </c>
      <c r="G296" s="68" t="n">
        <v>35</v>
      </c>
      <c r="H296" s="68" t="n">
        <v>2</v>
      </c>
      <c r="I296" s="68" t="n">
        <v>6</v>
      </c>
      <c r="J296" s="69" t="n">
        <v>3.8</v>
      </c>
      <c r="K296" s="69" t="inlineStr">
        <is>
          <t>https://amazon.com/dp/B0F5W6CZJ9</t>
        </is>
      </c>
      <c r="L296" s="114">
        <f>HYPERLINK(Table1311[[#This Row],[Column1]])</f>
        <v/>
      </c>
    </row>
    <row r="297" ht="45" customHeight="1" s="314">
      <c r="A297" s="35" t="inlineStr">
        <is>
          <t>Autel AutoLink AL529HD Heavy Duty OBD2 Scanner, Code Reader, Retrieve Code VIN, OBDII Monitor Test, Review Read Erase Data View Live Data Freeze Frame Data Lite of MS909 MS919 MS Ultra</t>
        </is>
      </c>
      <c r="B297" s="35" t="inlineStr">
        <is>
          <t>B0BHNW31B6</t>
        </is>
      </c>
      <c r="C297" s="35" t="inlineStr">
        <is>
          <t>Handheld</t>
        </is>
      </c>
      <c r="D297" s="359" t="n">
        <v>116.448</v>
      </c>
      <c r="E297" s="359" t="n">
        <v>16069.13</v>
      </c>
      <c r="F297" s="361" t="n">
        <v>1164.48</v>
      </c>
      <c r="G297" s="68" t="n">
        <v>133</v>
      </c>
      <c r="H297" s="68" t="n">
        <v>10</v>
      </c>
      <c r="I297" s="68" t="n">
        <v>8</v>
      </c>
      <c r="J297" s="69" t="n">
        <v>4.4</v>
      </c>
      <c r="K297" s="69" t="inlineStr">
        <is>
          <t>https://amazon.com/dp/B0BHNW31B6</t>
        </is>
      </c>
      <c r="L297" s="114">
        <f>HYPERLINK(Table1311[[#This Row],[Column1]])</f>
        <v/>
      </c>
    </row>
    <row r="298" ht="45" customHeight="1" s="314">
      <c r="A298" s="35" t="inlineStr">
        <is>
          <t>Autel MaxiCheck MX900 Scanner: 2026 Bidirectional Scan Tool Same as MaxiCom MK900BT MK900, CANFD&amp; DoIP, 3K+ Active Tests 40+ Services Up of MX808S MK808S MK808BT, 8in All-System Diagnose, FCA 11OS</t>
        </is>
      </c>
      <c r="B298" s="35" t="inlineStr">
        <is>
          <t>B073QHVGX7</t>
        </is>
      </c>
      <c r="C298" s="35" t="inlineStr">
        <is>
          <t>Tablet</t>
        </is>
      </c>
      <c r="D298" s="359" t="n">
        <v>576.885</v>
      </c>
      <c r="E298" s="359" t="n">
        <v>78855.45</v>
      </c>
      <c r="F298" s="361" t="n">
        <v>1153.77</v>
      </c>
      <c r="G298" s="68" t="n">
        <v>141</v>
      </c>
      <c r="H298" s="68" t="n">
        <v>2</v>
      </c>
      <c r="I298" s="68" t="n">
        <v>125</v>
      </c>
      <c r="J298" s="69" t="n">
        <v>4.4</v>
      </c>
      <c r="K298" s="69" t="inlineStr">
        <is>
          <t>https://amazon.com/dp/B073QHVGX7</t>
        </is>
      </c>
      <c r="L298" s="114">
        <f>HYPERLINK(Table1311[[#This Row],[Column1]])</f>
        <v/>
      </c>
    </row>
    <row r="299" ht="45" customHeight="1" s="314">
      <c r="A299" s="35" t="inlineStr">
        <is>
          <t>Autel Original Daewoo &amp; GM OBD2 to OBD1 Adapter, 2026 OBDI 12 Pin Male Socket to 16 Pin Female OBDII Connector for General Motors Scan Tool</t>
        </is>
      </c>
      <c r="B299" s="35" t="inlineStr">
        <is>
          <t>B0FQBTV6S5</t>
        </is>
      </c>
      <c r="C299" s="35" t="inlineStr">
        <is>
          <t>OBD1</t>
        </is>
      </c>
      <c r="D299" s="359" t="n">
        <v>18.92116666666667</v>
      </c>
      <c r="E299" s="359" t="n">
        <v>14325.88923076923</v>
      </c>
      <c r="F299" s="361" t="n">
        <v>1135.27</v>
      </c>
      <c r="G299" s="68" t="n">
        <v>412</v>
      </c>
      <c r="H299" s="68" t="n">
        <v>60</v>
      </c>
      <c r="I299" s="68" t="n">
        <v>16</v>
      </c>
      <c r="J299" s="69" t="n">
        <v>3.7</v>
      </c>
      <c r="K299" s="69" t="inlineStr">
        <is>
          <t>https://amazon.com/dp/B0FQBTV6S5</t>
        </is>
      </c>
      <c r="L299" s="114">
        <f>HYPERLINK(Table1311[[#This Row],[Column1]])</f>
        <v/>
      </c>
    </row>
    <row r="300" ht="60" customHeight="1" s="314">
      <c r="A300" s="35" t="inlineStr">
        <is>
          <t>Autel OBD2 Extension Cable, Full 16Pin Male to Female OBDII Extension Cable Diagnostic Extender, 16Pin OBD II Cord Adapter, for All OBD2 OBD II Vehicles (1m/3.3ft)</t>
        </is>
      </c>
      <c r="B300" s="35" t="inlineStr">
        <is>
          <t>B0DHH3KJPN</t>
        </is>
      </c>
      <c r="C300" s="35" t="inlineStr">
        <is>
          <t>Cable/Adapter</t>
        </is>
      </c>
      <c r="D300" s="359" t="n">
        <v>20.13607142857143</v>
      </c>
      <c r="E300" s="359" t="n">
        <v>13597.495294</v>
      </c>
      <c r="F300" s="361" t="n">
        <v>1127.62</v>
      </c>
      <c r="G300" s="68" t="n">
        <v>692</v>
      </c>
      <c r="H300" s="68" t="n">
        <v>56</v>
      </c>
      <c r="I300" s="68" t="n">
        <v>56</v>
      </c>
      <c r="J300" s="69" t="n">
        <v>4.7</v>
      </c>
      <c r="K300" s="69" t="inlineStr">
        <is>
          <t>https://amazon.com/dp/B0DHH3KJPN</t>
        </is>
      </c>
      <c r="L300" s="114">
        <f>HYPERLINK(Table1311[[#This Row],[Column1]])</f>
        <v/>
      </c>
    </row>
    <row r="301" ht="45" customHeight="1" s="314">
      <c r="A301" s="35" t="inlineStr">
        <is>
          <t>Autel Original TESKIT3Y Teala Diagnostic Cable Adapter for Tesla Model 3 &amp; Y, 26Pin OBD1 to 16 Pin OBD2 Extension Harness Connector Work w/Autel Scanner MaxiSys Ultra/Elite II PRO/ MS908S PRO/ MS909</t>
        </is>
      </c>
      <c r="B301" s="35" t="inlineStr">
        <is>
          <t>B0D3V6QNH8</t>
        </is>
      </c>
      <c r="C301" s="35" t="inlineStr">
        <is>
          <t>Cable/Adapter</t>
        </is>
      </c>
      <c r="D301" s="359" t="n">
        <v>46.52916666666667</v>
      </c>
      <c r="E301" s="359" t="n">
        <v>14586.89</v>
      </c>
      <c r="F301" s="361" t="n">
        <v>1116.7</v>
      </c>
      <c r="G301" s="68" t="n">
        <v>316</v>
      </c>
      <c r="H301" s="68" t="n">
        <v>24</v>
      </c>
      <c r="I301" s="68" t="n">
        <v>14</v>
      </c>
      <c r="J301" s="69" t="n">
        <v>4.1</v>
      </c>
      <c r="K301" s="69" t="inlineStr">
        <is>
          <t>https://amazon.com/dp/B0D3V6QNH8</t>
        </is>
      </c>
      <c r="L301" s="114">
        <f>HYPERLINK(Table1311[[#This Row],[Column1]])</f>
        <v/>
      </c>
    </row>
    <row r="302" ht="45" customHeight="1" s="314">
      <c r="A302" s="35" t="inlineStr">
        <is>
          <t>Autel PowerScan PS100 Power Circuit Probe Scan Tool Automotive Circuit Tester, Read AC DC Resistance 12-24V Electrical Short/Open Circuit Finder, Relay Tester with 20ft Extension Cable</t>
        </is>
      </c>
      <c r="B302" s="35" t="inlineStr">
        <is>
          <t>B0FF95D2MY</t>
        </is>
      </c>
      <c r="C302" s="35" t="inlineStr">
        <is>
          <t>Probe</t>
        </is>
      </c>
      <c r="D302" s="359" t="n">
        <v>91.61166666666666</v>
      </c>
      <c r="E302" s="359" t="n">
        <v>15280.78153846154</v>
      </c>
      <c r="F302" s="361" t="n">
        <v>1099.34</v>
      </c>
      <c r="G302" s="68" t="n">
        <v>125</v>
      </c>
      <c r="H302" s="68" t="n">
        <v>12</v>
      </c>
      <c r="I302" s="68" t="n">
        <v>6</v>
      </c>
      <c r="J302" s="69" t="n">
        <v>5</v>
      </c>
      <c r="K302" s="69" t="inlineStr">
        <is>
          <t>https://amazon.com/dp/B0FF95D2MY</t>
        </is>
      </c>
      <c r="L302" s="114">
        <f>HYPERLINK(Table1311[[#This Row],[Column1]])</f>
        <v/>
      </c>
    </row>
    <row r="303" ht="60" customHeight="1" s="314">
      <c r="A303" s="35" t="inlineStr">
        <is>
          <t>Autel AutoLink AL519 Car OBD2 Scanner, Classic Enhanced Mode 6 Engine Fault Code Reader OBDII CAN Diagnostic Scan Tool, One-Click Smog Check, DTC Lookup, Upgraded of AL319, Lifetime Free Update</t>
        </is>
      </c>
      <c r="B303" s="35" t="inlineStr">
        <is>
          <t>B007XE5LTG</t>
        </is>
      </c>
      <c r="C303" s="35" t="inlineStr">
        <is>
          <t>Handheld</t>
        </is>
      </c>
      <c r="D303" s="359" t="n">
        <v>59.84777777777778</v>
      </c>
      <c r="E303" s="359" t="n">
        <v>8966.769999999999</v>
      </c>
      <c r="F303" s="361" t="n">
        <v>1077.26</v>
      </c>
      <c r="G303" s="68" t="n">
        <v>148</v>
      </c>
      <c r="H303" s="68" t="n">
        <v>18</v>
      </c>
      <c r="I303" s="68" t="n">
        <v>3785</v>
      </c>
      <c r="J303" s="69" t="n">
        <v>4.6</v>
      </c>
      <c r="K303" s="69" t="inlineStr">
        <is>
          <t>https://amazon.com/dp/B007XE5LTG</t>
        </is>
      </c>
      <c r="L303" s="114">
        <f>HYPERLINK(Table1311[[#This Row],[Column1]])</f>
        <v/>
      </c>
    </row>
    <row r="304" ht="17" customHeight="1" s="314">
      <c r="A304" s="35" t="inlineStr">
        <is>
          <t>Autel Original OBD2 Adapter Ram Security Gateway SGB Bypass Cable, OBDII Cable Connector for 2018-2020 Dodge Cummins RAM 1500 2500, 16 Pin 2Pin OBDII Diagnostic Tool Adapter</t>
        </is>
      </c>
      <c r="B304" s="35" t="inlineStr">
        <is>
          <t>B0G141QT15</t>
        </is>
      </c>
      <c r="C304" s="35" t="inlineStr">
        <is>
          <t>Cable/Adapter</t>
        </is>
      </c>
      <c r="D304" s="359" t="n">
        <v>19.93370370370371</v>
      </c>
      <c r="E304" s="359" t="n">
        <v>13952.46461538461</v>
      </c>
      <c r="F304" s="361" t="n">
        <v>1076.42</v>
      </c>
      <c r="G304" s="68" t="n">
        <v>187</v>
      </c>
      <c r="H304" s="68" t="n">
        <v>54</v>
      </c>
      <c r="I304" s="68" t="n">
        <v>27</v>
      </c>
      <c r="J304" s="69" t="n">
        <v>3.9</v>
      </c>
      <c r="K304" s="69" t="inlineStr">
        <is>
          <t>https://amazon.com/dp/B0G141QT15</t>
        </is>
      </c>
      <c r="L304" s="114">
        <f>HYPERLINK(Table1311[[#This Row],[Column1]])</f>
        <v/>
      </c>
    </row>
    <row r="305" ht="60" customHeight="1" s="314">
      <c r="A305" s="35" t="inlineStr">
        <is>
          <t>Autel MaxiVCI VCI200 OBDII Connector, Bluetooth Vehicle Communication Interface Comprehensive Diagnosis DoIP CAN FD Work with BT508 BT608 BT609 ITS600 KM100 MS906Pro MS906Pro-TS MK906SPRO MK906 Pro-TS</t>
        </is>
      </c>
      <c r="B305" s="35" t="inlineStr">
        <is>
          <t>B0BNHS5XKV</t>
        </is>
      </c>
      <c r="C305" s="35" t="inlineStr">
        <is>
          <t>Dongle</t>
        </is>
      </c>
      <c r="D305" s="359" t="n">
        <v>208.966</v>
      </c>
      <c r="E305" s="359" t="n">
        <v>15170.76</v>
      </c>
      <c r="F305" s="361" t="n">
        <v>1044.83</v>
      </c>
      <c r="G305" s="68" t="n">
        <v>73</v>
      </c>
      <c r="H305" s="68" t="n">
        <v>5</v>
      </c>
      <c r="I305" s="68" t="n">
        <v>7</v>
      </c>
      <c r="J305" s="69" t="n">
        <v>5</v>
      </c>
      <c r="K305" s="69" t="inlineStr">
        <is>
          <t>https://amazon.com/dp/B0BNHS5XKV</t>
        </is>
      </c>
      <c r="L305" s="114">
        <f>HYPERLINK(Table1311[[#This Row],[Column1]])</f>
        <v/>
      </c>
    </row>
    <row r="306" ht="60" customHeight="1" s="314">
      <c r="A306" s="35" t="inlineStr">
        <is>
          <t>Autel Scanner MP900-BT KIT, Bidirectional Scan Tool with ECU Coding(Full OBD Kit), Same Function as MS906MAX MS906 PRO, Upgrade of MK808S MS906S MP900, 3000+ Active Tests, 40+ Services, CAN FD &amp; DoIP</t>
        </is>
      </c>
      <c r="B306" s="35" t="inlineStr">
        <is>
          <t>B07ZD8T8K9</t>
        </is>
      </c>
      <c r="C306" s="35" t="inlineStr">
        <is>
          <t>Tablet</t>
        </is>
      </c>
      <c r="D306" s="359" t="n">
        <v>1036.22</v>
      </c>
      <c r="E306" s="359" t="n">
        <v>23174.88076923077</v>
      </c>
      <c r="F306" s="361" t="n">
        <v>1036.22</v>
      </c>
      <c r="G306" s="68" t="n">
        <v>23</v>
      </c>
      <c r="H306" s="68" t="n">
        <v>1</v>
      </c>
      <c r="I306" s="68" t="n">
        <v>175</v>
      </c>
      <c r="J306" s="69" t="n">
        <v>4.4</v>
      </c>
      <c r="K306" s="69" t="inlineStr">
        <is>
          <t>https://amazon.com/dp/B07ZD8T8K9</t>
        </is>
      </c>
      <c r="L306" s="114">
        <f>HYPERLINK(Table1311[[#This Row],[Column1]])</f>
        <v/>
      </c>
    </row>
    <row r="307" ht="45" customHeight="1" s="314">
      <c r="A307" s="35" t="inlineStr">
        <is>
          <t>Autel AutoLink AL529HD, Vehicle Code Reader, Advanced AL529 OBD2 Code Scanner, AutoVIN Read Enhanced Codes for Ford/GM/Chrysler, Freeze Frame Data, Code Reader for Cars and Trucks</t>
        </is>
      </c>
      <c r="B307" s="35" t="inlineStr">
        <is>
          <t>B0BBM99RRF</t>
        </is>
      </c>
      <c r="C307" s="35" t="inlineStr">
        <is>
          <t>Handheld</t>
        </is>
      </c>
      <c r="D307" s="359" t="n">
        <v>115.0177777777778</v>
      </c>
      <c r="E307" s="359" t="n">
        <v>19337.49</v>
      </c>
      <c r="F307" s="361" t="n">
        <v>1035.16</v>
      </c>
      <c r="G307" s="68" t="n">
        <v>162</v>
      </c>
      <c r="H307" s="68" t="n">
        <v>9</v>
      </c>
      <c r="I307" s="68" t="n">
        <v>23</v>
      </c>
      <c r="J307" s="69" t="n">
        <v>4.2</v>
      </c>
      <c r="K307" s="69" t="inlineStr">
        <is>
          <t>https://amazon.com/dp/B0BBM99RRF</t>
        </is>
      </c>
      <c r="L307" s="114">
        <f>HYPERLINK(Table1311[[#This Row],[Column1]])</f>
        <v/>
      </c>
    </row>
    <row r="308" ht="60" customHeight="1" s="314">
      <c r="A308" s="35" t="inlineStr">
        <is>
          <t>Autel MaxiTPMS TS508WF TPMS Programming Tool, w/$120 4PCS Autel TPMS Sensors, 2026 WiFi Ver. of TS408S TS501 TS508 TS601, Relearn/Activate/Diagnosis All Sensor, Read/Clear DTCs, Lifetime Update</t>
        </is>
      </c>
      <c r="B308" s="35" t="inlineStr">
        <is>
          <t>B0CRTXTR9D</t>
        </is>
      </c>
      <c r="C308" s="35" t="inlineStr">
        <is>
          <t>Handheld</t>
        </is>
      </c>
      <c r="D308" s="359" t="n">
        <v>341.4933333333333</v>
      </c>
      <c r="E308" s="359" t="n">
        <v>11120.65384615385</v>
      </c>
      <c r="F308" s="361" t="n">
        <v>1024.48</v>
      </c>
      <c r="G308" s="68" t="n">
        <v>33</v>
      </c>
      <c r="H308" s="68" t="n">
        <v>3</v>
      </c>
      <c r="I308" s="68" t="n">
        <v>6</v>
      </c>
      <c r="J308" s="69" t="n">
        <v>5</v>
      </c>
      <c r="K308" s="69" t="inlineStr">
        <is>
          <t>https://amazon.com/dp/B0CRTXTR9D</t>
        </is>
      </c>
      <c r="L308" s="114">
        <f>HYPERLINK(Table1311[[#This Row],[Column1]])</f>
        <v/>
      </c>
    </row>
    <row r="309" ht="45" customHeight="1" s="314">
      <c r="A309" s="35" t="inlineStr">
        <is>
          <t>Autel MS906BT1YRUPDATE 1Year Subscription, Total Care Program (TCP) Card, One Year Software Subscription &amp; Warranty</t>
        </is>
      </c>
      <c r="B309" s="35" t="inlineStr">
        <is>
          <t>B0G62Z5F3H</t>
        </is>
      </c>
      <c r="C309" s="35" t="inlineStr">
        <is>
          <t>Other</t>
        </is>
      </c>
      <c r="D309" s="359" t="n">
        <v>511.865</v>
      </c>
      <c r="E309" s="359" t="n">
        <v>11418.52692307692</v>
      </c>
      <c r="F309" s="361" t="n">
        <v>1023.73</v>
      </c>
      <c r="G309" s="68" t="n">
        <v>2</v>
      </c>
      <c r="H309" s="68" t="n">
        <v>2</v>
      </c>
      <c r="I309" s="68" t="n"/>
      <c r="J309" s="69" t="n"/>
      <c r="K309" s="69" t="inlineStr">
        <is>
          <t>https://amazon.com/dp/B0G62Z5F3H</t>
        </is>
      </c>
      <c r="L309" s="114">
        <f>HYPERLINK(Table1311[[#This Row],[Column1]])</f>
        <v/>
      </c>
    </row>
    <row r="310" ht="45" customHeight="1" s="314">
      <c r="A310" s="35" t="inlineStr">
        <is>
          <t>Autel 1-Sensor - Bulk of (20), TPMS Sensor 2in 1 MX-Sensor 315Mhz/433Mhz, Tire Sensors Rubber Stem 100% Cloneable Press-in, OE-Level Universal Programmable by Autel TPMS Tool TS508 TS508WF MS906PRO-TS</t>
        </is>
      </c>
      <c r="B310" s="35" t="inlineStr">
        <is>
          <t>B0FNMSV56P</t>
        </is>
      </c>
      <c r="C310" s="35" t="inlineStr">
        <is>
          <t>Other</t>
        </is>
      </c>
      <c r="D310" s="359" t="n">
        <v>505.975</v>
      </c>
      <c r="E310" s="359" t="n">
        <v>10921.36384615385</v>
      </c>
      <c r="F310" s="361" t="n">
        <v>1011.95</v>
      </c>
      <c r="G310" s="68" t="n">
        <v>9</v>
      </c>
      <c r="H310" s="68" t="n">
        <v>2</v>
      </c>
      <c r="I310" s="68" t="n">
        <v>34</v>
      </c>
      <c r="J310" s="69" t="n">
        <v>5</v>
      </c>
      <c r="K310" s="69" t="inlineStr">
        <is>
          <t>https://amazon.com/dp/B0FNMSV56P</t>
        </is>
      </c>
      <c r="L310" s="114">
        <f>HYPERLINK(Table1311[[#This Row],[Column1]])</f>
        <v/>
      </c>
    </row>
    <row r="311" ht="45" customHeight="1" s="314">
      <c r="A311" s="35" t="inlineStr">
        <is>
          <t>Autel AT100 Super Chip, 2026 New Transponder Chip for ID11 ID12 ID13 ID46 ID47 ID48 ID49 ID4A ID4C ID5C ID4D ID64 ID8A ID8C MQB, Work with MaxiIM KM100 IM508 IM608 IM508S PRO IM608 Pro 2 (Pack of 10)</t>
        </is>
      </c>
      <c r="B311" s="35" t="inlineStr">
        <is>
          <t>B0FM49VV56</t>
        </is>
      </c>
      <c r="C311" s="35" t="inlineStr">
        <is>
          <t>Key</t>
        </is>
      </c>
      <c r="D311" s="359" t="n">
        <v>48.13476190476191</v>
      </c>
      <c r="E311" s="359" t="n">
        <v>17417.13307692307</v>
      </c>
      <c r="F311" s="361" t="n">
        <v>1010.83</v>
      </c>
      <c r="G311" s="68" t="n">
        <v>241</v>
      </c>
      <c r="H311" s="68" t="n">
        <v>21</v>
      </c>
      <c r="I311" s="68" t="n">
        <v>32</v>
      </c>
      <c r="J311" s="69" t="n">
        <v>4.8</v>
      </c>
      <c r="K311" s="69" t="inlineStr">
        <is>
          <t>https://amazon.com/dp/B0FM49VV56</t>
        </is>
      </c>
      <c r="L311" s="114">
        <f>HYPERLINK(Table1311[[#This Row],[Column1]])</f>
        <v/>
      </c>
    </row>
    <row r="312" ht="45" customHeight="1" s="314">
      <c r="A312" s="35" t="inlineStr">
        <is>
          <t>Autel MaxiIM KM100 (X) OBD2 Scanner, 2026 Car Diagnostic Tool Lifetime Free Updates, Lite Ver. of IM508S PRO IM508, Wireless BT OBDII Scan Tool, 2GB &amp; 64GB Android 9.0</t>
        </is>
      </c>
      <c r="B312" s="35" t="inlineStr">
        <is>
          <t>B0FZB92WZL</t>
        </is>
      </c>
      <c r="C312" s="35" t="inlineStr">
        <is>
          <t>Handheld</t>
        </is>
      </c>
      <c r="D312" s="359" t="n">
        <v>491.265</v>
      </c>
      <c r="E312" s="359" t="n">
        <v>11865.93923076923</v>
      </c>
      <c r="F312" s="361" t="n">
        <v>982.53</v>
      </c>
      <c r="G312" s="68" t="n">
        <v>2</v>
      </c>
      <c r="H312" s="68" t="n">
        <v>2</v>
      </c>
      <c r="I312" s="68" t="n"/>
      <c r="J312" s="69" t="n"/>
      <c r="K312" s="69" t="inlineStr">
        <is>
          <t>https://amazon.com/dp/B0FZB92WZL</t>
        </is>
      </c>
      <c r="L312" s="114">
        <f>HYPERLINK(Table1311[[#This Row],[Column1]])</f>
        <v/>
      </c>
    </row>
    <row r="313" ht="45" customHeight="1" s="314">
      <c r="A313" s="35" t="inlineStr">
        <is>
          <t>Autel Original 8A AKL Cable for Toyota Non-Smart K-y Adapter Work with APB112 and G-Box3 G BOX3 G-Box2 G BOX2</t>
        </is>
      </c>
      <c r="B313" s="35" t="inlineStr">
        <is>
          <t>B0BPX9VWQK</t>
        </is>
      </c>
      <c r="C313" s="35" t="inlineStr">
        <is>
          <t>Cable/Adapter</t>
        </is>
      </c>
      <c r="D313" s="359" t="n">
        <v>69.95071428571428</v>
      </c>
      <c r="E313" s="359" t="n">
        <v>14439.35</v>
      </c>
      <c r="F313" s="361" t="n">
        <v>979.3099999999999</v>
      </c>
      <c r="G313" s="68" t="n">
        <v>211</v>
      </c>
      <c r="H313" s="68" t="n">
        <v>14</v>
      </c>
      <c r="I313" s="68" t="n">
        <v>19</v>
      </c>
      <c r="J313" s="69" t="n">
        <v>4.6</v>
      </c>
      <c r="K313" s="69" t="inlineStr">
        <is>
          <t>https://amazon.com/dp/B0BPX9VWQK</t>
        </is>
      </c>
      <c r="L313" s="114">
        <f>HYPERLINK(Table1311[[#This Row],[Column1]])</f>
        <v/>
      </c>
    </row>
    <row r="314" ht="45" customHeight="1" s="314">
      <c r="A314" s="35" t="inlineStr">
        <is>
          <t>Autel MaxiSys MSOAK Oscilloscope Accessory Kit, Compatible with Autel Scanner Ultra S2/ Ultra/ MS919/ MP408, Includes 65/650A Current Clamps, Coil On Plug Probe, HT Extension Lead and Battery Clip</t>
        </is>
      </c>
      <c r="B314" s="35" t="inlineStr">
        <is>
          <t>B094VS5R58</t>
        </is>
      </c>
      <c r="C314" s="35" t="inlineStr">
        <is>
          <t>Other</t>
        </is>
      </c>
      <c r="D314" s="359" t="n">
        <v>480.635</v>
      </c>
      <c r="E314" s="359" t="n">
        <v>27075.2</v>
      </c>
      <c r="F314" s="361" t="n">
        <v>961.27</v>
      </c>
      <c r="G314" s="68" t="n">
        <v>68</v>
      </c>
      <c r="H314" s="68" t="n">
        <v>2</v>
      </c>
      <c r="I314" s="68" t="n">
        <v>11</v>
      </c>
      <c r="J314" s="69" t="n">
        <v>4.8</v>
      </c>
      <c r="K314" s="69" t="inlineStr">
        <is>
          <t>https://amazon.com/dp/B094VS5R58</t>
        </is>
      </c>
      <c r="L314" s="114">
        <f>HYPERLINK(Table1311[[#This Row],[Column1]])</f>
        <v/>
      </c>
    </row>
    <row r="315" ht="45" customHeight="1" s="314">
      <c r="A315" s="35" t="inlineStr">
        <is>
          <t>Autel MaxiVCI VCI Mini OBD2 Scanner Bluetooth Universal Communication Interface Equipment OEM Diagnostic Functions Work with Autel Scanner MK808BT MK808TS MX808TX MP808TS MS906S TS608</t>
        </is>
      </c>
      <c r="B315" s="35" t="inlineStr">
        <is>
          <t>B0BNPKJH7P</t>
        </is>
      </c>
      <c r="C315" s="35" t="inlineStr">
        <is>
          <t>Dongle</t>
        </is>
      </c>
      <c r="D315" s="359" t="n">
        <v>119.99375</v>
      </c>
      <c r="E315" s="359" t="n">
        <v>15516.72</v>
      </c>
      <c r="F315" s="361" t="n">
        <v>959.95</v>
      </c>
      <c r="G315" s="68" t="n">
        <v>138</v>
      </c>
      <c r="H315" s="68" t="n">
        <v>8</v>
      </c>
      <c r="I315" s="68" t="n">
        <v>16</v>
      </c>
      <c r="J315" s="69" t="n">
        <v>4.1</v>
      </c>
      <c r="K315" s="69" t="inlineStr">
        <is>
          <t>https://amazon.com/dp/B0BNPKJH7P</t>
        </is>
      </c>
      <c r="L315" s="114">
        <f>HYPERLINK(Table1311[[#This Row],[Column1]])</f>
        <v/>
      </c>
    </row>
    <row r="316" ht="30" customHeight="1" s="314">
      <c r="A316" s="35" t="inlineStr">
        <is>
          <t>Autel AutoLink AL529HD Read/Erase Heavy Duty Engine DTCs Deutsch 9-Pin &amp; 6-Pin Adapters One-Touch I/M Readiness/LED Indicator Support All 10 OBDII Test Modes Enhanced Mode 6 Diagnostics</t>
        </is>
      </c>
      <c r="B316" s="35" t="inlineStr">
        <is>
          <t>B0D982BSTZ</t>
        </is>
      </c>
      <c r="C316" s="35" t="inlineStr">
        <is>
          <t>Handheld</t>
        </is>
      </c>
      <c r="D316" s="359" t="n">
        <v>118.64</v>
      </c>
      <c r="E316" s="359" t="n">
        <v>9123.17076923077</v>
      </c>
      <c r="F316" s="361" t="n">
        <v>949.12</v>
      </c>
      <c r="G316" s="68" t="n">
        <v>68</v>
      </c>
      <c r="H316" s="68" t="n">
        <v>8</v>
      </c>
      <c r="I316" s="68" t="n">
        <v>8</v>
      </c>
      <c r="J316" s="69" t="n">
        <v>5</v>
      </c>
      <c r="K316" s="69" t="inlineStr">
        <is>
          <t>https://amazon.com/dp/B0D982BSTZ</t>
        </is>
      </c>
      <c r="L316" s="114">
        <f>HYPERLINK(Table1311[[#This Row],[Column1]])</f>
        <v/>
      </c>
    </row>
    <row r="317" ht="60" customHeight="1" s="314">
      <c r="A317" s="35" t="inlineStr">
        <is>
          <t>Autel MaxiCOM MK808Z-BT Same As MK808BT Pro Upgraded of MK808BT MK808 MK808S MX808, Bi-Directional Control Scan Tool Bluetooth OBD2 Scanner Support BT506/MV108S &amp; FCA AutoAuth</t>
        </is>
      </c>
      <c r="B317" s="35" t="inlineStr">
        <is>
          <t>B0FHWG3PGS</t>
        </is>
      </c>
      <c r="C317" s="35" t="inlineStr">
        <is>
          <t>Tablet</t>
        </is>
      </c>
      <c r="D317" s="359" t="n">
        <v>446.835</v>
      </c>
      <c r="E317" s="359" t="n">
        <v>32882.11461538461</v>
      </c>
      <c r="F317" s="361" t="n">
        <v>893.67</v>
      </c>
      <c r="G317" s="68" t="n">
        <v>59</v>
      </c>
      <c r="H317" s="68" t="n">
        <v>2</v>
      </c>
      <c r="I317" s="68" t="n">
        <v>7</v>
      </c>
      <c r="J317" s="69" t="n">
        <v>4.8</v>
      </c>
      <c r="K317" s="69" t="inlineStr">
        <is>
          <t>https://amazon.com/dp/B0FHWG3PGS</t>
        </is>
      </c>
      <c r="L317" s="114">
        <f>HYPERLINK(Table1311[[#This Row],[Column1]])</f>
        <v/>
      </c>
    </row>
    <row r="318" ht="45" customHeight="1" s="314">
      <c r="A318" s="35" t="inlineStr">
        <is>
          <t>Autel Original MaxiSYS CV CAT 9-PIN Adapter, 9-Pin Off-Highway Vehicle Adapter for Caterpillar Engines, Compatible with Autel Scanner MaxiSYS CV MS908CV, MS908CV II, MS909CV, MS906CV and VCI</t>
        </is>
      </c>
      <c r="B318" s="35" t="inlineStr">
        <is>
          <t>B0G8J8HN8R</t>
        </is>
      </c>
      <c r="C318" s="35" t="inlineStr">
        <is>
          <t>Cable/Adapter</t>
        </is>
      </c>
      <c r="D318" s="359" t="n">
        <v>29.64533333333333</v>
      </c>
      <c r="E318" s="359" t="n">
        <v>10644.62692307692</v>
      </c>
      <c r="F318" s="361" t="n">
        <v>889.36</v>
      </c>
      <c r="G318" s="68" t="n">
        <v>82</v>
      </c>
      <c r="H318" s="68" t="n">
        <v>30</v>
      </c>
      <c r="I318" s="68" t="n">
        <v>1</v>
      </c>
      <c r="J318" s="69" t="n">
        <v>5</v>
      </c>
      <c r="K318" s="69" t="inlineStr">
        <is>
          <t>https://amazon.com/dp/B0G8J8HN8R</t>
        </is>
      </c>
      <c r="L318" s="114">
        <f>HYPERLINK(Table1311[[#This Row],[Column1]])</f>
        <v/>
      </c>
    </row>
    <row r="319" ht="60" customHeight="1" s="314">
      <c r="A319" s="35" t="inlineStr">
        <is>
          <t>Autel MaxiAP AP2500 OBD2 Scanner Bluetooth Code Reader, Upgrade of AP200/AP200C/AP200H/AP200M, Better AP2500E, Auto Scanner Car Scan Tool, 5 DIY Servies, 45+ Car Brands, Compatible Android/iOS Phones</t>
        </is>
      </c>
      <c r="B319" s="35" t="inlineStr">
        <is>
          <t>B0CWNQLNY4</t>
        </is>
      </c>
      <c r="C319" s="35" t="inlineStr">
        <is>
          <t>Dongle</t>
        </is>
      </c>
      <c r="D319" s="359" t="n">
        <v>58.442</v>
      </c>
      <c r="E319" s="359" t="n">
        <v>3747.75</v>
      </c>
      <c r="F319" s="361" t="n">
        <v>876.63</v>
      </c>
      <c r="G319" s="68" t="n">
        <v>61</v>
      </c>
      <c r="H319" s="68" t="n">
        <v>15</v>
      </c>
      <c r="I319" s="68" t="n">
        <v>5</v>
      </c>
      <c r="J319" s="69" t="n">
        <v>4.5</v>
      </c>
      <c r="K319" s="69" t="inlineStr">
        <is>
          <t>https://amazon.com/dp/B0CWNQLNY4</t>
        </is>
      </c>
      <c r="L319" s="114">
        <f>HYPERLINK(Table1311[[#This Row],[Column1]])</f>
        <v/>
      </c>
    </row>
    <row r="320" ht="30" customHeight="1" s="314">
      <c r="A320" s="35" t="inlineStr">
        <is>
          <t>MaxiTPMS TBE200</t>
        </is>
      </c>
      <c r="B320" s="35" t="inlineStr">
        <is>
          <t>B09WW44MH9</t>
        </is>
      </c>
      <c r="C320" s="35" t="inlineStr">
        <is>
          <t>Other</t>
        </is>
      </c>
      <c r="D320" s="359" t="n">
        <v>437.97</v>
      </c>
      <c r="E320" s="359" t="n">
        <v>4545.6</v>
      </c>
      <c r="F320" s="361" t="n">
        <v>875.9400000000001</v>
      </c>
      <c r="G320" s="68" t="n">
        <v>9</v>
      </c>
      <c r="H320" s="68" t="n">
        <v>2</v>
      </c>
      <c r="I320" s="68" t="n"/>
      <c r="J320" s="69" t="n"/>
      <c r="K320" s="69" t="inlineStr">
        <is>
          <t>https://amazon.com/dp/B09WW44MH9</t>
        </is>
      </c>
      <c r="L320" s="114">
        <f>HYPERLINK(Table1311[[#This Row],[Column1]])</f>
        <v/>
      </c>
    </row>
    <row r="321" ht="45" customHeight="1" s="314">
      <c r="A321" s="35" t="inlineStr">
        <is>
          <t>Autel RFID Blocking Cards 2 Pack Ev Charger</t>
        </is>
      </c>
      <c r="B321" s="35" t="inlineStr">
        <is>
          <t>B0B82B7JQL</t>
        </is>
      </c>
      <c r="C321" s="35" t="inlineStr">
        <is>
          <t>Other</t>
        </is>
      </c>
      <c r="D321" s="359" t="n">
        <v>37.63869565217392</v>
      </c>
      <c r="E321" s="359" t="n">
        <v>15691.58</v>
      </c>
      <c r="F321" s="361" t="n">
        <v>865.6900000000001</v>
      </c>
      <c r="G321" s="68" t="n">
        <v>425</v>
      </c>
      <c r="H321" s="68" t="n">
        <v>23</v>
      </c>
      <c r="I321" s="68" t="n">
        <v>53</v>
      </c>
      <c r="J321" s="69" t="n">
        <v>4.2</v>
      </c>
      <c r="K321" s="69" t="inlineStr">
        <is>
          <t>https://amazon.com/dp/B0B82B7JQL</t>
        </is>
      </c>
      <c r="L321" s="114">
        <f>HYPERLINK(Table1311[[#This Row],[Column1]])</f>
        <v/>
      </c>
    </row>
    <row r="322" ht="60" customHeight="1" s="314">
      <c r="A322" s="35" t="inlineStr">
        <is>
          <t>Autel MaxiVideo MV108S Borescope Inspection Camera, 2026 Endoscope with 8.5mm Waterproof Image Head, Work w/All Autel Scanners MK808 MX808 MX900 MK900</t>
        </is>
      </c>
      <c r="B322" s="35" t="inlineStr">
        <is>
          <t>B0B31W8YVZ</t>
        </is>
      </c>
      <c r="C322" s="35" t="inlineStr">
        <is>
          <t>Other</t>
        </is>
      </c>
      <c r="D322" s="359" t="n">
        <v>47.67055555555556</v>
      </c>
      <c r="E322" s="359" t="n">
        <v>11256.24</v>
      </c>
      <c r="F322" s="361" t="n">
        <v>858.0700000000001</v>
      </c>
      <c r="G322" s="68" t="n">
        <v>231</v>
      </c>
      <c r="H322" s="68" t="n">
        <v>18</v>
      </c>
      <c r="I322" s="68" t="n">
        <v>69</v>
      </c>
      <c r="J322" s="69" t="n">
        <v>4.5</v>
      </c>
      <c r="K322" s="69" t="inlineStr">
        <is>
          <t>https://amazon.com/dp/B0B31W8YVZ</t>
        </is>
      </c>
      <c r="L322" s="114">
        <f>HYPERLINK(Table1311[[#This Row],[Column1]])</f>
        <v/>
      </c>
    </row>
    <row r="323" ht="60" customHeight="1" s="314">
      <c r="A323" s="35" t="inlineStr">
        <is>
          <t>Autel Original OBD Diagnostic Adapter, 9Pin J1939 Male to 16Pin OBD2 OBDII Female Connector, Work for Heavy Duty Trucks and Commercial Vehicles, Compatible with OBD2 Automotive Diagnostic Scanners</t>
        </is>
      </c>
      <c r="B323" s="35" t="inlineStr">
        <is>
          <t>B0DF31J5ZN</t>
        </is>
      </c>
      <c r="C323" s="35" t="inlineStr">
        <is>
          <t>Cable/Adapter</t>
        </is>
      </c>
      <c r="D323" s="359" t="n">
        <v>20.03714285714286</v>
      </c>
      <c r="E323" s="359" t="n">
        <v>14207.13</v>
      </c>
      <c r="F323" s="361" t="n">
        <v>841.5599999999999</v>
      </c>
      <c r="G323" s="68" t="n">
        <v>711</v>
      </c>
      <c r="H323" s="68" t="n">
        <v>42</v>
      </c>
      <c r="I323" s="68" t="n">
        <v>19</v>
      </c>
      <c r="J323" s="69" t="n">
        <v>4.5</v>
      </c>
      <c r="K323" s="69" t="inlineStr">
        <is>
          <t>https://amazon.com/dp/B0DF31J5ZN</t>
        </is>
      </c>
      <c r="L323" s="114">
        <f>HYPERLINK(Table1311[[#This Row],[Column1]])</f>
        <v/>
      </c>
    </row>
    <row r="324" ht="60" customHeight="1" s="314">
      <c r="A324" s="35" t="inlineStr">
        <is>
          <t>Autel AL549 OBD2 Scanner Code Reader with ABS Diagnostic &amp; Battery Test, Enhanced Check and Reset Engine Fault Code, Live Data, Freeze Frame, CAN Car Diagnostic Scan Tool for All OBDII Car After 1996</t>
        </is>
      </c>
      <c r="B324" s="35" t="inlineStr">
        <is>
          <t>B0D93GFSK1</t>
        </is>
      </c>
      <c r="C324" s="35" t="inlineStr">
        <is>
          <t>Handheld</t>
        </is>
      </c>
      <c r="D324" s="359" t="n">
        <v>69.765</v>
      </c>
      <c r="E324" s="359" t="n">
        <v>20059.80153846154</v>
      </c>
      <c r="F324" s="361" t="n">
        <v>837.1799999999999</v>
      </c>
      <c r="G324" s="68" t="n">
        <v>281</v>
      </c>
      <c r="H324" s="68" t="n">
        <v>12</v>
      </c>
      <c r="I324" s="68" t="n">
        <v>26</v>
      </c>
      <c r="J324" s="69" t="n">
        <v>4.6</v>
      </c>
      <c r="K324" s="69" t="inlineStr">
        <is>
          <t>https://amazon.com/dp/B0D93GFSK1</t>
        </is>
      </c>
      <c r="L324" s="114">
        <f>HYPERLINK(Table1311[[#This Row],[Column1]])</f>
        <v/>
      </c>
    </row>
    <row r="325" ht="45" customHeight="1" s="314">
      <c r="A325" s="35" t="inlineStr">
        <is>
          <t>Autel Scanner MaxiCOM MK906 Pro: New Upgrade Version of MS906BT / MP900-BT, ECU Coding Same As MK908P, Bi-Directional Control, 40+ Services, Guided Functions, FCA AutoAuth</t>
        </is>
      </c>
      <c r="B325" s="35" t="inlineStr">
        <is>
          <t>B09M45G1VH</t>
        </is>
      </c>
      <c r="C325" s="35" t="inlineStr">
        <is>
          <t>Tablet</t>
        </is>
      </c>
      <c r="D325" s="359" t="n">
        <v>836.29</v>
      </c>
      <c r="E325" s="359" t="n">
        <v>14589.37</v>
      </c>
      <c r="F325" s="361" t="n">
        <v>836.29</v>
      </c>
      <c r="G325" s="68" t="n">
        <v>12</v>
      </c>
      <c r="H325" s="68" t="n">
        <v>1</v>
      </c>
      <c r="I325" s="68" t="n">
        <v>2</v>
      </c>
      <c r="J325" s="69" t="n">
        <v>5</v>
      </c>
      <c r="K325" s="69" t="inlineStr">
        <is>
          <t>https://amazon.com/dp/B09M45G1VH</t>
        </is>
      </c>
      <c r="L325" s="114">
        <f>HYPERLINK(Table1311[[#This Row],[Column1]])</f>
        <v/>
      </c>
    </row>
    <row r="326" ht="45" customHeight="1" s="314">
      <c r="A326" s="35" t="inlineStr">
        <is>
          <t>Autel Original OBD2 Splitter 16 Pin OBD II Splitter Extension, 1X Male to 2X Female Extension Cable Adapter, OBDII Extension Cord (1FT/ 30CM)</t>
        </is>
      </c>
      <c r="B326" s="35" t="inlineStr">
        <is>
          <t>B0DGCLVXTF</t>
        </is>
      </c>
      <c r="C326" s="35" t="inlineStr">
        <is>
          <t>Cable/Adapter</t>
        </is>
      </c>
      <c r="D326" s="359" t="n">
        <v>19.79690476190476</v>
      </c>
      <c r="E326" s="359" t="n">
        <v>12457.51076923077</v>
      </c>
      <c r="F326" s="361" t="n">
        <v>831.47</v>
      </c>
      <c r="G326" s="68" t="n">
        <v>586</v>
      </c>
      <c r="H326" s="68" t="n">
        <v>42</v>
      </c>
      <c r="I326" s="68" t="n">
        <v>54</v>
      </c>
      <c r="J326" s="69" t="n">
        <v>4.2</v>
      </c>
      <c r="K326" s="69" t="inlineStr">
        <is>
          <t>https://amazon.com/dp/B0DGCLVXTF</t>
        </is>
      </c>
      <c r="L326" s="114">
        <f>HYPERLINK(Table1311[[#This Row],[Column1]])</f>
        <v/>
      </c>
    </row>
    <row r="327" ht="45" customHeight="1" s="314">
      <c r="A327" s="35" t="inlineStr">
        <is>
          <t>Autel Original Tesla Diagnostic Cable Set, 3PCS Test Cord for Tesla-S &amp; X, OBD2 Diagnostic Test Cable Adapter for MaxiSys MaxiSYS 909/919/908SPro/Elite/Elite II/Ultra (3PCS)</t>
        </is>
      </c>
      <c r="B327" s="35" t="inlineStr">
        <is>
          <t>B0DD7R4TKN</t>
        </is>
      </c>
      <c r="C327" s="35" t="inlineStr">
        <is>
          <t>Cable/Adapter</t>
        </is>
      </c>
      <c r="D327" s="359" t="n">
        <v>59.24428571428571</v>
      </c>
      <c r="E327" s="359" t="n">
        <v>8466.17</v>
      </c>
      <c r="F327" s="361" t="n">
        <v>829.42</v>
      </c>
      <c r="G327" s="68" t="n">
        <v>142</v>
      </c>
      <c r="H327" s="68" t="n">
        <v>14</v>
      </c>
      <c r="I327" s="68" t="n">
        <v>10</v>
      </c>
      <c r="J327" s="69" t="n">
        <v>5</v>
      </c>
      <c r="K327" s="69" t="inlineStr">
        <is>
          <t>https://amazon.com/dp/B0DD7R4TKN</t>
        </is>
      </c>
      <c r="L327" s="114">
        <f>HYPERLINK(Table1311[[#This Row],[Column1]])</f>
        <v/>
      </c>
    </row>
    <row r="328" ht="45" customHeight="1" s="314">
      <c r="A328" s="35" t="inlineStr">
        <is>
          <t>Autel Scanner MaxiSys MS906 Pro, Upgrade Version of MS906BT / MaxiPRO MP900BT, ECU Coding Same As MK908P, Bi-Directional Control, Scan Tool with 40+ Services, Guided Functions, FCA AutoAuth</t>
        </is>
      </c>
      <c r="B328" s="35" t="inlineStr">
        <is>
          <t>B09YHM6M18</t>
        </is>
      </c>
      <c r="C328" s="35" t="inlineStr">
        <is>
          <t>Tablet</t>
        </is>
      </c>
      <c r="D328" s="359" t="n">
        <v>817.35</v>
      </c>
      <c r="E328" s="359" t="n">
        <v>37761.57</v>
      </c>
      <c r="F328" s="361" t="n">
        <v>817.35</v>
      </c>
      <c r="G328" s="68" t="n">
        <v>27</v>
      </c>
      <c r="H328" s="68" t="n">
        <v>1</v>
      </c>
      <c r="I328" s="68" t="n">
        <v>5</v>
      </c>
      <c r="J328" s="69" t="n">
        <v>3.9</v>
      </c>
      <c r="K328" s="69" t="inlineStr">
        <is>
          <t>https://amazon.com/dp/B09YHM6M18</t>
        </is>
      </c>
      <c r="L328" s="114">
        <f>HYPERLINK(Table1311[[#This Row],[Column1]])</f>
        <v/>
      </c>
    </row>
    <row r="329" ht="60" customHeight="1" s="314">
      <c r="A329" s="35" t="inlineStr">
        <is>
          <t>Autel MaxiAP AP2500 Code Reader, Bluetooth OBD2 Scanner, All System Diagnostic, Oil Reset, TPMS, EV Battery, BMS Reset, Upgraded AP200, OBDII 10 Tests, 45+ Car Brands, EV Battery, for Android/iOS</t>
        </is>
      </c>
      <c r="B329" s="35" t="inlineStr">
        <is>
          <t>B0DGKCMXL6</t>
        </is>
      </c>
      <c r="C329" s="35" t="inlineStr">
        <is>
          <t>Dongle</t>
        </is>
      </c>
      <c r="D329" s="359" t="n">
        <v>57.27428571428572</v>
      </c>
      <c r="E329" s="359" t="n">
        <v>5882.19</v>
      </c>
      <c r="F329" s="361" t="n">
        <v>801.84</v>
      </c>
      <c r="G329" s="68" t="n">
        <v>75</v>
      </c>
      <c r="H329" s="68" t="n">
        <v>14</v>
      </c>
      <c r="I329" s="68" t="n">
        <v>5</v>
      </c>
      <c r="J329" s="69" t="n">
        <v>2.9</v>
      </c>
      <c r="K329" s="69" t="inlineStr">
        <is>
          <t>https://amazon.com/dp/B0DGKCMXL6</t>
        </is>
      </c>
      <c r="L329" s="114">
        <f>HYPERLINK(Table1311[[#This Row],[Column1]])</f>
        <v/>
      </c>
    </row>
    <row r="330" ht="60" customHeight="1" s="314">
      <c r="A330" s="35" t="inlineStr">
        <is>
          <t>Autel OBD2 Scanner ML529 Code Reader, OBD2 Code Scanner with Lifetime Software Update, AutoVIN for Quick DTC, Turning Off Vehicle Engine/Emission Light, Code Reader for One-Click Smog Check</t>
        </is>
      </c>
      <c r="B330" s="35" t="inlineStr">
        <is>
          <t>B0891452NW</t>
        </is>
      </c>
      <c r="C330" s="35" t="inlineStr">
        <is>
          <t>Handheld</t>
        </is>
      </c>
      <c r="D330" s="359" t="n">
        <v>46.65705882352941</v>
      </c>
      <c r="E330" s="359" t="n">
        <v>16271.6376923077</v>
      </c>
      <c r="F330" s="361" t="n">
        <v>793.17</v>
      </c>
      <c r="G330" s="68" t="n">
        <v>256</v>
      </c>
      <c r="H330" s="68" t="n">
        <v>17</v>
      </c>
      <c r="I330" s="68" t="n">
        <v>284</v>
      </c>
      <c r="J330" s="69" t="n">
        <v>4.5</v>
      </c>
      <c r="K330" s="69" t="inlineStr">
        <is>
          <t>https://amazon.com/dp/B0891452NW</t>
        </is>
      </c>
      <c r="L330" s="114">
        <f>HYPERLINK(Table1311[[#This Row],[Column1]])</f>
        <v/>
      </c>
    </row>
    <row r="331" ht="30" customHeight="1" s="314">
      <c r="A331" s="35" t="inlineStr">
        <is>
          <t>Autel Scanner MaxiCOM MK900 - New Ver.Work as MK900BT/ MX900, 40+ Service, OS 11, 3000+ Active Tests, DoIP CAN FD,All System Diagnose, FCA Autoauth&amp;SGW, Ver. of MK808BT PRO, MK808S, MX808S OBDII Tool</t>
        </is>
      </c>
      <c r="B331" s="35" t="inlineStr">
        <is>
          <t>B0D3HRRNRT</t>
        </is>
      </c>
      <c r="C331" s="35" t="inlineStr">
        <is>
          <t>Tablet</t>
        </is>
      </c>
      <c r="D331" s="359" t="n">
        <v>768.3200000000001</v>
      </c>
      <c r="E331" s="359" t="n">
        <v>14864.18</v>
      </c>
      <c r="F331" s="361" t="n">
        <v>768.3200000000001</v>
      </c>
      <c r="G331" s="68" t="n">
        <v>26</v>
      </c>
      <c r="H331" s="68" t="n">
        <v>1</v>
      </c>
      <c r="I331" s="68" t="n">
        <v>5</v>
      </c>
      <c r="J331" s="69" t="n">
        <v>3.4</v>
      </c>
      <c r="K331" s="69" t="inlineStr">
        <is>
          <t>https://amazon.com/dp/B0D3HRRNRT</t>
        </is>
      </c>
      <c r="L331" s="114">
        <f>HYPERLINK(Table1311[[#This Row],[Column1]])</f>
        <v/>
      </c>
    </row>
    <row r="332" ht="45" customHeight="1" s="314">
      <c r="A332" s="35" t="inlineStr">
        <is>
          <t>Autel Original OBD2 Male to 9pin J1939 Female Adapter Cable OBDII to Green J1939, Type 2 Connector for Heavy Duty Trucks and Commercial Vehicles Like Volvo, Plug Work with Truck ELD GPS Trackers</t>
        </is>
      </c>
      <c r="B332" s="35" t="inlineStr">
        <is>
          <t>B0FMDXHXHM</t>
        </is>
      </c>
      <c r="C332" s="35" t="inlineStr">
        <is>
          <t>Cable/Adapter</t>
        </is>
      </c>
      <c r="D332" s="359" t="n">
        <v>18.96675</v>
      </c>
      <c r="E332" s="359" t="n">
        <v>8517.256153846156</v>
      </c>
      <c r="F332" s="361" t="n">
        <v>758.67</v>
      </c>
      <c r="G332" s="68" t="n">
        <v>148</v>
      </c>
      <c r="H332" s="68" t="n">
        <v>40</v>
      </c>
      <c r="I332" s="68" t="n">
        <v>12</v>
      </c>
      <c r="J332" s="69" t="n">
        <v>4.9</v>
      </c>
      <c r="K332" s="69" t="inlineStr">
        <is>
          <t>https://amazon.com/dp/B0FMDXHXHM</t>
        </is>
      </c>
      <c r="L332" s="114">
        <f>HYPERLINK(Table1311[[#This Row],[Column1]])</f>
        <v/>
      </c>
    </row>
    <row r="333" ht="45" customHeight="1" s="314">
      <c r="A333" s="35" t="inlineStr">
        <is>
          <t>Autel Diaglink OBDII Code Reader Full Systems Diagnostic Scanner DIY Version of MD802 for Engine/Transmission/ABS/SRS/EPB/Oil Reset Service</t>
        </is>
      </c>
      <c r="B333" s="35" t="inlineStr">
        <is>
          <t>B07QS9VH8V</t>
        </is>
      </c>
      <c r="C333" s="35" t="inlineStr">
        <is>
          <t>Handheld</t>
        </is>
      </c>
      <c r="D333" s="359" t="n">
        <v>94.16125</v>
      </c>
      <c r="E333" s="359" t="n">
        <v>4787.13</v>
      </c>
      <c r="F333" s="361" t="n">
        <v>753.29</v>
      </c>
      <c r="G333" s="68" t="n">
        <v>51</v>
      </c>
      <c r="H333" s="68" t="n">
        <v>8</v>
      </c>
      <c r="I333" s="68" t="n">
        <v>132</v>
      </c>
      <c r="J333" s="69" t="n">
        <v>3.6</v>
      </c>
      <c r="K333" s="69" t="inlineStr">
        <is>
          <t>https://amazon.com/dp/B07QS9VH8V</t>
        </is>
      </c>
      <c r="L333" s="114">
        <f>HYPERLINK(Table1311[[#This Row],[Column1]])</f>
        <v/>
      </c>
    </row>
    <row r="334" ht="45" customHeight="1" s="314">
      <c r="A334" s="35" t="inlineStr">
        <is>
          <t>Autel Automotive OBD Scan Tool, Lifetime Updates, Auto Scan, VCI V200, 2GB &amp; 64GB, Android 9.0</t>
        </is>
      </c>
      <c r="B334" s="35" t="inlineStr">
        <is>
          <t>B0B3MQRPPZ</t>
        </is>
      </c>
      <c r="C334" s="35" t="inlineStr">
        <is>
          <t>Key</t>
        </is>
      </c>
      <c r="D334" s="359" t="n">
        <v>749.72</v>
      </c>
      <c r="E334" s="359" t="n">
        <v>16315.99384615385</v>
      </c>
      <c r="F334" s="361" t="n">
        <v>749.72</v>
      </c>
      <c r="G334" s="68" t="n">
        <v>20</v>
      </c>
      <c r="H334" s="68" t="n">
        <v>1</v>
      </c>
      <c r="I334" s="68" t="n">
        <v>232</v>
      </c>
      <c r="J334" s="69" t="n">
        <v>4.3</v>
      </c>
      <c r="K334" s="69" t="inlineStr">
        <is>
          <t>https://amazon.com/dp/B0B3MQRPPZ</t>
        </is>
      </c>
      <c r="L334" s="114">
        <f>HYPERLINK(Table1311[[#This Row],[Column1]])</f>
        <v/>
      </c>
    </row>
    <row r="335" ht="60" customHeight="1" s="314">
      <c r="A335" s="35" t="inlineStr">
        <is>
          <t>Autel MaxiSys MS906 PRO 1-Year Update Service, Total Care Program (TCP) Card, One Year Software Subscription &amp; Warranty</t>
        </is>
      </c>
      <c r="B335" s="35" t="inlineStr">
        <is>
          <t>B0FR954ZD5</t>
        </is>
      </c>
      <c r="C335" s="35" t="inlineStr">
        <is>
          <t>Other</t>
        </is>
      </c>
      <c r="D335" s="359" t="n">
        <v>367.26</v>
      </c>
      <c r="E335" s="359" t="n">
        <v>6016.87923076923</v>
      </c>
      <c r="F335" s="361" t="n">
        <v>734.52</v>
      </c>
      <c r="G335" s="68" t="n">
        <v>3</v>
      </c>
      <c r="H335" s="68" t="n">
        <v>2</v>
      </c>
      <c r="I335" s="68" t="n"/>
      <c r="J335" s="69" t="n"/>
      <c r="K335" s="69" t="inlineStr">
        <is>
          <t>https://amazon.com/dp/B0FR954ZD5</t>
        </is>
      </c>
      <c r="L335" s="114">
        <f>HYPERLINK(Table1311[[#This Row],[Column1]])</f>
        <v/>
      </c>
    </row>
    <row r="336" ht="45" customHeight="1" s="314">
      <c r="A336" s="35" t="inlineStr">
        <is>
          <t>Autel OBD2 Scanner AutoLink AL549 Code Reader with AutoVin Diagnostic Tool Color-Coded Fault and IM Readiness Universal Car Battery Test Enhanced PCM and ABS Coverage Upgrade Ver. of Autel AL519</t>
        </is>
      </c>
      <c r="B336" s="35" t="inlineStr">
        <is>
          <t>B0D93BTQMG</t>
        </is>
      </c>
      <c r="C336" s="35" t="inlineStr">
        <is>
          <t>Handheld</t>
        </is>
      </c>
      <c r="D336" s="359" t="n">
        <v>71.675</v>
      </c>
      <c r="E336" s="359" t="n">
        <v>7990.19</v>
      </c>
      <c r="F336" s="361" t="n">
        <v>716.75</v>
      </c>
      <c r="G336" s="68" t="n">
        <v>117</v>
      </c>
      <c r="H336" s="68" t="n">
        <v>10</v>
      </c>
      <c r="I336" s="68" t="n">
        <v>12</v>
      </c>
      <c r="J336" s="69" t="n">
        <v>4.8</v>
      </c>
      <c r="K336" s="69" t="inlineStr">
        <is>
          <t>https://amazon.com/dp/B0D93BTQMG</t>
        </is>
      </c>
      <c r="L336" s="114">
        <f>HYPERLINK(Table1311[[#This Row],[Column1]])</f>
        <v/>
      </c>
    </row>
    <row r="337" ht="17" customHeight="1" s="314">
      <c r="A337" s="35" t="inlineStr">
        <is>
          <t>Autel Original Tesla Diagnostic Service Cable for Tesla Model X &amp; Model S, Activate Factory Mode, System Diagnostic, Work Scanner MaxiSys Ultra, Elite II PRO, MS909, MS908S PRO II, MK908 PRO II</t>
        </is>
      </c>
      <c r="B337" s="35" t="inlineStr">
        <is>
          <t>B0D3VCD5F8</t>
        </is>
      </c>
      <c r="C337" s="35" t="inlineStr">
        <is>
          <t>Cable/Adapter</t>
        </is>
      </c>
      <c r="D337" s="359" t="n">
        <v>17.00309523809524</v>
      </c>
      <c r="E337" s="359" t="n">
        <v>4247.51</v>
      </c>
      <c r="F337" s="361" t="n">
        <v>714.13</v>
      </c>
      <c r="G337" s="68" t="n">
        <v>238</v>
      </c>
      <c r="H337" s="68" t="n">
        <v>42</v>
      </c>
      <c r="I337" s="68" t="n">
        <v>12</v>
      </c>
      <c r="J337" s="69" t="n">
        <v>4.6</v>
      </c>
      <c r="K337" s="69" t="inlineStr">
        <is>
          <t>https://amazon.com/dp/B0D3VCD5F8</t>
        </is>
      </c>
      <c r="L337" s="114">
        <f>HYPERLINK(Table1311[[#This Row],[Column1]])</f>
        <v/>
      </c>
    </row>
    <row r="338" ht="60" customHeight="1" s="314">
      <c r="A338" s="35" t="inlineStr">
        <is>
          <t>Autel MaxiDiag Advanced MD808 (MD808 Pro) All System OBDII Scanner (Combination of MaxiCheck Pro and MD802) for Oil and Battery Reset Registration, Parking Brake Pad Relearn,SAS,SRS,ABS,EPB,DPF,BMS</t>
        </is>
      </c>
      <c r="B338" s="35" t="inlineStr">
        <is>
          <t>B0714GBRZK</t>
        </is>
      </c>
      <c r="C338" s="35" t="inlineStr">
        <is>
          <t>Handheld</t>
        </is>
      </c>
      <c r="D338" s="359" t="n">
        <v>234.9933333333333</v>
      </c>
      <c r="E338" s="359" t="n">
        <v>8231.661538461538</v>
      </c>
      <c r="F338" s="361" t="n">
        <v>704.98</v>
      </c>
      <c r="G338" s="68" t="n">
        <v>26</v>
      </c>
      <c r="H338" s="68" t="n">
        <v>3</v>
      </c>
      <c r="I338" s="68" t="n">
        <v>190</v>
      </c>
      <c r="J338" s="69" t="n">
        <v>4.2</v>
      </c>
      <c r="K338" s="69" t="inlineStr">
        <is>
          <t>https://amazon.com/dp/B0714GBRZK</t>
        </is>
      </c>
      <c r="L338" s="114">
        <f>HYPERLINK(Table1311[[#This Row],[Column1]])</f>
        <v/>
      </c>
    </row>
    <row r="339" ht="45" customHeight="1" s="314">
      <c r="A339" s="35" t="inlineStr">
        <is>
          <t>Autel Original OBD2 Splitter 16 Pin OBD II Splitter Extension, 1X Male to 2X Female Extension Cable Adapter, OBDII Extension Cord (2FT/ 60CM)</t>
        </is>
      </c>
      <c r="B339" s="35" t="inlineStr">
        <is>
          <t>B0D4MBB7C9</t>
        </is>
      </c>
      <c r="C339" s="35" t="inlineStr">
        <is>
          <t>Cable/Adapter</t>
        </is>
      </c>
      <c r="D339" s="359" t="n">
        <v>23.28413793103448</v>
      </c>
      <c r="E339" s="359" t="n">
        <v>6111.84</v>
      </c>
      <c r="F339" s="361" t="n">
        <v>675.24</v>
      </c>
      <c r="G339" s="68" t="n">
        <v>264</v>
      </c>
      <c r="H339" s="68" t="n">
        <v>29</v>
      </c>
      <c r="I339" s="68" t="n">
        <v>31</v>
      </c>
      <c r="J339" s="69" t="n">
        <v>4.6</v>
      </c>
      <c r="K339" s="69" t="inlineStr">
        <is>
          <t>https://amazon.com/dp/B0D4MBB7C9</t>
        </is>
      </c>
      <c r="L339" s="114">
        <f>HYPERLINK(Table1311[[#This Row],[Column1]])</f>
        <v/>
      </c>
    </row>
    <row r="340" ht="17" customHeight="1" s="314">
      <c r="A340" s="35" t="inlineStr">
        <is>
          <t>Autel Original OBD2 Main Test Cable for 808 Series Scanners, 5.6FT/ 1.7M 16 Pin DB15 OBDII Diagnostic Adapter, fit MK808 MK808S MK808Z MX808 MX808S DS708 DS808 MS906 MS908 MP808 MP808S IM508S IM508</t>
        </is>
      </c>
      <c r="B340" s="35" t="inlineStr">
        <is>
          <t>B0DH2788FM</t>
        </is>
      </c>
      <c r="C340" s="35" t="inlineStr">
        <is>
          <t>Cable/Adapter</t>
        </is>
      </c>
      <c r="D340" s="359" t="n">
        <v>22.69655172413793</v>
      </c>
      <c r="E340" s="359" t="n">
        <v>14641.56923076923</v>
      </c>
      <c r="F340" s="361" t="n">
        <v>658.2</v>
      </c>
      <c r="G340" s="68" t="n">
        <v>612</v>
      </c>
      <c r="H340" s="68" t="n">
        <v>29</v>
      </c>
      <c r="I340" s="68" t="n">
        <v>31</v>
      </c>
      <c r="J340" s="69" t="n">
        <v>4.3</v>
      </c>
      <c r="K340" s="69" t="inlineStr">
        <is>
          <t>https://amazon.com/dp/B0DH2788FM</t>
        </is>
      </c>
      <c r="L340" s="114">
        <f>HYPERLINK(Table1311[[#This Row],[Column1]])</f>
        <v/>
      </c>
    </row>
    <row r="341" ht="45" customHeight="1" s="314">
      <c r="A341" s="35" t="inlineStr">
        <is>
          <t>Autel MaxiDiag MD909 Pro OBD2 Scanner, 2026 BT Wireless All System Diagnostic Tool, MD909Pro Up of MD808Pro MD906Pro MD806 MD802, 11 Service Oil Reset ABS D-P-F etc, CAN FD, FCA SGW, Free Update</t>
        </is>
      </c>
      <c r="B341" s="35" t="inlineStr">
        <is>
          <t>B0FCRTGWCK</t>
        </is>
      </c>
      <c r="C341" s="35" t="inlineStr">
        <is>
          <t>Tablet</t>
        </is>
      </c>
      <c r="D341" s="359" t="n">
        <v>328.99</v>
      </c>
      <c r="E341" s="359" t="n">
        <v>11226.96461538462</v>
      </c>
      <c r="F341" s="361" t="n">
        <v>657.98</v>
      </c>
      <c r="G341" s="68" t="n">
        <v>26</v>
      </c>
      <c r="H341" s="68" t="n">
        <v>2</v>
      </c>
      <c r="I341" s="68" t="n">
        <v>4</v>
      </c>
      <c r="J341" s="69" t="n">
        <v>4.3</v>
      </c>
      <c r="K341" s="69" t="inlineStr">
        <is>
          <t>https://amazon.com/dp/B0FCRTGWCK</t>
        </is>
      </c>
      <c r="L341" s="114">
        <f>HYPERLINK(Table1311[[#This Row],[Column1]])</f>
        <v/>
      </c>
    </row>
    <row r="342" ht="30" customHeight="1" s="314">
      <c r="A342" s="35" t="inlineStr">
        <is>
          <t>Autel MS908P-1YRUPDATE Scan Tool</t>
        </is>
      </c>
      <c r="B342" s="35" t="inlineStr">
        <is>
          <t>B00UF1K23Y</t>
        </is>
      </c>
      <c r="C342" s="35" t="inlineStr">
        <is>
          <t>Other</t>
        </is>
      </c>
      <c r="D342" s="359" t="n">
        <v>655.36</v>
      </c>
      <c r="E342" s="359" t="n">
        <v>15678.69</v>
      </c>
      <c r="F342" s="361" t="n">
        <v>655.36</v>
      </c>
      <c r="G342" s="68" t="n">
        <v>21</v>
      </c>
      <c r="H342" s="68" t="n">
        <v>1</v>
      </c>
      <c r="I342" s="68" t="n">
        <v>24</v>
      </c>
      <c r="J342" s="69" t="n">
        <v>4.7</v>
      </c>
      <c r="K342" s="69" t="inlineStr">
        <is>
          <t>https://amazon.com/dp/B00UF1K23Y</t>
        </is>
      </c>
      <c r="L342" s="114">
        <f>HYPERLINK(Table1311[[#This Row],[Column1]])</f>
        <v/>
      </c>
    </row>
    <row r="343" ht="45" customHeight="1" s="314">
      <c r="A343" s="35" t="inlineStr">
        <is>
          <t>Autel OBD2 Scanner Autel MaxiAP AP2500 Bluetooth Code Reader Oil Reset TPMS BMS Reset All-System Code Read/Clear 45+ Car Brands Work with Android/iOS Upgrade AL329 AP200 AP200H</t>
        </is>
      </c>
      <c r="B343" s="35" t="inlineStr">
        <is>
          <t>B0CWV32ZX4</t>
        </is>
      </c>
      <c r="C343" s="35" t="inlineStr">
        <is>
          <t>Dongle</t>
        </is>
      </c>
      <c r="D343" s="359" t="n">
        <v>58.02272727272727</v>
      </c>
      <c r="E343" s="359" t="n">
        <v>2315.61</v>
      </c>
      <c r="F343" s="361" t="n">
        <v>638.25</v>
      </c>
      <c r="G343" s="68" t="n">
        <v>39</v>
      </c>
      <c r="H343" s="68" t="n">
        <v>11</v>
      </c>
      <c r="I343" s="68" t="n">
        <v>10</v>
      </c>
      <c r="J343" s="69" t="n">
        <v>3.6</v>
      </c>
      <c r="K343" s="69" t="inlineStr">
        <is>
          <t>https://amazon.com/dp/B0CWV32ZX4</t>
        </is>
      </c>
      <c r="L343" s="114">
        <f>HYPERLINK(Table1311[[#This Row],[Column1]])</f>
        <v/>
      </c>
    </row>
    <row r="344" ht="60" customHeight="1" s="314">
      <c r="A344" s="35" t="inlineStr">
        <is>
          <t>Autel Maxilink ML619 OBD2 Scanner, New Autel Scanner Upgraded Version of AL519/AL619, Code Reader with ABS SRS Diagnoses for Warning Light Turn Off (Including MIL), Graphs Data, 10 OBD2 Test Modes</t>
        </is>
      </c>
      <c r="B344" s="35" t="inlineStr">
        <is>
          <t>B07HCF5S3M</t>
        </is>
      </c>
      <c r="C344" s="35" t="inlineStr">
        <is>
          <t>Handheld</t>
        </is>
      </c>
      <c r="D344" s="359" t="n">
        <v>105.955</v>
      </c>
      <c r="E344" s="359" t="n">
        <v>17930.66</v>
      </c>
      <c r="F344" s="361" t="n">
        <v>635.73</v>
      </c>
      <c r="G344" s="68" t="n">
        <v>183</v>
      </c>
      <c r="H344" s="68" t="n">
        <v>6</v>
      </c>
      <c r="I344" s="68" t="n">
        <v>13</v>
      </c>
      <c r="J344" s="69" t="n">
        <v>4.2</v>
      </c>
      <c r="K344" s="69" t="inlineStr">
        <is>
          <t>https://amazon.com/dp/B07HCF5S3M</t>
        </is>
      </c>
      <c r="L344" s="114">
        <f>HYPERLINK(Table1311[[#This Row],[Column1]])</f>
        <v/>
      </c>
    </row>
    <row r="345" ht="45" customHeight="1" s="314">
      <c r="A345" s="35" t="inlineStr">
        <is>
          <t>Autel MaxiTPMS TS601 OBDII Car TPMS Reset Programming Diagnostic Scanner Tool, MOST POWERFUL TPMS DIAGNOSTIC &amp; SERVICE DIY TOOL, Wireless diagnosing TPMS Tool</t>
        </is>
      </c>
      <c r="B345" s="35" t="inlineStr">
        <is>
          <t>B0CFL5W685</t>
        </is>
      </c>
      <c r="C345" s="35" t="inlineStr">
        <is>
          <t>Handheld</t>
        </is>
      </c>
      <c r="D345" s="359" t="n">
        <v>317.44</v>
      </c>
      <c r="E345" s="359" t="n">
        <v>7340.92</v>
      </c>
      <c r="F345" s="361" t="n">
        <v>634.88</v>
      </c>
      <c r="G345" s="68" t="n">
        <v>21</v>
      </c>
      <c r="H345" s="68" t="n">
        <v>2</v>
      </c>
      <c r="I345" s="68" t="n"/>
      <c r="J345" s="69" t="n"/>
      <c r="K345" s="69" t="inlineStr">
        <is>
          <t>https://amazon.com/dp/B0CFL5W685</t>
        </is>
      </c>
      <c r="L345" s="114">
        <f>HYPERLINK(Table1311[[#This Row],[Column1]])</f>
        <v/>
      </c>
    </row>
    <row r="346" ht="60" customHeight="1" s="314">
      <c r="A346" s="35" t="inlineStr">
        <is>
          <t>Autel Original Universal Key Fob Replacement, Programmable Blank Key IKEYAT003BL, 3-Button Keyless Entry for 700+ Vehicles, OBD Learning, Dual-Band, 130FT Remote, OE-Quality, Work with KM100 Scan Tool</t>
        </is>
      </c>
      <c r="B346" s="35" t="inlineStr">
        <is>
          <t>B0DCS3Z3VF</t>
        </is>
      </c>
      <c r="C346" s="35" t="inlineStr">
        <is>
          <t>Key</t>
        </is>
      </c>
      <c r="D346" s="359" t="n">
        <v>39.399375</v>
      </c>
      <c r="E346" s="359" t="n">
        <v>7096.599999999999</v>
      </c>
      <c r="F346" s="361" t="n">
        <v>630.39</v>
      </c>
      <c r="G346" s="68" t="n">
        <v>179</v>
      </c>
      <c r="H346" s="68" t="n">
        <v>16</v>
      </c>
      <c r="I346" s="68" t="n">
        <v>17</v>
      </c>
      <c r="J346" s="69" t="n">
        <v>4.9</v>
      </c>
      <c r="K346" s="69" t="inlineStr">
        <is>
          <t>https://amazon.com/dp/B0DCS3Z3VF</t>
        </is>
      </c>
      <c r="L346" s="114">
        <f>HYPERLINK(Table1311[[#This Row],[Column1]])</f>
        <v/>
      </c>
    </row>
    <row r="347" ht="45" customHeight="1" s="314">
      <c r="A347" s="35" t="inlineStr">
        <is>
          <t>Autel MaxiDiag MD808 Pro OBD2 Scanner, All System Diagnostic Scan Tool, Upgraded of MaxiCheck Pro/MD808/MD806 Pro/MD802, 7 Reset Service Oil/D-F/EPB/SAS/BMS/Throttle, Auto Scan, Lifetime Free Update</t>
        </is>
      </c>
      <c r="B347" s="35" t="inlineStr">
        <is>
          <t>B0D5QZG2NK</t>
        </is>
      </c>
      <c r="C347" s="35" t="inlineStr">
        <is>
          <t>Handheld</t>
        </is>
      </c>
      <c r="D347" s="359" t="n">
        <v>306.77</v>
      </c>
      <c r="E347" s="359" t="n">
        <v>13008.33461538462</v>
      </c>
      <c r="F347" s="361" t="n">
        <v>613.54</v>
      </c>
      <c r="G347" s="68" t="n">
        <v>47</v>
      </c>
      <c r="H347" s="68" t="n">
        <v>2</v>
      </c>
      <c r="I347" s="68" t="n">
        <v>8</v>
      </c>
      <c r="J347" s="69" t="n">
        <v>4.2</v>
      </c>
      <c r="K347" s="69" t="inlineStr">
        <is>
          <t>https://amazon.com/dp/B0D5QZG2NK</t>
        </is>
      </c>
      <c r="L347" s="114">
        <f>HYPERLINK(Table1311[[#This Row],[Column1]])</f>
        <v/>
      </c>
    </row>
    <row r="348" ht="60" customHeight="1" s="314">
      <c r="A348" s="35" t="inlineStr">
        <is>
          <t>Autel Original J1939 Splitter 9pin Type 2 Male to Female and 16pin OBD2 Y Cable, Green Connector Work with Truck Diagnostic Scanner, Converter for Heavy Duty Commercial Truck Fleet ELD GPS Tracker</t>
        </is>
      </c>
      <c r="B348" s="35" t="inlineStr">
        <is>
          <t>B0G4LNY2GD</t>
        </is>
      </c>
      <c r="C348" s="35" t="inlineStr">
        <is>
          <t>Cable/Adapter</t>
        </is>
      </c>
      <c r="D348" s="359" t="n">
        <v>19.71933333333333</v>
      </c>
      <c r="E348" s="359" t="n">
        <v>7278.618461538461</v>
      </c>
      <c r="F348" s="361" t="n">
        <v>591.58</v>
      </c>
      <c r="G348" s="68" t="n">
        <v>86</v>
      </c>
      <c r="H348" s="68" t="n">
        <v>30</v>
      </c>
      <c r="I348" s="68" t="n">
        <v>3</v>
      </c>
      <c r="J348" s="69" t="n">
        <v>5</v>
      </c>
      <c r="K348" s="69" t="inlineStr">
        <is>
          <t>https://amazon.com/dp/B0G4LNY2GD</t>
        </is>
      </c>
      <c r="L348" s="114">
        <f>HYPERLINK(Table1311[[#This Row],[Column1]])</f>
        <v/>
      </c>
    </row>
    <row r="349" ht="45" customHeight="1" s="314">
      <c r="A349" s="35" t="inlineStr">
        <is>
          <t>AutoLINK AL629</t>
        </is>
      </c>
      <c r="B349" s="35" t="inlineStr">
        <is>
          <t>B073RDY1PX</t>
        </is>
      </c>
      <c r="C349" s="35" t="inlineStr">
        <is>
          <t>Handheld</t>
        </is>
      </c>
      <c r="D349" s="359" t="n">
        <v>140.8975</v>
      </c>
      <c r="E349" s="359" t="n">
        <v>11934.3</v>
      </c>
      <c r="F349" s="361" t="n">
        <v>563.59</v>
      </c>
      <c r="G349" s="68" t="n">
        <v>83</v>
      </c>
      <c r="H349" s="68" t="n">
        <v>4</v>
      </c>
      <c r="I349" s="68" t="n">
        <v>139</v>
      </c>
      <c r="J349" s="69" t="n">
        <v>4.2</v>
      </c>
      <c r="K349" s="69" t="inlineStr">
        <is>
          <t>https://amazon.com/dp/B073RDY1PX</t>
        </is>
      </c>
      <c r="L349" s="114">
        <f>HYPERLINK(Table1311[[#This Row],[Column1]])</f>
        <v/>
      </c>
    </row>
    <row r="350" ht="45" customHeight="1" s="314">
      <c r="A350" s="35" t="inlineStr">
        <is>
          <t>Autel MaxiFlash VCI Kit, Bluetooth Vehicle Communication Interface, ECU Programming, SAE J2534 D-PDU RP1210 CAN FD 4 CAN Channels ISO22900, Work with MaxiSYS MS909 MS909EV MS909CV MaxiCOM Ultra Lite</t>
        </is>
      </c>
      <c r="B350" s="35" t="inlineStr">
        <is>
          <t>B0BXP45P23</t>
        </is>
      </c>
      <c r="C350" s="35" t="inlineStr">
        <is>
          <t>VCI</t>
        </is>
      </c>
      <c r="D350" s="359" t="n">
        <v>540.79</v>
      </c>
      <c r="E350" s="359" t="n">
        <v>42050.28</v>
      </c>
      <c r="F350" s="361" t="n">
        <v>540.79</v>
      </c>
      <c r="G350" s="68" t="n">
        <v>42</v>
      </c>
      <c r="H350" s="68" t="n">
        <v>1</v>
      </c>
      <c r="I350" s="68" t="n">
        <v>4</v>
      </c>
      <c r="J350" s="69" t="n">
        <v>5</v>
      </c>
      <c r="K350" s="69" t="inlineStr">
        <is>
          <t>https://amazon.com/dp/B0BXP45P23</t>
        </is>
      </c>
      <c r="L350" s="114">
        <f>HYPERLINK(Table1311[[#This Row],[Column1]])</f>
        <v/>
      </c>
    </row>
    <row r="351" ht="45" customHeight="1" s="314">
      <c r="A351" s="35" t="inlineStr">
        <is>
          <t>Autel MaxiIM Ikey, IKEYBW004AL, Programmable Smart Universal Key Replacement, 4pcs, OE-Quality Key Fob for BMW, IMMO Learning, Dual-Band, Work with KM100 XP400PRO XP200 for IM508S IM608 PRO</t>
        </is>
      </c>
      <c r="B351" s="35" t="inlineStr">
        <is>
          <t>B0BQ6GLDDX</t>
        </is>
      </c>
      <c r="C351" s="35" t="inlineStr">
        <is>
          <t>Key</t>
        </is>
      </c>
      <c r="D351" s="359" t="n">
        <v>129.49</v>
      </c>
      <c r="E351" s="359" t="n">
        <v>7367.35</v>
      </c>
      <c r="F351" s="361" t="n">
        <v>517.96</v>
      </c>
      <c r="G351" s="68" t="n">
        <v>49</v>
      </c>
      <c r="H351" s="68" t="n">
        <v>4</v>
      </c>
      <c r="I351" s="68" t="n">
        <v>12</v>
      </c>
      <c r="J351" s="69" t="n">
        <v>5</v>
      </c>
      <c r="K351" s="69" t="inlineStr">
        <is>
          <t>https://amazon.com/dp/B0BQ6GLDDX</t>
        </is>
      </c>
      <c r="L351" s="114">
        <f>HYPERLINK(Table1311[[#This Row],[Column1]])</f>
        <v/>
      </c>
    </row>
    <row r="352" ht="45" customHeight="1" s="314">
      <c r="A352" s="35" t="inlineStr">
        <is>
          <t>Autel Original OBD2 Main Test Cable, Only for MaxiCOM MK900, MaxiCheck MX900, MaxiPRO MP900, MaxiDAS DS900, 16 Pin OBDII OBD 2 Diagnostic Test Cable (5.6ft 1.7M)</t>
        </is>
      </c>
      <c r="B352" s="35" t="inlineStr">
        <is>
          <t>B0F6LLRYVS</t>
        </is>
      </c>
      <c r="C352" s="35" t="inlineStr">
        <is>
          <t>Cable/Adapter</t>
        </is>
      </c>
      <c r="D352" s="359" t="n">
        <v>25.8035</v>
      </c>
      <c r="E352" s="359" t="n">
        <v>5887.762307692307</v>
      </c>
      <c r="F352" s="361" t="n">
        <v>516.0700000000001</v>
      </c>
      <c r="G352" s="68" t="n">
        <v>208</v>
      </c>
      <c r="H352" s="68" t="n">
        <v>20</v>
      </c>
      <c r="I352" s="68" t="n">
        <v>12</v>
      </c>
      <c r="J352" s="69" t="n">
        <v>5</v>
      </c>
      <c r="K352" s="69" t="inlineStr">
        <is>
          <t>https://amazon.com/dp/B0F6LLRYVS</t>
        </is>
      </c>
      <c r="L352" s="114">
        <f>HYPERLINK(Table1311[[#This Row],[Column1]])</f>
        <v/>
      </c>
    </row>
    <row r="353" ht="45" customHeight="1" s="314">
      <c r="A353" s="35" t="inlineStr">
        <is>
          <t>OBD2 12+8 Adapter for Chrysler 2018+, FCA SGW Bypass Cable, OBDII 12 8 Connector for Jeep Dodge Ram Fiat, Security Gateway Access for All Scanners</t>
        </is>
      </c>
      <c r="B353" s="35" t="inlineStr">
        <is>
          <t>B0GDXNL7CD</t>
        </is>
      </c>
      <c r="C353" s="35" t="inlineStr">
        <is>
          <t>Cable/Adapter</t>
        </is>
      </c>
      <c r="D353" s="359" t="n">
        <v>26.62105263157895</v>
      </c>
      <c r="E353" s="359" t="n">
        <v>5957.895384615385</v>
      </c>
      <c r="F353" s="361" t="n">
        <v>505.8</v>
      </c>
      <c r="G353" s="68" t="n">
        <v>31</v>
      </c>
      <c r="H353" s="68" t="n">
        <v>19</v>
      </c>
      <c r="I353" s="68" t="n">
        <v>2</v>
      </c>
      <c r="J353" s="69" t="n">
        <v>3.5</v>
      </c>
      <c r="K353" s="69" t="inlineStr">
        <is>
          <t>https://amazon.com/dp/B0GDXNL7CD</t>
        </is>
      </c>
      <c r="L353" s="114">
        <f>HYPERLINK(Table1311[[#This Row],[Column1]])</f>
        <v/>
      </c>
    </row>
    <row r="354" ht="45" customHeight="1" s="314">
      <c r="A354" s="35" t="inlineStr">
        <is>
          <t>Autel Original MaxiSYS CV Komatsu 12-PIN Adapter, 12 Pins to OBD2 16 Pins Off-Highway Diagnostic Tool Cable Connector, Work with Truck Scanner Autel CV MS908CV, MS908CV II, MS909CV, MS906CV, and VCI</t>
        </is>
      </c>
      <c r="B354" s="35" t="inlineStr">
        <is>
          <t>B0DBHVW99Z</t>
        </is>
      </c>
      <c r="C354" s="35" t="inlineStr">
        <is>
          <t>Cable/Adapter</t>
        </is>
      </c>
      <c r="D354" s="359" t="n">
        <v>25.89368421052632</v>
      </c>
      <c r="E354" s="359" t="n">
        <v>4971.620000000001</v>
      </c>
      <c r="F354" s="361" t="n">
        <v>491.98</v>
      </c>
      <c r="G354" s="68" t="n">
        <v>196</v>
      </c>
      <c r="H354" s="68" t="n">
        <v>19</v>
      </c>
      <c r="I354" s="68" t="n">
        <v>7</v>
      </c>
      <c r="J354" s="69" t="n">
        <v>5</v>
      </c>
      <c r="K354" s="69" t="inlineStr">
        <is>
          <t>https://amazon.com/dp/B0DBHVW99Z</t>
        </is>
      </c>
      <c r="L354" s="114">
        <f>HYPERLINK(Table1311[[#This Row],[Column1]])</f>
        <v/>
      </c>
    </row>
    <row r="355" ht="45" customHeight="1" s="314">
      <c r="A355" s="35" t="inlineStr">
        <is>
          <t>Autel OBD2 Scanner MaxiCOM MK808Z Automotive Diagnostic Tool - Same as MK808S MX808S, Android 11, Bi-Directional Tests as MK900 MX900, 28 Services, Injector Coding, All-System Scan, FCA AutoAuth</t>
        </is>
      </c>
      <c r="B355" s="35" t="inlineStr">
        <is>
          <t>B0FHW3FT8L</t>
        </is>
      </c>
      <c r="C355" s="35" t="inlineStr">
        <is>
          <t>Tablet</t>
        </is>
      </c>
      <c r="D355" s="359" t="n">
        <v>487.92</v>
      </c>
      <c r="E355" s="359" t="n">
        <v>8780.060769230771</v>
      </c>
      <c r="F355" s="361" t="n">
        <v>487.92</v>
      </c>
      <c r="G355" s="68" t="n">
        <v>15</v>
      </c>
      <c r="H355" s="68" t="n">
        <v>1</v>
      </c>
      <c r="I355" s="68" t="n">
        <v>1</v>
      </c>
      <c r="J355" s="69" t="n">
        <v>5</v>
      </c>
      <c r="K355" s="69" t="inlineStr">
        <is>
          <t>https://amazon.com/dp/B0FHW3FT8L</t>
        </is>
      </c>
      <c r="L355" s="114">
        <f>HYPERLINK(Table1311[[#This Row],[Column1]])</f>
        <v/>
      </c>
    </row>
    <row r="356" ht="45" customHeight="1" s="314">
      <c r="A356" s="35" t="inlineStr">
        <is>
          <t>Autel Original MaxiSYS CV Cummins 8Pin Adapter, 8-Pin Off-Highway Vehicle Cable Connector for Cummins Engines, Work with Heavy Duty Truck Scanner Semi Truck Tool MS909CV, MS908CV II, MS908CV, MS906CV</t>
        </is>
      </c>
      <c r="B356" s="35" t="inlineStr">
        <is>
          <t>B0DBHW85FN</t>
        </is>
      </c>
      <c r="C356" s="35" t="inlineStr">
        <is>
          <t>Cable/Adapter</t>
        </is>
      </c>
      <c r="D356" s="359" t="n">
        <v>29.881875</v>
      </c>
      <c r="E356" s="359" t="n">
        <v>4427.042307692307</v>
      </c>
      <c r="F356" s="361" t="n">
        <v>478.11</v>
      </c>
      <c r="G356" s="68" t="n">
        <v>119</v>
      </c>
      <c r="H356" s="68" t="n">
        <v>16</v>
      </c>
      <c r="I356" s="68" t="n">
        <v>2</v>
      </c>
      <c r="J356" s="69" t="n">
        <v>5</v>
      </c>
      <c r="K356" s="69" t="inlineStr">
        <is>
          <t>https://amazon.com/dp/B0DBHW85FN</t>
        </is>
      </c>
      <c r="L356" s="114">
        <f>HYPERLINK(Table1311[[#This Row],[Column1]])</f>
        <v/>
      </c>
    </row>
    <row r="357" ht="45" customHeight="1" s="314">
      <c r="A357" s="35" t="inlineStr">
        <is>
          <t>Autel MaxiDiag MD808 PRO OBD2 Scanner, Upgraded of MD806/MD805/MD802 Full System Diagnostic Scan Tool, 7 Services Read/Clear Codes DTC Lookup Oil Reset Battery Reset, Free Lifetime Update</t>
        </is>
      </c>
      <c r="B357" s="35" t="inlineStr">
        <is>
          <t>B0GCDS5CKB</t>
        </is>
      </c>
      <c r="C357" s="35" t="inlineStr">
        <is>
          <t>Handheld</t>
        </is>
      </c>
      <c r="D357" s="359" t="n">
        <v>224.44</v>
      </c>
      <c r="E357" s="359" t="n">
        <v>5006.738461538463</v>
      </c>
      <c r="F357" s="361" t="n">
        <v>448.88</v>
      </c>
      <c r="G357" s="68" t="n">
        <v>2</v>
      </c>
      <c r="H357" s="68" t="n">
        <v>2</v>
      </c>
      <c r="I357" s="68" t="n"/>
      <c r="J357" s="69" t="n"/>
      <c r="K357" s="69" t="inlineStr">
        <is>
          <t>https://amazon.com/dp/B0GCDS5CKB</t>
        </is>
      </c>
      <c r="L357" s="114">
        <f>HYPERLINK(Table1311[[#This Row],[Column1]])</f>
        <v/>
      </c>
    </row>
    <row r="358" ht="60" customHeight="1" s="314">
      <c r="A358" s="35" t="inlineStr">
        <is>
          <t>Autel 1-Year Update Service for IM608/ IM608 PRO, Total Care Program (TCP) Card, One Year Software Subscription &amp; Warranty</t>
        </is>
      </c>
      <c r="B358" s="35" t="inlineStr">
        <is>
          <t>B0GR45V5JZ</t>
        </is>
      </c>
      <c r="C358" s="35" t="inlineStr">
        <is>
          <t>Tablet</t>
        </is>
      </c>
      <c r="D358" s="359" t="n">
        <v>447.48</v>
      </c>
      <c r="E358" s="359" t="n">
        <v>8941.573076923076</v>
      </c>
      <c r="F358" s="361" t="n">
        <v>447.48</v>
      </c>
      <c r="G358" s="68" t="n">
        <v>5</v>
      </c>
      <c r="H358" s="68" t="n">
        <v>1</v>
      </c>
      <c r="I358" s="68" t="n"/>
      <c r="J358" s="69" t="n"/>
      <c r="K358" s="69" t="inlineStr">
        <is>
          <t>https://amazon.com/dp/B0GR45V5JZ</t>
        </is>
      </c>
      <c r="L358" s="114">
        <f>HYPERLINK(Table1311[[#This Row],[Column1]])</f>
        <v/>
      </c>
    </row>
    <row r="359" ht="60" customHeight="1" s="314">
      <c r="A359" s="35" t="inlineStr">
        <is>
          <t>Autel AT100 Multi-Application Transponder Super Chip Used with XP200, XP400, XP400PRO for Vehicles for ID11/12/13/46/47/48/49/4A/4C/5C/4D/64/8A/8C (Pack of 10)</t>
        </is>
      </c>
      <c r="B359" s="35" t="inlineStr">
        <is>
          <t>B0FD36H36L</t>
        </is>
      </c>
      <c r="C359" s="35" t="inlineStr">
        <is>
          <t>Key</t>
        </is>
      </c>
      <c r="D359" s="359" t="n">
        <v>44.462</v>
      </c>
      <c r="E359" s="359" t="n">
        <v>4835.962307692308</v>
      </c>
      <c r="F359" s="361" t="n">
        <v>444.62</v>
      </c>
      <c r="G359" s="68" t="n">
        <v>57</v>
      </c>
      <c r="H359" s="68" t="n">
        <v>10</v>
      </c>
      <c r="I359" s="68" t="n">
        <v>3</v>
      </c>
      <c r="J359" s="69" t="n">
        <v>5</v>
      </c>
      <c r="K359" s="69" t="inlineStr">
        <is>
          <t>https://amazon.com/dp/B0FD36H36L</t>
        </is>
      </c>
      <c r="L359" s="114">
        <f>HYPERLINK(Table1311[[#This Row],[Column1]])</f>
        <v/>
      </c>
    </row>
    <row r="360" ht="45" customHeight="1" s="314">
      <c r="A360" s="35" t="inlineStr">
        <is>
          <t>Autel MaxiAP AP2500 Upgraded AP200/AP200C/AP200H/AP200M Bluetooth OBD2 Code Reader Auto Scanner Car Scan Tool 5+ Service Functions 45+ Car Brands Free APP for Android/iOS Advanced AP2500E</t>
        </is>
      </c>
      <c r="B360" s="35" t="inlineStr">
        <is>
          <t>B0CWNKXDDS</t>
        </is>
      </c>
      <c r="C360" s="35" t="inlineStr">
        <is>
          <t>Dongle</t>
        </is>
      </c>
      <c r="D360" s="359" t="n">
        <v>69.84333333333333</v>
      </c>
      <c r="E360" s="359" t="n">
        <v>7648.724615384615</v>
      </c>
      <c r="F360" s="361" t="n">
        <v>419.06</v>
      </c>
      <c r="G360" s="68" t="n">
        <v>107</v>
      </c>
      <c r="H360" s="68" t="n">
        <v>6</v>
      </c>
      <c r="I360" s="68" t="n">
        <v>28</v>
      </c>
      <c r="J360" s="69" t="n">
        <v>3.2</v>
      </c>
      <c r="K360" s="69" t="inlineStr">
        <is>
          <t>https://amazon.com/dp/B0CWNKXDDS</t>
        </is>
      </c>
      <c r="L360" s="114">
        <f>HYPERLINK(Table1311[[#This Row],[Column1]])</f>
        <v/>
      </c>
    </row>
    <row r="361" ht="60" customHeight="1" s="314">
      <c r="A361" s="35" t="inlineStr">
        <is>
          <t>Autel AutoLInk AL329, I/M Readiness Key, OBD2 Code Reader, Retrieves VIN CALID and CVN, Freeze Frame Data, Turns Off MIL</t>
        </is>
      </c>
      <c r="B361" s="35" t="inlineStr">
        <is>
          <t>B07TB5BT5G</t>
        </is>
      </c>
      <c r="C361" s="35" t="inlineStr">
        <is>
          <t>Handheld</t>
        </is>
      </c>
      <c r="D361" s="359" t="n">
        <v>34.74</v>
      </c>
      <c r="E361" s="359" t="n">
        <v>5381.28</v>
      </c>
      <c r="F361" s="361" t="n">
        <v>416.88</v>
      </c>
      <c r="G361" s="68" t="n">
        <v>149</v>
      </c>
      <c r="H361" s="68" t="n">
        <v>12</v>
      </c>
      <c r="I361" s="68" t="n">
        <v>81</v>
      </c>
      <c r="J361" s="69" t="n">
        <v>4.5</v>
      </c>
      <c r="K361" s="69" t="inlineStr">
        <is>
          <t>https://amazon.com/dp/B07TB5BT5G</t>
        </is>
      </c>
      <c r="L361" s="114">
        <f>HYPERLINK(Table1311[[#This Row],[Column1]])</f>
        <v/>
      </c>
    </row>
    <row r="362" ht="45" customHeight="1" s="314">
      <c r="A362" s="35" t="inlineStr">
        <is>
          <t>Autel MaxiSys MSOBD2KIT Non-OBDII Adapter Kit 11 Adapters for Vehicles Without OBD2 Port Within Blow-Molded Carrying Case OBD2 Connectors Support MS Ultra MS919 MS909 MX808 TS608</t>
        </is>
      </c>
      <c r="B362" s="35" t="inlineStr">
        <is>
          <t>B093X3S6QY</t>
        </is>
      </c>
      <c r="C362" s="35" t="inlineStr">
        <is>
          <t>Cable/Adapter</t>
        </is>
      </c>
      <c r="D362" s="359" t="n">
        <v>137.1266666666667</v>
      </c>
      <c r="E362" s="359" t="n">
        <v>9492.735384615384</v>
      </c>
      <c r="F362" s="361" t="n">
        <v>411.38</v>
      </c>
      <c r="G362" s="68" t="n">
        <v>71</v>
      </c>
      <c r="H362" s="68" t="n">
        <v>3</v>
      </c>
      <c r="I362" s="68" t="n">
        <v>11</v>
      </c>
      <c r="J362" s="69" t="n">
        <v>4.8</v>
      </c>
      <c r="K362" s="69" t="inlineStr">
        <is>
          <t>https://amazon.com/dp/B093X3S6QY</t>
        </is>
      </c>
      <c r="L362" s="114">
        <f>HYPERLINK(Table1311[[#This Row],[Column1]])</f>
        <v/>
      </c>
    </row>
    <row r="363" ht="45" customHeight="1" s="314">
      <c r="A363" s="35" t="inlineStr">
        <is>
          <t>Autel Original OBD2 Female to 14pin Convert Adapter, OBD1 to OBD II Connector for Nissan, Work with Autel Scanner MK808S, MX808S, MK808BT PRO, MK900BT, MK900, MP900BT, Elite II PRO, MSUltra, Ultra S2</t>
        </is>
      </c>
      <c r="B363" s="35" t="inlineStr">
        <is>
          <t>B0D62XG45N</t>
        </is>
      </c>
      <c r="C363" s="35" t="inlineStr">
        <is>
          <t>Cable/Adapter</t>
        </is>
      </c>
      <c r="D363" s="359" t="n">
        <v>19.865</v>
      </c>
      <c r="E363" s="359" t="n">
        <v>4310.83</v>
      </c>
      <c r="F363" s="361" t="n">
        <v>397.3</v>
      </c>
      <c r="G363" s="68" t="n">
        <v>217</v>
      </c>
      <c r="H363" s="68" t="n">
        <v>20</v>
      </c>
      <c r="I363" s="68" t="n">
        <v>13</v>
      </c>
      <c r="J363" s="69" t="n">
        <v>4.7</v>
      </c>
      <c r="K363" s="69" t="inlineStr">
        <is>
          <t>https://amazon.com/dp/B0D62XG45N</t>
        </is>
      </c>
      <c r="L363" s="114">
        <f>HYPERLINK(Table1311[[#This Row],[Column1]])</f>
        <v/>
      </c>
    </row>
    <row r="364" ht="60" customHeight="1" s="314">
      <c r="A364" s="35" t="inlineStr">
        <is>
          <t>Autel MaxiTPMS TS508WF TPMS Service Tool — Wi-Fi Updates, Quick and Advance Modes, OBDII Cable, Model# 700010</t>
        </is>
      </c>
      <c r="B364" s="35" t="inlineStr">
        <is>
          <t>B07RHVSJNN</t>
        </is>
      </c>
      <c r="C364" s="35" t="inlineStr">
        <is>
          <t>Handheld</t>
        </is>
      </c>
      <c r="D364" s="359" t="n">
        <v>183.555</v>
      </c>
      <c r="E364" s="359" t="n">
        <v>1747.36</v>
      </c>
      <c r="F364" s="361" t="n">
        <v>367.11</v>
      </c>
      <c r="G364" s="68" t="n">
        <v>7</v>
      </c>
      <c r="H364" s="68" t="n">
        <v>2</v>
      </c>
      <c r="I364" s="68" t="n">
        <v>2</v>
      </c>
      <c r="J364" s="69" t="n">
        <v>3.6</v>
      </c>
      <c r="K364" s="69" t="inlineStr">
        <is>
          <t>https://amazon.com/dp/B07RHVSJNN</t>
        </is>
      </c>
      <c r="L364" s="114">
        <f>HYPERLINK(Table1311[[#This Row],[Column1]])</f>
        <v/>
      </c>
    </row>
    <row r="365" ht="45" customHeight="1" s="314">
      <c r="A365" s="35" t="inlineStr">
        <is>
          <t>Autel Original Type 2 Green 9pin J1939 to 16pin OBD2 Female Adapter, Male to J1962 OBDII Connector, Work for Heavy Duty Trucks, Used for ELD Device &amp; GPS Tracker &amp; Truck Scanner</t>
        </is>
      </c>
      <c r="B365" s="35" t="inlineStr">
        <is>
          <t>B0GSVC6PWZ</t>
        </is>
      </c>
      <c r="C365" s="35" t="inlineStr">
        <is>
          <t>Cable/Adapter</t>
        </is>
      </c>
      <c r="D365" s="359" t="n">
        <v>18.82052631578947</v>
      </c>
      <c r="E365" s="359" t="n">
        <v>4318.586923076923</v>
      </c>
      <c r="F365" s="361" t="n">
        <v>357.59</v>
      </c>
      <c r="G365" s="68" t="n">
        <v>19</v>
      </c>
      <c r="H365" s="68" t="n">
        <v>19</v>
      </c>
      <c r="I365" s="68" t="n"/>
      <c r="J365" s="69" t="n"/>
      <c r="K365" s="69" t="inlineStr">
        <is>
          <t>https://amazon.com/dp/B0GSVC6PWZ</t>
        </is>
      </c>
      <c r="L365" s="114">
        <f>HYPERLINK(Table1311[[#This Row],[Column1]])</f>
        <v/>
      </c>
    </row>
    <row r="366" ht="45" customHeight="1" s="314">
      <c r="A366" s="35" t="inlineStr">
        <is>
          <t>Autel AutoLink AL439 OBD2 Scanner, 2024 OBD2/EOBD Code Reader &amp; Electrical Testing Diagnostic Scan Tool, I/M Readiness, Reads &amp; Clears Codes, Live Data, Work on 1996 &amp; Newer for DIYers Professionals</t>
        </is>
      </c>
      <c r="B366" s="35" t="inlineStr">
        <is>
          <t>B0D2CY68J1</t>
        </is>
      </c>
      <c r="C366" s="35" t="inlineStr">
        <is>
          <t>Handheld</t>
        </is>
      </c>
      <c r="D366" s="359" t="n">
        <v>70.97799999999999</v>
      </c>
      <c r="E366" s="359" t="n">
        <v>663.34</v>
      </c>
      <c r="F366" s="361" t="n">
        <v>354.89</v>
      </c>
      <c r="G366" s="68" t="n">
        <v>9</v>
      </c>
      <c r="H366" s="68" t="n">
        <v>5</v>
      </c>
      <c r="I366" s="68" t="n">
        <v>5</v>
      </c>
      <c r="J366" s="69" t="n">
        <v>5</v>
      </c>
      <c r="K366" s="69" t="inlineStr">
        <is>
          <t>https://amazon.com/dp/B0D2CY68J1</t>
        </is>
      </c>
      <c r="L366" s="114">
        <f>HYPERLINK(Table1311[[#This Row],[Column1]])</f>
        <v/>
      </c>
    </row>
    <row r="367" ht="45" customHeight="1" s="314">
      <c r="A367" s="35" t="inlineStr">
        <is>
          <t>Autel MaxiLink ML629 OBD2 Scanner Upgraded Version of AL519 AL619 ML619 Full OBDII Code Reader ABS SRS Engine Transmission Diagnostics Tool with DTC Lookup Auto VIN</t>
        </is>
      </c>
      <c r="B367" s="35" t="inlineStr">
        <is>
          <t>B0FJ1PL3NR</t>
        </is>
      </c>
      <c r="C367" s="35" t="inlineStr">
        <is>
          <t>Handheld</t>
        </is>
      </c>
      <c r="D367" s="359" t="n">
        <v>110.7566666666667</v>
      </c>
      <c r="E367" s="359" t="n">
        <v>5146.903076923077</v>
      </c>
      <c r="F367" s="361" t="n">
        <v>332.27</v>
      </c>
      <c r="G367" s="68" t="n">
        <v>35</v>
      </c>
      <c r="H367" s="68" t="n">
        <v>3</v>
      </c>
      <c r="I367" s="68" t="n">
        <v>4</v>
      </c>
      <c r="J367" s="69" t="n">
        <v>4.1</v>
      </c>
      <c r="K367" s="69" t="inlineStr">
        <is>
          <t>https://amazon.com/dp/B0FJ1PL3NR</t>
        </is>
      </c>
      <c r="L367" s="114">
        <f>HYPERLINK(Table1311[[#This Row],[Column1]])</f>
        <v/>
      </c>
    </row>
    <row r="368" ht="45" customHeight="1" s="314">
      <c r="A368" s="35" t="inlineStr">
        <is>
          <t>Autel MaxiDiag MD906 PRO Scanner, 2026 MD906PRO All System Diagnostic Scan Tool as MD909 PRO, 33ft BT Lite of MK808S MX808S, V2.0 CAN FD, 11 Reset Functions, Up of MD808 Pro MD806, FCA, Free Updates</t>
        </is>
      </c>
      <c r="B368" s="35" t="inlineStr">
        <is>
          <t>B0FSSKB4S8</t>
        </is>
      </c>
      <c r="C368" s="35" t="inlineStr">
        <is>
          <t>Tablet</t>
        </is>
      </c>
      <c r="D368" s="359" t="n">
        <v>328.22</v>
      </c>
      <c r="E368" s="359" t="n">
        <v>12679.19615384615</v>
      </c>
      <c r="F368" s="361" t="n">
        <v>328.22</v>
      </c>
      <c r="G368" s="68" t="n">
        <v>37</v>
      </c>
      <c r="H368" s="68" t="n">
        <v>1</v>
      </c>
      <c r="I368" s="68" t="n">
        <v>10</v>
      </c>
      <c r="J368" s="69" t="n">
        <v>4.6</v>
      </c>
      <c r="K368" s="69" t="inlineStr">
        <is>
          <t>https://amazon.com/dp/B0FSSKB4S8</t>
        </is>
      </c>
      <c r="L368" s="114">
        <f>HYPERLINK(Table1311[[#This Row],[Column1]])</f>
        <v/>
      </c>
    </row>
    <row r="369" ht="45" customHeight="1" s="314">
      <c r="A369" s="35" t="inlineStr">
        <is>
          <t>Autel MaxiSys MS906 1-Year Update Service, Total Care Program (TCP) Card, One Year Software Subscription &amp; Warranty for Diagnostic Scanner</t>
        </is>
      </c>
      <c r="B369" s="35" t="inlineStr">
        <is>
          <t>B0FF9XRP4Z</t>
        </is>
      </c>
      <c r="C369" s="35" t="inlineStr">
        <is>
          <t>Tablet</t>
        </is>
      </c>
      <c r="D369" s="359" t="n">
        <v>314.19</v>
      </c>
      <c r="E369" s="359" t="n">
        <v>3795.226923076923</v>
      </c>
      <c r="F369" s="361" t="n">
        <v>314.19</v>
      </c>
      <c r="G369" s="68" t="n">
        <v>2</v>
      </c>
      <c r="H369" s="68" t="n">
        <v>1</v>
      </c>
      <c r="I369" s="68" t="n"/>
      <c r="J369" s="69" t="n"/>
      <c r="K369" s="69" t="inlineStr">
        <is>
          <t>https://amazon.com/dp/B0FF9XRP4Z</t>
        </is>
      </c>
      <c r="L369" s="114">
        <f>HYPERLINK(Table1311[[#This Row],[Column1]])</f>
        <v/>
      </c>
    </row>
    <row r="370" ht="45" customHeight="1" s="314">
      <c r="A370" s="35" t="inlineStr">
        <is>
          <t>Autel AutoLink AL529HD OBD2 Scanner with Screen Wiper 2025 Heavy Duty Code Reader Retrieve Code VIN O2 Sensor Test OBDII Monitor Test Review Read Erase Data View Live Data Freeze Frame Data</t>
        </is>
      </c>
      <c r="B370" s="35" t="inlineStr">
        <is>
          <t>B0BJTKLQWH</t>
        </is>
      </c>
      <c r="C370" s="35" t="inlineStr">
        <is>
          <t>Handheld</t>
        </is>
      </c>
      <c r="D370" s="359" t="n">
        <v>104.16</v>
      </c>
      <c r="E370" s="359" t="n">
        <v>16290.97</v>
      </c>
      <c r="F370" s="361" t="n">
        <v>312.48</v>
      </c>
      <c r="G370" s="68" t="n">
        <v>138</v>
      </c>
      <c r="H370" s="68" t="n">
        <v>3</v>
      </c>
      <c r="I370" s="68" t="n">
        <v>24</v>
      </c>
      <c r="J370" s="69" t="n">
        <v>4.3</v>
      </c>
      <c r="K370" s="69" t="inlineStr">
        <is>
          <t>https://amazon.com/dp/B0BJTKLQWH</t>
        </is>
      </c>
      <c r="L370" s="114">
        <f>HYPERLINK(Table1311[[#This Row],[Column1]])</f>
        <v/>
      </c>
    </row>
    <row r="371" ht="45" customHeight="1" s="314">
      <c r="A371" s="35" t="inlineStr">
        <is>
          <t>Autel Automotive Power Circuit Test Tool (Red)</t>
        </is>
      </c>
      <c r="B371" s="35" t="inlineStr">
        <is>
          <t>B0714PHHJ9</t>
        </is>
      </c>
      <c r="C371" s="35" t="inlineStr">
        <is>
          <t>Probe</t>
        </is>
      </c>
      <c r="D371" s="359" t="n">
        <v>103.4133333333333</v>
      </c>
      <c r="E371" s="359" t="n">
        <v>2852.932307692307</v>
      </c>
      <c r="F371" s="361" t="n">
        <v>310.24</v>
      </c>
      <c r="G371" s="68" t="n">
        <v>11</v>
      </c>
      <c r="H371" s="68" t="n">
        <v>3</v>
      </c>
      <c r="I371" s="68" t="n">
        <v>814</v>
      </c>
      <c r="J371" s="69" t="n">
        <v>4.7</v>
      </c>
      <c r="K371" s="69" t="inlineStr">
        <is>
          <t>https://amazon.com/dp/B0714PHHJ9</t>
        </is>
      </c>
      <c r="L371" s="114">
        <f>HYPERLINK(Table1311[[#This Row],[Column1]])</f>
        <v/>
      </c>
    </row>
    <row r="372" ht="60" customHeight="1" s="314">
      <c r="A372" s="35" t="inlineStr">
        <is>
          <t>Autel OBD2 Memory Saver for Car Battery, MaxiBAS BTMS Car Memory Saver, Preserve ECU Code &amp; Electronic Presets During Battery Replacement</t>
        </is>
      </c>
      <c r="B372" s="35" t="inlineStr">
        <is>
          <t>B0CQM1RR61</t>
        </is>
      </c>
      <c r="C372" s="35" t="inlineStr">
        <is>
          <t>Other</t>
        </is>
      </c>
      <c r="D372" s="359" t="n">
        <v>44.29714285714285</v>
      </c>
      <c r="E372" s="359" t="n">
        <v>13592.23</v>
      </c>
      <c r="F372" s="361" t="n">
        <v>310.08</v>
      </c>
      <c r="G372" s="68" t="n">
        <v>306</v>
      </c>
      <c r="H372" s="68" t="n">
        <v>7</v>
      </c>
      <c r="I372" s="68" t="n">
        <v>25</v>
      </c>
      <c r="J372" s="69" t="n">
        <v>4.4</v>
      </c>
      <c r="K372" s="69" t="inlineStr">
        <is>
          <t>https://amazon.com/dp/B0CQM1RR61</t>
        </is>
      </c>
      <c r="L372" s="114">
        <f>HYPERLINK(Table1311[[#This Row],[Column1]])</f>
        <v/>
      </c>
    </row>
    <row r="373" ht="45" customHeight="1" s="314">
      <c r="A373" s="35" t="inlineStr">
        <is>
          <t>Autel Scanner MaxiCOM MK808S: 2026 Upgraded of MK808/MX808, Bi-Directional Control Scan Tool, 28+ Services, All System Diagnostics, FCA Auto Auth, Auto VIN, with MV105S/MV108S</t>
        </is>
      </c>
      <c r="B373" s="35" t="inlineStr">
        <is>
          <t>B094QTNWYQ</t>
        </is>
      </c>
      <c r="C373" s="35" t="inlineStr">
        <is>
          <t>Tablet</t>
        </is>
      </c>
      <c r="D373" s="359" t="n">
        <v>305.42</v>
      </c>
      <c r="E373" s="359" t="n">
        <v>7487.870000000001</v>
      </c>
      <c r="F373" s="361" t="n">
        <v>305.42</v>
      </c>
      <c r="G373" s="68" t="n">
        <v>17</v>
      </c>
      <c r="H373" s="68" t="n">
        <v>1</v>
      </c>
      <c r="I373" s="68" t="n">
        <v>56</v>
      </c>
      <c r="J373" s="69" t="n">
        <v>4.2</v>
      </c>
      <c r="K373" s="69" t="inlineStr">
        <is>
          <t>https://amazon.com/dp/B094QTNWYQ</t>
        </is>
      </c>
      <c r="L373" s="114">
        <f>HYPERLINK(Table1311[[#This Row],[Column1]])</f>
        <v/>
      </c>
    </row>
    <row r="374" ht="45" customHeight="1" s="314">
      <c r="A374" s="35" t="inlineStr">
        <is>
          <t>Autel OBD Adapter Kit with Blow-Molded Carrying Case, 11 Pcs OBD Connectors Compatible with All Autel Scanner Tablet Device</t>
        </is>
      </c>
      <c r="B374" s="35" t="inlineStr">
        <is>
          <t>B0BNL33MX2</t>
        </is>
      </c>
      <c r="C374" s="35" t="inlineStr">
        <is>
          <t>Cable/Adapter</t>
        </is>
      </c>
      <c r="D374" s="359" t="n">
        <v>147.755</v>
      </c>
      <c r="E374" s="359" t="n">
        <v>5598.818461538461</v>
      </c>
      <c r="F374" s="361" t="n">
        <v>295.51</v>
      </c>
      <c r="G374" s="68" t="n">
        <v>41</v>
      </c>
      <c r="H374" s="68" t="n">
        <v>2</v>
      </c>
      <c r="I374" s="68" t="n">
        <v>4</v>
      </c>
      <c r="J374" s="69" t="n">
        <v>4.5</v>
      </c>
      <c r="K374" s="69" t="inlineStr">
        <is>
          <t>https://amazon.com/dp/B0BNL33MX2</t>
        </is>
      </c>
      <c r="L374" s="114">
        <f>HYPERLINK(Table1311[[#This Row],[Column1]])</f>
        <v/>
      </c>
    </row>
    <row r="375" ht="45" customHeight="1" s="314">
      <c r="A375" s="35" t="inlineStr">
        <is>
          <t>Autel CAN FD Protocol Adapter, Compatible with Autel Scanner MX808 MK808 DS808 MP808 MS906 MK906 MS908 MK908 Maxisys Elite IM508 IM608 Ultra VCI100 VCI Mini, for GM Chevrolet Buick Vehicles</t>
        </is>
      </c>
      <c r="B375" s="35" t="inlineStr">
        <is>
          <t>B0BYRV181C</t>
        </is>
      </c>
      <c r="C375" s="35" t="inlineStr">
        <is>
          <t>Cable/Adapter</t>
        </is>
      </c>
      <c r="D375" s="359" t="n">
        <v>146.655</v>
      </c>
      <c r="E375" s="359" t="n">
        <v>5419.76</v>
      </c>
      <c r="F375" s="361" t="n">
        <v>293.31</v>
      </c>
      <c r="G375" s="68" t="n">
        <v>47</v>
      </c>
      <c r="H375" s="68" t="n">
        <v>2</v>
      </c>
      <c r="I375" s="68" t="n">
        <v>6</v>
      </c>
      <c r="J375" s="69" t="n">
        <v>3.8</v>
      </c>
      <c r="K375" s="69" t="inlineStr">
        <is>
          <t>https://amazon.com/dp/B0BYRV181C</t>
        </is>
      </c>
      <c r="L375" s="114">
        <f>HYPERLINK(Table1311[[#This Row],[Column1]])</f>
        <v/>
      </c>
    </row>
    <row r="376" ht="30" customHeight="1" s="314">
      <c r="A376" s="35" t="inlineStr">
        <is>
          <t>Autel OBD2 Scanner MaxiDiag MD906 PRO MD906PRO, All Systems Car Scanner Diagnostic Tool, Same as MD909 PRO BT Lite of MaxiCOM MK808S MX808S, 11+Resets, CAN FD, Up of MD808 PRO MD806, Free Update, FCA</t>
        </is>
      </c>
      <c r="B376" s="35" t="inlineStr">
        <is>
          <t>B0090B7M2O</t>
        </is>
      </c>
      <c r="C376" s="35" t="inlineStr">
        <is>
          <t>Handheld</t>
        </is>
      </c>
      <c r="D376" s="359" t="n">
        <v>288.27</v>
      </c>
      <c r="E376" s="359" t="n">
        <v>13520.78153846154</v>
      </c>
      <c r="F376" s="361" t="n">
        <v>288.27</v>
      </c>
      <c r="G376" s="68" t="n">
        <v>43</v>
      </c>
      <c r="H376" s="68" t="n">
        <v>1</v>
      </c>
      <c r="I376" s="68" t="n">
        <v>665</v>
      </c>
      <c r="J376" s="69" t="n">
        <v>4.3</v>
      </c>
      <c r="K376" s="69" t="inlineStr">
        <is>
          <t>https://amazon.com/dp/B0090B7M2O</t>
        </is>
      </c>
      <c r="L376" s="114">
        <f>HYPERLINK(Table1311[[#This Row],[Column1]])</f>
        <v/>
      </c>
    </row>
    <row r="377" ht="45" customHeight="1" s="314">
      <c r="A377" s="35" t="inlineStr">
        <is>
          <t>Autel AP2500E Bluetooth Code Reader OBD2 Scanner, Oil Reset, TPMS, EV Battery, BMS Reset, All-System Code Read/Clear, OBD2 10 Tests, Check Engine Light, 45+ Car Brands, for Android/iOS</t>
        </is>
      </c>
      <c r="B377" s="35" t="inlineStr">
        <is>
          <t>B0CPDTN8SB</t>
        </is>
      </c>
      <c r="C377" s="35" t="inlineStr">
        <is>
          <t>Dongle</t>
        </is>
      </c>
      <c r="D377" s="359" t="n">
        <v>57.252</v>
      </c>
      <c r="E377" s="359" t="n">
        <v>18053.16</v>
      </c>
      <c r="F377" s="361" t="n">
        <v>286.26</v>
      </c>
      <c r="G377" s="68" t="n">
        <v>309</v>
      </c>
      <c r="H377" s="68" t="n">
        <v>5</v>
      </c>
      <c r="I377" s="68" t="n">
        <v>150</v>
      </c>
      <c r="J377" s="69" t="n">
        <v>3.6</v>
      </c>
      <c r="K377" s="69" t="inlineStr">
        <is>
          <t>https://amazon.com/dp/B0CPDTN8SB</t>
        </is>
      </c>
      <c r="L377" s="114">
        <f>HYPERLINK(Table1311[[#This Row],[Column1]])</f>
        <v/>
      </c>
    </row>
    <row r="378" ht="45" customHeight="1" s="314">
      <c r="A378" s="35" t="inlineStr">
        <is>
          <t>Autel Original 3 Pin Male to 16 Pin Female OBDII Adapter for Honda Vehicles, OBD1 to OBD2 Connector OE-Compliant Convertor Work with OBD II Scanners OBD2 Diagnostic Scan Tool</t>
        </is>
      </c>
      <c r="B378" s="35" t="inlineStr">
        <is>
          <t>B0D632P2NR</t>
        </is>
      </c>
      <c r="C378" s="35" t="inlineStr">
        <is>
          <t>Cable/Adapter</t>
        </is>
      </c>
      <c r="D378" s="359" t="n">
        <v>20.66615384615385</v>
      </c>
      <c r="E378" s="359" t="n">
        <v>2575.973846153846</v>
      </c>
      <c r="F378" s="361" t="n">
        <v>268.66</v>
      </c>
      <c r="G378" s="68" t="n">
        <v>116</v>
      </c>
      <c r="H378" s="68" t="n">
        <v>13</v>
      </c>
      <c r="I378" s="68" t="n">
        <v>15</v>
      </c>
      <c r="J378" s="69" t="n">
        <v>4.6</v>
      </c>
      <c r="K378" s="69" t="inlineStr">
        <is>
          <t>https://amazon.com/dp/B0D632P2NR</t>
        </is>
      </c>
      <c r="L378" s="114">
        <f>HYPERLINK(Table1311[[#This Row],[Column1]])</f>
        <v/>
      </c>
    </row>
    <row r="379" ht="45" customHeight="1" s="314">
      <c r="A379" s="35" t="inlineStr">
        <is>
          <t>Autel J1939 Splitter 9 Pin to OBD 2 Male Adapter Cable, Work with Truck Diagnostic Scanner, Type 2 J-1939 Diagnostic Connector, OBD to 9 Pin J1939 Y Cable, for Heavy Duty Commercial Truck ELD GPS</t>
        </is>
      </c>
      <c r="B379" s="35" t="inlineStr">
        <is>
          <t>B0DCFGPT28</t>
        </is>
      </c>
      <c r="C379" s="35" t="inlineStr">
        <is>
          <t>Cable/Adapter</t>
        </is>
      </c>
      <c r="D379" s="359" t="n">
        <v>20.55923076923077</v>
      </c>
      <c r="E379" s="359" t="n">
        <v>3963.620769230769</v>
      </c>
      <c r="F379" s="361" t="n">
        <v>267.27</v>
      </c>
      <c r="G379" s="68" t="n">
        <v>185</v>
      </c>
      <c r="H379" s="68" t="n">
        <v>13</v>
      </c>
      <c r="I379" s="68" t="n">
        <v>54</v>
      </c>
      <c r="J379" s="69" t="n">
        <v>4.5</v>
      </c>
      <c r="K379" s="69" t="inlineStr">
        <is>
          <t>https://amazon.com/dp/B0DCFGPT28</t>
        </is>
      </c>
      <c r="L379" s="114">
        <f>HYPERLINK(Table1311[[#This Row],[Column1]])</f>
        <v/>
      </c>
    </row>
    <row r="380" ht="45" customHeight="1" s="314">
      <c r="A380" s="35" t="inlineStr">
        <is>
          <t>Autel Original Diagnostic Cable TCAN003 for Tesla Model 3, Y, S, X, Upgraded 20 Pin+12 Pin to 16 Pin OBDII Adapter, OBD2 Connector, Work with Scanner Ultra, MS919, MS909, Elite, MS908S PRO, MK908 PRO</t>
        </is>
      </c>
      <c r="B380" s="35" t="inlineStr">
        <is>
          <t>B0D9BCSL2W</t>
        </is>
      </c>
      <c r="C380" s="35" t="inlineStr">
        <is>
          <t>Cable/Adapter</t>
        </is>
      </c>
      <c r="D380" s="359" t="n">
        <v>25.459</v>
      </c>
      <c r="E380" s="359" t="n">
        <v>1571.51</v>
      </c>
      <c r="F380" s="361" t="n">
        <v>254.59</v>
      </c>
      <c r="G380" s="68" t="n">
        <v>63</v>
      </c>
      <c r="H380" s="68" t="n">
        <v>10</v>
      </c>
      <c r="I380" s="68" t="n">
        <v>8</v>
      </c>
      <c r="J380" s="69" t="n">
        <v>5</v>
      </c>
      <c r="K380" s="69" t="inlineStr">
        <is>
          <t>https://amazon.com/dp/B0D9BCSL2W</t>
        </is>
      </c>
      <c r="L380" s="114">
        <f>HYPERLINK(Table1311[[#This Row],[Column1]])</f>
        <v/>
      </c>
    </row>
    <row r="381" ht="45" customHeight="1" s="314">
      <c r="A381" s="35" t="inlineStr">
        <is>
          <t>Autel MaxiAP AP2500 Obd2 Scanner Bluetooth 5 Service Functions Auto OBDII Diagnostic Scan Tool iOS &amp; Android Full Systems Code Reader Same Functions as AP2500E, Advanced AL329, 45+ Car Brands</t>
        </is>
      </c>
      <c r="B381" s="35" t="inlineStr">
        <is>
          <t>B094XRDH7S</t>
        </is>
      </c>
      <c r="C381" s="35" t="inlineStr">
        <is>
          <t>Dongle</t>
        </is>
      </c>
      <c r="D381" s="359" t="n">
        <v>62.33</v>
      </c>
      <c r="E381" s="359" t="n">
        <v>2788.78</v>
      </c>
      <c r="F381" s="361" t="n">
        <v>249.32</v>
      </c>
      <c r="G381" s="68" t="n">
        <v>48</v>
      </c>
      <c r="H381" s="68" t="n">
        <v>4</v>
      </c>
      <c r="I381" s="68" t="n">
        <v>65</v>
      </c>
      <c r="J381" s="69" t="n">
        <v>3.7</v>
      </c>
      <c r="K381" s="69" t="inlineStr">
        <is>
          <t>https://amazon.com/dp/B094XRDH7S</t>
        </is>
      </c>
      <c r="L381" s="114">
        <f>HYPERLINK(Table1311[[#This Row],[Column1]])</f>
        <v/>
      </c>
    </row>
    <row r="382" ht="45" customHeight="1" s="314">
      <c r="A382" s="35" t="inlineStr">
        <is>
          <t>Autel OBD2 Scanner Diagnostic Code Reader ML629 - ABS/SRS/Engine/Transmission MaxiLink 629 Car Diagnostic Tool DTC Lookup AutoVIN, ABS Code Reader for Vehicle Engine/Transmission/AirBag/Brake System</t>
        </is>
      </c>
      <c r="B382" s="35" t="inlineStr">
        <is>
          <t>B07KYNMZQ7</t>
        </is>
      </c>
      <c r="C382" s="35" t="inlineStr">
        <is>
          <t>Handheld</t>
        </is>
      </c>
      <c r="D382" s="359" t="n">
        <v>123.945</v>
      </c>
      <c r="E382" s="359" t="n">
        <v>6737.829999999998</v>
      </c>
      <c r="F382" s="361" t="n">
        <v>247.89</v>
      </c>
      <c r="G382" s="68" t="n">
        <v>59</v>
      </c>
      <c r="H382" s="68" t="n">
        <v>2</v>
      </c>
      <c r="I382" s="68" t="n">
        <v>88</v>
      </c>
      <c r="J382" s="69" t="n">
        <v>4.1</v>
      </c>
      <c r="K382" s="69" t="inlineStr">
        <is>
          <t>https://amazon.com/dp/B07KYNMZQ7</t>
        </is>
      </c>
      <c r="L382" s="114">
        <f>HYPERLINK(Table1311[[#This Row],[Column1]])</f>
        <v/>
      </c>
    </row>
    <row r="383" ht="45" customHeight="1" s="314">
      <c r="A383" s="35" t="inlineStr">
        <is>
          <t>Autel OBD2 Scanner AutoLink AL549: 2025 Check Engine Code Reader ABS Diagnostic Tool, Universal Car Battery &amp; Alternator Test, Upgrade Ver. of Autel AL519 MaxiLink ML519 OBDII CAN Diagnostic Scan Tool</t>
        </is>
      </c>
      <c r="B383" s="35" t="inlineStr">
        <is>
          <t>B0CP3YLDLH</t>
        </is>
      </c>
      <c r="C383" s="35" t="inlineStr">
        <is>
          <t>Handheld</t>
        </is>
      </c>
      <c r="D383" s="359" t="n">
        <v>60.8975</v>
      </c>
      <c r="E383" s="359" t="n">
        <v>49515.7</v>
      </c>
      <c r="F383" s="361" t="n">
        <v>243.59</v>
      </c>
      <c r="G383" s="68" t="n">
        <v>650</v>
      </c>
      <c r="H383" s="68" t="n">
        <v>4</v>
      </c>
      <c r="I383" s="68" t="n">
        <v>322</v>
      </c>
      <c r="J383" s="69" t="n">
        <v>4.5</v>
      </c>
      <c r="K383" s="69" t="inlineStr">
        <is>
          <t>https://amazon.com/dp/B0CP3YLDLH</t>
        </is>
      </c>
      <c r="L383" s="114">
        <f>HYPERLINK(Table1311[[#This Row],[Column1]])</f>
        <v/>
      </c>
    </row>
    <row r="384" ht="60" customHeight="1" s="314">
      <c r="A384" s="35" t="inlineStr">
        <is>
          <t>Autel Original Mazda 17 Pin Adapter, 17 Pin Male OBD1 to 16 Pin Female OBD2 Connector for Mazda Without OBDII Port, OE-Compliant Connector</t>
        </is>
      </c>
      <c r="B384" s="35" t="inlineStr">
        <is>
          <t>B0D637SWNT</t>
        </is>
      </c>
      <c r="C384" s="35" t="inlineStr">
        <is>
          <t>Cable/Adapter</t>
        </is>
      </c>
      <c r="D384" s="359" t="n">
        <v>18.72615384615385</v>
      </c>
      <c r="E384" s="359" t="n">
        <v>2287.44</v>
      </c>
      <c r="F384" s="361" t="n">
        <v>243.44</v>
      </c>
      <c r="G384" s="68" t="n">
        <v>114</v>
      </c>
      <c r="H384" s="68" t="n">
        <v>13</v>
      </c>
      <c r="I384" s="68" t="n">
        <v>13</v>
      </c>
      <c r="J384" s="69" t="n">
        <v>4.7</v>
      </c>
      <c r="K384" s="69" t="inlineStr">
        <is>
          <t>https://amazon.com/dp/B0D637SWNT</t>
        </is>
      </c>
      <c r="L384" s="114">
        <f>HYPERLINK(Table1311[[#This Row],[Column1]])</f>
        <v/>
      </c>
    </row>
    <row r="385" ht="45" customHeight="1" s="314">
      <c r="A385" s="35" t="inlineStr">
        <is>
          <t>Autel AutoLINK AL529HD Heavy Duty, Red</t>
        </is>
      </c>
      <c r="B385" s="35" t="inlineStr">
        <is>
          <t>B073RFLQ85</t>
        </is>
      </c>
      <c r="C385" s="35" t="inlineStr">
        <is>
          <t>Handheld</t>
        </is>
      </c>
      <c r="D385" s="359" t="n">
        <v>119.365</v>
      </c>
      <c r="E385" s="359" t="n">
        <v>4832.57</v>
      </c>
      <c r="F385" s="361" t="n">
        <v>238.73</v>
      </c>
      <c r="G385" s="68" t="n">
        <v>45</v>
      </c>
      <c r="H385" s="68" t="n">
        <v>2</v>
      </c>
      <c r="I385" s="68" t="n">
        <v>51</v>
      </c>
      <c r="J385" s="69" t="n">
        <v>4.1</v>
      </c>
      <c r="K385" s="69" t="inlineStr">
        <is>
          <t>https://amazon.com/dp/B073RFLQ85</t>
        </is>
      </c>
      <c r="L385" s="114">
        <f>HYPERLINK(Table1311[[#This Row],[Column1]])</f>
        <v/>
      </c>
    </row>
    <row r="386" ht="60" customHeight="1" s="314">
      <c r="A386" s="35" t="inlineStr">
        <is>
          <t>Autel AL539 AutoLink OBD ll Professional Electrical Test Tool</t>
        </is>
      </c>
      <c r="B386" s="35" t="inlineStr">
        <is>
          <t>B0091DJWKG</t>
        </is>
      </c>
      <c r="C386" s="35" t="inlineStr">
        <is>
          <t>Handheld</t>
        </is>
      </c>
      <c r="D386" s="359" t="n">
        <v>74.11333333333333</v>
      </c>
      <c r="E386" s="359" t="n">
        <v>5348.94</v>
      </c>
      <c r="F386" s="361" t="n">
        <v>222.34</v>
      </c>
      <c r="G386" s="68" t="n">
        <v>82</v>
      </c>
      <c r="H386" s="68" t="n">
        <v>3</v>
      </c>
      <c r="I386" s="68" t="n">
        <v>191</v>
      </c>
      <c r="J386" s="69" t="n">
        <v>4.5</v>
      </c>
      <c r="K386" s="69" t="inlineStr">
        <is>
          <t>https://amazon.com/dp/B0091DJWKG</t>
        </is>
      </c>
      <c r="L386" s="114">
        <f>HYPERLINK(Table1311[[#This Row],[Column1]])</f>
        <v/>
      </c>
    </row>
    <row r="387" ht="45" customHeight="1" s="314">
      <c r="A387" s="35" t="inlineStr">
        <is>
          <t>Autel MXSENSORMVK Metal Valve</t>
        </is>
      </c>
      <c r="B387" s="35" t="inlineStr">
        <is>
          <t>B0792M4BHG</t>
        </is>
      </c>
      <c r="C387" s="35" t="inlineStr">
        <is>
          <t>Other</t>
        </is>
      </c>
      <c r="D387" s="359" t="n">
        <v>12.05666666666667</v>
      </c>
      <c r="E387" s="359" t="n">
        <v>5062.69</v>
      </c>
      <c r="F387" s="361" t="n">
        <v>217.02</v>
      </c>
      <c r="G387" s="68" t="n">
        <v>439</v>
      </c>
      <c r="H387" s="68" t="n">
        <v>18</v>
      </c>
      <c r="I387" s="68" t="n">
        <v>79</v>
      </c>
      <c r="J387" s="69" t="n">
        <v>4.4</v>
      </c>
      <c r="K387" s="69" t="inlineStr">
        <is>
          <t>https://amazon.com/dp/B0792M4BHG</t>
        </is>
      </c>
      <c r="L387" s="114">
        <f>HYPERLINK(Table1311[[#This Row],[Column1]])</f>
        <v/>
      </c>
    </row>
    <row r="388" ht="45" customHeight="1" s="314">
      <c r="A388" s="35" t="inlineStr">
        <is>
          <t>AUTEL Original OBD2 16Pin Male Connector to Open Plug Wire, OBDII Diagnostic Extension Cable, Universal Pigtail for OBD Scanner Cord Port Replacement, USB Adapter with 16 Color for DIY, 1M, 3.3FT</t>
        </is>
      </c>
      <c r="B388" s="35" t="inlineStr">
        <is>
          <t>B0G12WSSQ6</t>
        </is>
      </c>
      <c r="C388" s="35" t="inlineStr">
        <is>
          <t>Cable/Adapter</t>
        </is>
      </c>
      <c r="D388" s="359" t="n">
        <v>17.15916666666667</v>
      </c>
      <c r="E388" s="359" t="n">
        <v>2459.187692307692</v>
      </c>
      <c r="F388" s="361" t="n">
        <v>205.91</v>
      </c>
      <c r="G388" s="68" t="n">
        <v>32</v>
      </c>
      <c r="H388" s="68" t="n">
        <v>12</v>
      </c>
      <c r="I388" s="68" t="n">
        <v>22</v>
      </c>
      <c r="J388" s="69" t="n">
        <v>4.7</v>
      </c>
      <c r="K388" s="69" t="inlineStr">
        <is>
          <t>https://amazon.com/dp/B0G12WSSQ6</t>
        </is>
      </c>
      <c r="L388" s="114">
        <f>HYPERLINK(Table1311[[#This Row],[Column1]])</f>
        <v/>
      </c>
    </row>
    <row r="389" ht="45" customHeight="1" s="314">
      <c r="A389" s="35" t="inlineStr">
        <is>
          <t>Autel TESKIT3Y Compatible Diagnostic Cable Adapter for Tesla Model 3 and Model Y, Read and Erase Codes, View Live Data, Work with Ultra/ MS919/ MS909/ Elite II PRO/UltraEV etc</t>
        </is>
      </c>
      <c r="B389" s="35" t="inlineStr">
        <is>
          <t>B0CJNKHKBB</t>
        </is>
      </c>
      <c r="C389" s="35" t="inlineStr">
        <is>
          <t>Cable/Adapter</t>
        </is>
      </c>
      <c r="D389" s="359" t="n">
        <v>48.775</v>
      </c>
      <c r="E389" s="359" t="n">
        <v>5740.429999999999</v>
      </c>
      <c r="F389" s="361" t="n">
        <v>195.1</v>
      </c>
      <c r="G389" s="68" t="n">
        <v>115</v>
      </c>
      <c r="H389" s="68" t="n">
        <v>4</v>
      </c>
      <c r="I389" s="68" t="n">
        <v>7</v>
      </c>
      <c r="J389" s="69" t="n">
        <v>4.1</v>
      </c>
      <c r="K389" s="69" t="inlineStr">
        <is>
          <t>https://amazon.com/dp/B0CJNKHKBB</t>
        </is>
      </c>
      <c r="L389" s="114">
        <f>HYPERLINK(Table1311[[#This Row],[Column1]])</f>
        <v/>
      </c>
    </row>
    <row r="390" ht="45" customHeight="1" s="314">
      <c r="A390" s="35" t="inlineStr">
        <is>
          <t>Autel CAN FD Adapter Support CAN FD Protocol for GM 2020+ for Ford for Chevrolet for Lincoln Compatible MaxiFlash Elite J2534-VCI VCI100 VCI Mini Maxisys Elite 908 Series 906 Series</t>
        </is>
      </c>
      <c r="B390" s="35" t="inlineStr">
        <is>
          <t>B0BX9J2KZJ</t>
        </is>
      </c>
      <c r="C390" s="35" t="inlineStr">
        <is>
          <t>Cable/Adapter</t>
        </is>
      </c>
      <c r="D390" s="359" t="n">
        <v>90.56999999999999</v>
      </c>
      <c r="E390" s="359" t="n">
        <v>5818.01</v>
      </c>
      <c r="F390" s="361" t="n">
        <v>181.14</v>
      </c>
      <c r="G390" s="68" t="n">
        <v>50</v>
      </c>
      <c r="H390" s="68" t="n">
        <v>2</v>
      </c>
      <c r="I390" s="68" t="n">
        <v>7</v>
      </c>
      <c r="J390" s="69" t="n">
        <v>4.5</v>
      </c>
      <c r="K390" s="69" t="inlineStr">
        <is>
          <t>https://amazon.com/dp/B0BX9J2KZJ</t>
        </is>
      </c>
      <c r="L390" s="114">
        <f>HYPERLINK(Table1311[[#This Row],[Column1]])</f>
        <v/>
      </c>
    </row>
    <row r="391" ht="45" customHeight="1" s="314">
      <c r="A391" s="35" t="inlineStr">
        <is>
          <t>Autel Original OBD2 Male to Green J1939 Type 2 Female Adapter, 16pin OBDII to 9pin for Truck Freightliner Code Reader, ELD Tracker, Diagnostic Scanner Device, Plug and Play with High Speed</t>
        </is>
      </c>
      <c r="B391" s="35" t="inlineStr">
        <is>
          <t>B0G41Y52RT</t>
        </is>
      </c>
      <c r="C391" s="35" t="inlineStr">
        <is>
          <t>Cable/Adapter</t>
        </is>
      </c>
      <c r="D391" s="359" t="n">
        <v>15.76727272727273</v>
      </c>
      <c r="E391" s="359" t="n">
        <v>1989.594615384616</v>
      </c>
      <c r="F391" s="361" t="n">
        <v>173.44</v>
      </c>
      <c r="G391" s="68" t="n">
        <v>22</v>
      </c>
      <c r="H391" s="68" t="n">
        <v>11</v>
      </c>
      <c r="I391" s="68" t="n">
        <v>2</v>
      </c>
      <c r="J391" s="69" t="n">
        <v>5</v>
      </c>
      <c r="K391" s="69" t="inlineStr">
        <is>
          <t>https://amazon.com/dp/B0G41Y52RT</t>
        </is>
      </c>
      <c r="L391" s="114">
        <f>HYPERLINK(Table1311[[#This Row],[Column1]])</f>
        <v/>
      </c>
    </row>
    <row r="392" ht="30" customHeight="1" s="314">
      <c r="A392" s="35" t="inlineStr">
        <is>
          <t>Autel Original Green Type 2 J1939 Male to 16pin Female OBD2 Adapter Cable, for Heavy Duty Trucks Scanner and Commercial Vehicles with 9pin Diagnostic Connector</t>
        </is>
      </c>
      <c r="B392" s="35" t="inlineStr">
        <is>
          <t>B0G4CZDCPY</t>
        </is>
      </c>
      <c r="C392" s="35" t="inlineStr">
        <is>
          <t>Cable/Adapter</t>
        </is>
      </c>
      <c r="D392" s="359" t="n">
        <v>16.704</v>
      </c>
      <c r="E392" s="359" t="n">
        <v>2142.557692307693</v>
      </c>
      <c r="F392" s="361" t="n">
        <v>167.04</v>
      </c>
      <c r="G392" s="68" t="n">
        <v>33</v>
      </c>
      <c r="H392" s="68" t="n">
        <v>10</v>
      </c>
      <c r="I392" s="68" t="n">
        <v>2</v>
      </c>
      <c r="J392" s="69" t="n">
        <v>5</v>
      </c>
      <c r="K392" s="69" t="inlineStr">
        <is>
          <t>https://amazon.com/dp/B0G4CZDCPY</t>
        </is>
      </c>
      <c r="L392" s="114">
        <f>HYPERLINK(Table1311[[#This Row],[Column1]])</f>
        <v/>
      </c>
    </row>
    <row r="393" ht="45" customHeight="1" s="314">
      <c r="A393" s="35" t="inlineStr">
        <is>
          <t>2026 Autel Original Green Type 2 J1939 Male to 16Pin Female OBD2 Adapter, 16Pin to 9Pin J1939 OBD Port, 30CM Extension Cable</t>
        </is>
      </c>
      <c r="B393" s="35" t="inlineStr">
        <is>
          <t>B0F6752Z4V</t>
        </is>
      </c>
      <c r="C393" s="35" t="inlineStr">
        <is>
          <t>Cable/Adapter</t>
        </is>
      </c>
      <c r="D393" s="359" t="n">
        <v>12.01545454545454</v>
      </c>
      <c r="E393" s="359" t="n">
        <v>1615.566153846154</v>
      </c>
      <c r="F393" s="361" t="n">
        <v>132.17</v>
      </c>
      <c r="G393" s="68" t="n">
        <v>94</v>
      </c>
      <c r="H393" s="68" t="n">
        <v>11</v>
      </c>
      <c r="I393" s="68" t="n">
        <v>10</v>
      </c>
      <c r="J393" s="69" t="n">
        <v>4.5</v>
      </c>
      <c r="K393" s="69" t="inlineStr">
        <is>
          <t>https://amazon.com/dp/B0F6752Z4V</t>
        </is>
      </c>
      <c r="L393" s="114">
        <f>HYPERLINK(Table1311[[#This Row],[Column1]])</f>
        <v/>
      </c>
    </row>
    <row r="394" ht="60" customHeight="1" s="314">
      <c r="A394" s="35" t="inlineStr">
        <is>
          <t>Autel MaxiSys MaxiVCI VCI Mini Bluetooth Diagnostic Interface Work with All Systems Automotive OBD2 Scanner MS906S TS608 MP808TS MK808BT MK808TS MK900TS Oil Reset/EPB/BMS/SAS/TPMS and Immobilizer</t>
        </is>
      </c>
      <c r="B394" s="35" t="inlineStr">
        <is>
          <t>B0B35X15LH</t>
        </is>
      </c>
      <c r="C394" s="35" t="inlineStr">
        <is>
          <t>Dongle</t>
        </is>
      </c>
      <c r="D394" s="359" t="n">
        <v>127.09</v>
      </c>
      <c r="E394" s="359" t="n">
        <v>25026.78</v>
      </c>
      <c r="F394" s="361" t="n">
        <v>127.09</v>
      </c>
      <c r="G394" s="68" t="n">
        <v>230</v>
      </c>
      <c r="H394" s="68" t="n">
        <v>1</v>
      </c>
      <c r="I394" s="68" t="n">
        <v>29</v>
      </c>
      <c r="J394" s="69" t="n">
        <v>4.6</v>
      </c>
      <c r="K394" s="69" t="inlineStr">
        <is>
          <t>https://amazon.com/dp/B0B35X15LH</t>
        </is>
      </c>
      <c r="L394" s="114">
        <f>HYPERLINK(Table1311[[#This Row],[Column1]])</f>
        <v/>
      </c>
    </row>
    <row r="395" ht="30" customHeight="1" s="314">
      <c r="A395" s="35" t="inlineStr">
        <is>
          <t>Autel Original Tesla Diagnostic Cables Set for Tesla S/Y/3/X, Compatible with MaxiSYS MS909/919/908SPro/Elite/Elite II/Ultra Tablets</t>
        </is>
      </c>
      <c r="B395" s="35" t="inlineStr">
        <is>
          <t>B0D93DF9MY</t>
        </is>
      </c>
      <c r="C395" s="35" t="inlineStr">
        <is>
          <t>Cable/Adapter</t>
        </is>
      </c>
      <c r="D395" s="359" t="n">
        <v>28.3725</v>
      </c>
      <c r="E395" s="359" t="n">
        <v>753.67</v>
      </c>
      <c r="F395" s="361" t="n">
        <v>113.49</v>
      </c>
      <c r="G395" s="68" t="n">
        <v>25</v>
      </c>
      <c r="H395" s="68" t="n">
        <v>4</v>
      </c>
      <c r="I395" s="68" t="n">
        <v>4</v>
      </c>
      <c r="J395" s="69" t="n">
        <v>5</v>
      </c>
      <c r="K395" s="69" t="inlineStr">
        <is>
          <t>https://amazon.com/dp/B0D93DF9MY</t>
        </is>
      </c>
      <c r="L395" s="114">
        <f>HYPERLINK(Table1311[[#This Row],[Column1]])</f>
        <v/>
      </c>
    </row>
    <row r="396" ht="30" customHeight="1" s="314">
      <c r="A396" s="35" t="inlineStr">
        <is>
          <t>Autel OBD2 Scanner AutoLink AL329 Vehicle OBD2 Diagnostic Tool Car Code Reader with I/M Readiness Key Read/Erase Codes Turns Off MIL Plug and Play Retrieves VIN/CALID/CVN Free Lifetime Update</t>
        </is>
      </c>
      <c r="B396" s="35" t="inlineStr">
        <is>
          <t>B0B915579T</t>
        </is>
      </c>
      <c r="C396" s="35" t="inlineStr">
        <is>
          <t>Handheld</t>
        </is>
      </c>
      <c r="D396" s="359" t="n">
        <v>44.915</v>
      </c>
      <c r="E396" s="359" t="n">
        <v>6408.39</v>
      </c>
      <c r="F396" s="361" t="n">
        <v>89.83</v>
      </c>
      <c r="G396" s="68" t="n">
        <v>183</v>
      </c>
      <c r="H396" s="68" t="n">
        <v>2</v>
      </c>
      <c r="I396" s="68" t="n">
        <v>15</v>
      </c>
      <c r="J396" s="69" t="n">
        <v>4.6</v>
      </c>
      <c r="K396" s="69" t="inlineStr">
        <is>
          <t>https://amazon.com/dp/B0B915579T</t>
        </is>
      </c>
      <c r="L396" s="114">
        <f>HYPERLINK(Table1311[[#This Row],[Column1]])</f>
        <v/>
      </c>
    </row>
    <row r="397" ht="17" customHeight="1" s="314">
      <c r="A397" s="35" t="inlineStr">
        <is>
          <t>Autel OBD2 Main Test Cable MaxiSys MS908/Mini MS905/DS808/MK808/MP808/MP808K</t>
        </is>
      </c>
      <c r="B397" s="35" t="inlineStr">
        <is>
          <t>B08MZZZJBM</t>
        </is>
      </c>
      <c r="C397" s="35" t="inlineStr">
        <is>
          <t>Cable/Adapter</t>
        </is>
      </c>
      <c r="D397" s="359" t="n">
        <v>21.18</v>
      </c>
      <c r="E397" s="359" t="n">
        <v>12709.84</v>
      </c>
      <c r="F397" s="361" t="n">
        <v>84.72</v>
      </c>
      <c r="G397" s="68" t="n">
        <v>772</v>
      </c>
      <c r="H397" s="68" t="n">
        <v>4</v>
      </c>
      <c r="I397" s="68" t="n">
        <v>237</v>
      </c>
      <c r="J397" s="69" t="n">
        <v>4.7</v>
      </c>
      <c r="K397" s="69" t="inlineStr">
        <is>
          <t>https://amazon.com/dp/B08MZZZJBM</t>
        </is>
      </c>
      <c r="L397" s="114">
        <f>HYPERLINK(Table1311[[#This Row],[Column1]])</f>
        <v/>
      </c>
    </row>
    <row r="398" ht="17" customHeight="1" s="314">
      <c r="A398" s="35" t="inlineStr">
        <is>
          <t>Autel Maxilink ML619 OBD2 Scanner, 2026 ABS SRS Diagnostic Scan Tool,Up of ML519 AL519 AL619,Code Reader Turn Off Check Engine Light Car Diagnostic Tool with 10 OBD2 Test Modes,DTCs Lookup,Graphs Data</t>
        </is>
      </c>
      <c r="B398" s="35" t="inlineStr">
        <is>
          <t>B0FJRNN7BM</t>
        </is>
      </c>
      <c r="C398" s="35" t="inlineStr">
        <is>
          <t>Handheld</t>
        </is>
      </c>
      <c r="D398" s="359" t="n">
        <v>69.95</v>
      </c>
      <c r="E398" s="359" t="n">
        <v>2348.316153846153</v>
      </c>
      <c r="F398" s="361" t="n">
        <v>69.95</v>
      </c>
      <c r="G398" s="68" t="n">
        <v>19</v>
      </c>
      <c r="H398" s="68" t="n">
        <v>1</v>
      </c>
      <c r="I398" s="68" t="n">
        <v>4</v>
      </c>
      <c r="J398" s="69" t="n">
        <v>4.4</v>
      </c>
      <c r="K398" s="69" t="inlineStr">
        <is>
          <t>https://amazon.com/dp/B0FJRNN7BM</t>
        </is>
      </c>
      <c r="L398" s="114">
        <f>HYPERLINK(Table1311[[#This Row],[Column1]])</f>
        <v/>
      </c>
    </row>
    <row r="399" ht="45" customHeight="1" s="314">
      <c r="A399" s="35" t="inlineStr">
        <is>
          <t>Autel Original MaxiSYS 8-Pin CV Adapter for Volvo, 8 Pins to OBD2 16 Pins for Volvo Off-Highway Cable Connector, Work w/Autel Heavy Duty Truck Scanner MS908CV MS908CV II MS909CV MS906CV MaxiFlash VCI</t>
        </is>
      </c>
      <c r="B399" s="35" t="inlineStr">
        <is>
          <t>B0FF55JXG1</t>
        </is>
      </c>
      <c r="C399" s="35" t="inlineStr">
        <is>
          <t>Cable/Adapter</t>
        </is>
      </c>
      <c r="D399" s="359" t="n">
        <v>23.29333333333333</v>
      </c>
      <c r="E399" s="359" t="n">
        <v>1053.663076923077</v>
      </c>
      <c r="F399" s="361" t="n">
        <v>69.88</v>
      </c>
      <c r="G399" s="68" t="n">
        <v>28</v>
      </c>
      <c r="H399" s="68" t="n">
        <v>3</v>
      </c>
      <c r="I399" s="68" t="n">
        <v>2</v>
      </c>
      <c r="J399" s="69" t="n">
        <v>5</v>
      </c>
      <c r="K399" s="69" t="inlineStr">
        <is>
          <t>https://amazon.com/dp/B0FF55JXG1</t>
        </is>
      </c>
      <c r="L399" s="114">
        <f>HYPERLINK(Table1311[[#This Row],[Column1]])</f>
        <v/>
      </c>
    </row>
    <row r="400" ht="30" customHeight="1" s="314">
      <c r="A400" s="35" t="inlineStr">
        <is>
          <t>Autel Main OBCII Replacement Cable, Model# AUTELMAIN-Cable</t>
        </is>
      </c>
      <c r="B400" s="35" t="inlineStr">
        <is>
          <t>B07V8L4NXR</t>
        </is>
      </c>
      <c r="C400" s="35" t="inlineStr">
        <is>
          <t>Cable/Adapter</t>
        </is>
      </c>
      <c r="D400" s="359" t="n">
        <v>31.99</v>
      </c>
      <c r="E400" s="359" t="n">
        <v>654.5646153846153</v>
      </c>
      <c r="F400" s="361" t="n">
        <v>63.98</v>
      </c>
      <c r="G400" s="68" t="n">
        <v>2</v>
      </c>
      <c r="H400" s="68" t="n">
        <v>2</v>
      </c>
      <c r="I400" s="68" t="n"/>
      <c r="J400" s="69" t="n"/>
      <c r="K400" s="69" t="inlineStr">
        <is>
          <t>https://amazon.com/dp/B07V8L4NXR</t>
        </is>
      </c>
      <c r="L400" s="114">
        <f>HYPERLINK(Table1311[[#This Row],[Column1]])</f>
        <v/>
      </c>
    </row>
    <row r="401" ht="60" customHeight="1" s="314">
      <c r="A401" s="35" t="inlineStr">
        <is>
          <t>Autel Original MaxiSYS 14-PIN CV Adapter for Volvo, Volvo14 Off-Road Construction Cable Connector, Work w/Truck Scanner Diagnostic Scan Tool MS908CV, MS908CV II, MS909CV, MS906CV, and MaxiFlash VCI</t>
        </is>
      </c>
      <c r="B401" s="35" t="inlineStr">
        <is>
          <t>B0FF4SD9ZL</t>
        </is>
      </c>
      <c r="C401" s="35" t="inlineStr">
        <is>
          <t>Cable/Adapter</t>
        </is>
      </c>
      <c r="D401" s="359" t="n">
        <v>18.88</v>
      </c>
      <c r="E401" s="359" t="n">
        <v>1063.452307692308</v>
      </c>
      <c r="F401" s="361" t="n">
        <v>56.64</v>
      </c>
      <c r="G401" s="68" t="n">
        <v>31</v>
      </c>
      <c r="H401" s="68" t="n">
        <v>3</v>
      </c>
      <c r="I401" s="68" t="n">
        <v>6</v>
      </c>
      <c r="J401" s="69" t="n">
        <v>4.7</v>
      </c>
      <c r="K401" s="69" t="inlineStr">
        <is>
          <t>https://amazon.com/dp/B0FF4SD9ZL</t>
        </is>
      </c>
      <c r="L401" s="114">
        <f>HYPERLINK(Table1311[[#This Row],[Column1]])</f>
        <v/>
      </c>
    </row>
    <row r="402" ht="45" customHeight="1" s="314">
      <c r="A402" s="35" t="inlineStr">
        <is>
          <t>Autel Ikey Programmable Smart Key for Chrysler- Dodge-Style Key Creation 5 Buttons IKEYCR5TPR Ultra-Long Range OE-Quality for 700+ Vehicle Key Replacement Programmed with Autel KM100 IM508 IM608</t>
        </is>
      </c>
      <c r="B402" s="35" t="inlineStr">
        <is>
          <t>B0BRZB14WW</t>
        </is>
      </c>
      <c r="C402" s="35" t="inlineStr">
        <is>
          <t>Key</t>
        </is>
      </c>
      <c r="D402" s="359" t="n">
        <v>49.03</v>
      </c>
      <c r="E402" s="359" t="n">
        <v>867.2900000000001</v>
      </c>
      <c r="F402" s="361" t="n">
        <v>49.03</v>
      </c>
      <c r="G402" s="68" t="n">
        <v>23</v>
      </c>
      <c r="H402" s="68" t="n">
        <v>1</v>
      </c>
      <c r="I402" s="68" t="n">
        <v>2</v>
      </c>
      <c r="J402" s="69" t="n">
        <v>5</v>
      </c>
      <c r="K402" s="69" t="inlineStr">
        <is>
          <t>https://amazon.com/dp/B0BRZB14WW</t>
        </is>
      </c>
      <c r="L402" s="114">
        <f>HYPERLINK(Table1311[[#This Row],[Column1]])</f>
        <v/>
      </c>
    </row>
    <row r="403" ht="17" customHeight="1" s="314">
      <c r="A403" s="35" t="inlineStr">
        <is>
          <t>Autel MaxiBAS BTMS OBDII Memory Saver, Battery Tester, Polarity-Protected, Attaches to 12 Volt Backup Battery, Provides Power to Vehicle's Computer, Maintains Data</t>
        </is>
      </c>
      <c r="B403" s="35" t="inlineStr">
        <is>
          <t>B0CCJBCJTS</t>
        </is>
      </c>
      <c r="C403" s="35" t="inlineStr">
        <is>
          <t>Other</t>
        </is>
      </c>
      <c r="D403" s="359" t="n">
        <v>45.96</v>
      </c>
      <c r="E403" s="359" t="n">
        <v>475.3099999999999</v>
      </c>
      <c r="F403" s="361" t="n">
        <v>45.96</v>
      </c>
      <c r="G403" s="68" t="n">
        <v>9</v>
      </c>
      <c r="H403" s="68" t="n">
        <v>1</v>
      </c>
      <c r="I403" s="68" t="n">
        <v>3</v>
      </c>
      <c r="J403" s="69" t="n">
        <v>5</v>
      </c>
      <c r="K403" s="69" t="inlineStr">
        <is>
          <t>https://amazon.com/dp/B0CCJBCJTS</t>
        </is>
      </c>
      <c r="L403" s="114">
        <f>HYPERLINK(Table1311[[#This Row],[Column1]])</f>
        <v/>
      </c>
    </row>
    <row r="404" ht="45" customHeight="1" s="314">
      <c r="A404" s="35" t="inlineStr">
        <is>
          <t>Autel DIY OBDII Replacement Cable — Compatible with AutoLINK Tools, Model# DIY-Cable</t>
        </is>
      </c>
      <c r="B404" s="35" t="inlineStr">
        <is>
          <t>B00FQ11LSI</t>
        </is>
      </c>
      <c r="C404" s="35" t="inlineStr">
        <is>
          <t>Cable/Adapter</t>
        </is>
      </c>
      <c r="D404" s="359" t="n">
        <v>45.3</v>
      </c>
      <c r="E404" s="359" t="n">
        <v>212.9807692307692</v>
      </c>
      <c r="F404" s="361" t="n">
        <v>45.3</v>
      </c>
      <c r="G404" s="68" t="n">
        <v>3</v>
      </c>
      <c r="H404" s="68" t="n">
        <v>1</v>
      </c>
      <c r="I404" s="68" t="n"/>
      <c r="J404" s="69" t="n"/>
      <c r="K404" s="69" t="inlineStr">
        <is>
          <t>https://amazon.com/dp/B00FQ11LSI</t>
        </is>
      </c>
      <c r="L404" s="114">
        <f>HYPERLINK(Table1311[[#This Row],[Column1]])</f>
        <v/>
      </c>
    </row>
    <row r="405" ht="17" customHeight="1" s="314">
      <c r="A405" s="35" t="inlineStr">
        <is>
          <t>Autel IKEY Razor Programmable Smart Key 2024 Key Fob for BMW Key Creation 4 Buttons Ultra-Long Range OE Quality 700+ Vehicles Car Key Replacement Programmed with Autel KM100 IM508 IM608</t>
        </is>
      </c>
      <c r="B405" s="35" t="inlineStr">
        <is>
          <t>B0B7SKNPGK</t>
        </is>
      </c>
      <c r="C405" s="35" t="inlineStr">
        <is>
          <t>Key</t>
        </is>
      </c>
      <c r="D405" s="359" t="n">
        <v>44.93</v>
      </c>
      <c r="E405" s="359" t="n">
        <v>686.3200000000001</v>
      </c>
      <c r="F405" s="361" t="n">
        <v>44.93</v>
      </c>
      <c r="G405" s="68" t="n">
        <v>18</v>
      </c>
      <c r="H405" s="68" t="n">
        <v>1</v>
      </c>
      <c r="I405" s="68" t="n">
        <v>7</v>
      </c>
      <c r="J405" s="69" t="n">
        <v>3.8</v>
      </c>
      <c r="K405" s="69" t="inlineStr">
        <is>
          <t>https://amazon.com/dp/B0B7SKNPGK</t>
        </is>
      </c>
      <c r="L405" s="114">
        <f>HYPERLINK(Table1311[[#This Row],[Column1]])</f>
        <v/>
      </c>
    </row>
    <row r="406" ht="45" customHeight="1" s="314">
      <c r="A406" s="35" t="inlineStr">
        <is>
          <t>Autel Original CV Haldex 4-Pin Adapter, 4pin Commercial Vehicle Connector for Haldex Trailer Braking Systems, Compatible w/Autel Heavy Duty Truck Scanner MaxiSYS MS909CV, MS908CV II, MS908CV, MS906CV</t>
        </is>
      </c>
      <c r="B406" s="35" t="inlineStr">
        <is>
          <t>B0FF4XKXDT</t>
        </is>
      </c>
      <c r="C406" s="35" t="inlineStr">
        <is>
          <t>Cable/Adapter</t>
        </is>
      </c>
      <c r="D406" s="359" t="n">
        <v>20.85</v>
      </c>
      <c r="E406" s="359" t="n">
        <v>399.8092307692308</v>
      </c>
      <c r="F406" s="361" t="n">
        <v>20.85</v>
      </c>
      <c r="G406" s="68" t="n">
        <v>11</v>
      </c>
      <c r="H406" s="68" t="n">
        <v>1</v>
      </c>
      <c r="I406" s="68" t="n">
        <v>3</v>
      </c>
      <c r="J406" s="69" t="n">
        <v>4.7</v>
      </c>
      <c r="K406" s="69" t="inlineStr">
        <is>
          <t>https://amazon.com/dp/B0FF4XKXDT</t>
        </is>
      </c>
      <c r="L406" s="114">
        <f>HYPERLINK(Table1311[[#This Row],[Column1]])</f>
        <v/>
      </c>
    </row>
    <row r="407" ht="45" customHeight="1" s="314">
      <c r="A407" s="35" t="inlineStr">
        <is>
          <t>Autel MaxiSYS MS909EV: 205 Same as MS908S PRO II OBD2 Car Diagnostic Scanner, 38+ Service, Active Test, All System Diagnose, Read abd Clear DTCS, FCA Autoauth OS 11</t>
        </is>
      </c>
      <c r="B407" s="35" t="inlineStr">
        <is>
          <t>B099JZ9LPL</t>
        </is>
      </c>
      <c r="C407" s="35" t="inlineStr">
        <is>
          <t>Tablet</t>
        </is>
      </c>
      <c r="D407" s="359" t="n">
        <v>3799</v>
      </c>
      <c r="E407" s="359" t="n">
        <v>0</v>
      </c>
      <c r="F407" s="361" t="n">
        <v>0</v>
      </c>
      <c r="G407" s="68" t="n">
        <v>0</v>
      </c>
      <c r="H407" s="68" t="n">
        <v>0</v>
      </c>
      <c r="I407" s="68" t="n">
        <v>2</v>
      </c>
      <c r="J407" s="69" t="n">
        <v>5</v>
      </c>
      <c r="K407" s="69" t="inlineStr">
        <is>
          <t>https://amazon.com/dp/B099JZ9LPL</t>
        </is>
      </c>
      <c r="L407" s="114">
        <f>HYPERLINK(Table1311[[#This Row],[Column1]])</f>
        <v/>
      </c>
    </row>
    <row r="408" ht="45" customHeight="1" s="314">
      <c r="A408" s="35" t="inlineStr">
        <is>
          <t>Autel AI Scanner MaxiSYS Ultra S2 2026, Top1 Intelligent Scan Tool 13.7" Up of MSUltra Ultra EV, 6in1 VCMI2, 3.0 Topology, Multi-Point DVI, PID Diagnosis, 48+ Reset, Motor Truspeed, EV Test, 3K+ Tests</t>
        </is>
      </c>
      <c r="B408" s="35" t="inlineStr">
        <is>
          <t>B0FNCR4PLQ</t>
        </is>
      </c>
      <c r="C408" s="35" t="inlineStr">
        <is>
          <t>Tablet</t>
        </is>
      </c>
      <c r="D408" s="359" t="n">
        <v>6249.1</v>
      </c>
      <c r="E408" s="359" t="n">
        <v>56681.3</v>
      </c>
      <c r="F408" s="361" t="n">
        <v>0</v>
      </c>
      <c r="G408" s="68" t="n">
        <v>10</v>
      </c>
      <c r="H408" s="68" t="n">
        <v>0</v>
      </c>
      <c r="I408" s="68" t="n">
        <v>5</v>
      </c>
      <c r="J408" s="69" t="n">
        <v>5</v>
      </c>
      <c r="K408" s="69" t="inlineStr">
        <is>
          <t>https://amazon.com/dp/B0FNCR4PLQ</t>
        </is>
      </c>
      <c r="L408" s="114">
        <f>HYPERLINK(Table1311[[#This Row],[Column1]])</f>
        <v/>
      </c>
    </row>
    <row r="409" ht="45" customHeight="1" s="314">
      <c r="A409" s="35" t="inlineStr">
        <is>
          <t>Autel ITS600Pro TPMS Tablet — 5.5in. Touchscreen, All Systems Diagnostics, Bluetooth, Model# 700150</t>
        </is>
      </c>
      <c r="B409" s="35" t="inlineStr">
        <is>
          <t>B0B1JK6JGN</t>
        </is>
      </c>
      <c r="C409" s="35" t="inlineStr">
        <is>
          <t>Handheld</t>
        </is>
      </c>
      <c r="D409" s="359" t="n">
        <v>521.38</v>
      </c>
      <c r="E409" s="359" t="n">
        <v>704.67</v>
      </c>
      <c r="F409" s="361" t="n">
        <v>0</v>
      </c>
      <c r="G409" s="68" t="n">
        <v>1</v>
      </c>
      <c r="H409" s="68" t="n">
        <v>0</v>
      </c>
      <c r="I409" s="68" t="n"/>
      <c r="J409" s="69" t="n"/>
      <c r="K409" s="69" t="inlineStr">
        <is>
          <t>https://amazon.com/dp/B0B1JK6JGN</t>
        </is>
      </c>
      <c r="L409" s="114">
        <f>HYPERLINK(Table1311[[#This Row],[Column1]])</f>
        <v/>
      </c>
    </row>
    <row r="410" ht="45" customHeight="1" s="314">
      <c r="A410" s="35" t="inlineStr">
        <is>
          <t>Autel TS408 Maxitpms Handheld Tpms Scan And Diagnostic Tool</t>
        </is>
      </c>
      <c r="B410" s="35" t="inlineStr">
        <is>
          <t>B073T6FRTY</t>
        </is>
      </c>
      <c r="C410" s="35" t="inlineStr">
        <is>
          <t>Handheld</t>
        </is>
      </c>
      <c r="D410" s="359" t="n">
        <v>155.03</v>
      </c>
      <c r="E410" s="359" t="n">
        <v>0</v>
      </c>
      <c r="F410" s="361" t="n">
        <v>0</v>
      </c>
      <c r="G410" s="68" t="n">
        <v>0</v>
      </c>
      <c r="H410" s="68" t="n">
        <v>0</v>
      </c>
      <c r="I410" s="68" t="n">
        <v>2</v>
      </c>
      <c r="J410" s="69" t="n">
        <v>5</v>
      </c>
      <c r="K410" s="69" t="inlineStr">
        <is>
          <t>https://amazon.com/dp/B073T6FRTY</t>
        </is>
      </c>
      <c r="L410" s="114">
        <f>HYPERLINK(Table1311[[#This Row],[Column1]])</f>
        <v/>
      </c>
    </row>
    <row r="411" ht="45" customHeight="1" s="314">
      <c r="A411" s="35" t="inlineStr">
        <is>
          <t>Autel Scanner MaxiPro MP900Z-BT with 40+ Services, 2024 Upgraded of MP808S/MS906BT, ECU Coding Scanner, Bi-Directional Scan Tool Support CAN FD/DoIP, Full System OBD2 Scanner OE-Level System Coverage</t>
        </is>
      </c>
      <c r="B411" s="35" t="inlineStr">
        <is>
          <t>B0D7Q65NSM</t>
        </is>
      </c>
      <c r="C411" s="35" t="inlineStr">
        <is>
          <t>Tablet</t>
        </is>
      </c>
      <c r="D411" s="359" t="n">
        <v>959</v>
      </c>
      <c r="E411" s="359" t="n">
        <v>0</v>
      </c>
      <c r="F411" s="361" t="n">
        <v>0</v>
      </c>
      <c r="G411" s="68" t="n">
        <v>0</v>
      </c>
      <c r="H411" s="68" t="n">
        <v>0</v>
      </c>
      <c r="I411" s="68" t="n">
        <v>1</v>
      </c>
      <c r="J411" s="69" t="n">
        <v>1</v>
      </c>
      <c r="K411" s="69" t="inlineStr">
        <is>
          <t>https://amazon.com/dp/B0D7Q65NSM</t>
        </is>
      </c>
      <c r="L411" s="114">
        <f>HYPERLINK(Table1311[[#This Row],[Column1]])</f>
        <v/>
      </c>
    </row>
    <row r="412" ht="60" customHeight="1" s="314">
      <c r="A412" s="35" t="inlineStr">
        <is>
          <t>Autel MaxiSys Ultra EV OBD2 Scanner, 2026 Top EV Lntelligent Diagnostic Scan Tool, Upgrade of Autel Ultra / MS919 / MS909, with EVDiag Kit, High-Voltage System &amp; Battery Pack Analysis, ECU Programming</t>
        </is>
      </c>
      <c r="B412" s="35" t="inlineStr">
        <is>
          <t>B0BMFFT2D1</t>
        </is>
      </c>
      <c r="C412" s="35" t="inlineStr">
        <is>
          <t>Tablet</t>
        </is>
      </c>
      <c r="D412" s="359" t="n">
        <v>4995</v>
      </c>
      <c r="E412" s="359" t="n">
        <v>10919.31</v>
      </c>
      <c r="F412" s="361" t="n">
        <v>0</v>
      </c>
      <c r="G412" s="68" t="n">
        <v>2</v>
      </c>
      <c r="H412" s="68" t="n">
        <v>0</v>
      </c>
      <c r="I412" s="68" t="n">
        <v>8</v>
      </c>
      <c r="J412" s="69" t="n">
        <v>4.4</v>
      </c>
      <c r="K412" s="69" t="inlineStr">
        <is>
          <t>https://amazon.com/dp/B0BMFFT2D1</t>
        </is>
      </c>
      <c r="L412" s="114">
        <f>HYPERLINK(Table1311[[#This Row],[Column1]])</f>
        <v/>
      </c>
    </row>
    <row r="413" ht="45" customHeight="1" s="314">
      <c r="A413" s="35" t="inlineStr">
        <is>
          <t>Autel MaxiTPMS TS508K-1</t>
        </is>
      </c>
      <c r="B413" s="35" t="inlineStr">
        <is>
          <t>B07ST2ZX5C</t>
        </is>
      </c>
      <c r="C413" s="35" t="inlineStr">
        <is>
          <t>Handheld</t>
        </is>
      </c>
      <c r="D413" s="359" t="n">
        <v>360</v>
      </c>
      <c r="E413" s="359" t="n">
        <v>1845.99</v>
      </c>
      <c r="F413" s="361" t="n">
        <v>0</v>
      </c>
      <c r="G413" s="68" t="n">
        <v>5</v>
      </c>
      <c r="H413" s="68" t="n">
        <v>0</v>
      </c>
      <c r="I413" s="68" t="n">
        <v>4</v>
      </c>
      <c r="J413" s="69" t="n">
        <v>4.5</v>
      </c>
      <c r="K413" s="69" t="inlineStr">
        <is>
          <t>https://amazon.com/dp/B07ST2ZX5C</t>
        </is>
      </c>
      <c r="L413" s="114">
        <f>HYPERLINK(Table1311[[#This Row],[Column1]])</f>
        <v/>
      </c>
    </row>
    <row r="414" ht="45" customHeight="1" s="314">
      <c r="A414" s="35" t="inlineStr">
        <is>
          <t>Autel - Black Metal Press-in Valve for 1-Sensor (CV-001)</t>
        </is>
      </c>
      <c r="B414" s="35" t="inlineStr">
        <is>
          <t>B07TV81B8C</t>
        </is>
      </c>
      <c r="C414" s="35" t="inlineStr">
        <is>
          <t>Other</t>
        </is>
      </c>
      <c r="D414" s="359" t="n">
        <v>8.91</v>
      </c>
      <c r="E414" s="359" t="n">
        <v>8.67</v>
      </c>
      <c r="F414" s="361" t="n">
        <v>0</v>
      </c>
      <c r="G414" s="68" t="n">
        <v>1</v>
      </c>
      <c r="H414" s="68" t="n">
        <v>0</v>
      </c>
      <c r="I414" s="68" t="n"/>
      <c r="J414" s="69" t="n"/>
      <c r="K414" s="69" t="inlineStr">
        <is>
          <t>https://amazon.com/dp/B07TV81B8C</t>
        </is>
      </c>
      <c r="L414" s="114">
        <f>HYPERLINK(Table1311[[#This Row],[Column1]])</f>
        <v/>
      </c>
    </row>
    <row r="415" ht="45" customHeight="1" s="314">
      <c r="A415" s="35" t="inlineStr">
        <is>
          <t>Autel AL529 AutoLink (Upgraded AL519) OBD II Scan Tool EOBD CAN Code Reader</t>
        </is>
      </c>
      <c r="B415" s="35" t="inlineStr">
        <is>
          <t>B073RF37K9</t>
        </is>
      </c>
      <c r="C415" s="35" t="inlineStr">
        <is>
          <t>Handheld</t>
        </is>
      </c>
      <c r="D415" s="359" t="n">
        <v>219.78</v>
      </c>
      <c r="E415" s="359" t="n">
        <v>216.31</v>
      </c>
      <c r="F415" s="361" t="n">
        <v>0</v>
      </c>
      <c r="G415" s="68" t="n">
        <v>2</v>
      </c>
      <c r="H415" s="68" t="n">
        <v>0</v>
      </c>
      <c r="I415" s="68" t="n">
        <v>14</v>
      </c>
      <c r="J415" s="69" t="n">
        <v>4.5</v>
      </c>
      <c r="K415" s="69" t="inlineStr">
        <is>
          <t>https://amazon.com/dp/B073RF37K9</t>
        </is>
      </c>
      <c r="L415" s="114">
        <f>HYPERLINK(Table1311[[#This Row],[Column1]])</f>
        <v/>
      </c>
    </row>
    <row r="416" ht="45" customHeight="1" s="314">
      <c r="A416" s="35" t="inlineStr">
        <is>
          <t>Autel MaxiPRO MP900-TS Scanner: 2026 TPMS Diagnostic Tool MP900TS Upgraded of MK808S-TS/MK900-TS, Android 10.0, 40+ Services, Advanced ECU Function as MS906PRO-TS, CANFD &amp; DOIP, Active Test GE</t>
        </is>
      </c>
      <c r="B416" s="35" t="inlineStr">
        <is>
          <t>B08PD7WNNF</t>
        </is>
      </c>
      <c r="C416" s="35" t="inlineStr">
        <is>
          <t>Tablet</t>
        </is>
      </c>
      <c r="D416" s="359" t="n">
        <v>1099</v>
      </c>
      <c r="E416" s="359" t="n">
        <v>2927.52</v>
      </c>
      <c r="F416" s="361" t="n">
        <v>0</v>
      </c>
      <c r="G416" s="68" t="n">
        <v>3</v>
      </c>
      <c r="H416" s="68" t="n">
        <v>0</v>
      </c>
      <c r="I416" s="68" t="n">
        <v>33</v>
      </c>
      <c r="J416" s="69" t="n">
        <v>4.4</v>
      </c>
      <c r="K416" s="69" t="inlineStr">
        <is>
          <t>https://amazon.com/dp/B08PD7WNNF</t>
        </is>
      </c>
      <c r="L416" s="114">
        <f>HYPERLINK(Table1311[[#This Row],[Column1]])</f>
        <v/>
      </c>
    </row>
    <row r="417" ht="45" customHeight="1" s="314">
      <c r="A417" s="35" t="inlineStr">
        <is>
          <t>Autel MaxiSys MS909 Scanner, Motor TruSpeed Same as MS919 Ultra Diagnostic Tool, Up of MS908S PRO II, ECU Coding &amp; Programming, 40+ Services, Topology 2.0, 3K+ Active Tests, FCA AutoAuth</t>
        </is>
      </c>
      <c r="B417" s="35" t="inlineStr">
        <is>
          <t>B0DGPV3KJM</t>
        </is>
      </c>
      <c r="C417" s="35" t="inlineStr">
        <is>
          <t>Tablet</t>
        </is>
      </c>
      <c r="D417" s="359" t="n">
        <v>2999</v>
      </c>
      <c r="E417" s="359" t="n">
        <v>15724.57</v>
      </c>
      <c r="F417" s="361" t="n">
        <v>0</v>
      </c>
      <c r="G417" s="68" t="n">
        <v>5</v>
      </c>
      <c r="H417" s="68" t="n">
        <v>0</v>
      </c>
      <c r="I417" s="68" t="n">
        <v>2</v>
      </c>
      <c r="J417" s="69" t="n">
        <v>5</v>
      </c>
      <c r="K417" s="69" t="inlineStr">
        <is>
          <t>https://amazon.com/dp/B0DGPV3KJM</t>
        </is>
      </c>
      <c r="L417" s="114">
        <f>HYPERLINK(Table1311[[#This Row],[Column1]])</f>
        <v/>
      </c>
    </row>
    <row r="418" ht="45" customHeight="1" s="314">
      <c r="A418" s="35" t="inlineStr">
        <is>
          <t>Autel MaxiSys Ultra S2 AI Scanner, 2026 Top Ultra S2 Intelligent Scan Tool Up of Ultra MS909 MS919, 6-in-1 VCMI2, Topology 3.0, Motor Truspeed, Multi-Point DVI, EV Tests, 48+ Resets, ECU Programming</t>
        </is>
      </c>
      <c r="B418" s="35" t="inlineStr">
        <is>
          <t>B0FG6T4B83</t>
        </is>
      </c>
      <c r="C418" s="35" t="inlineStr">
        <is>
          <t>Tablet</t>
        </is>
      </c>
      <c r="D418" s="359" t="n">
        <v>5681</v>
      </c>
      <c r="E418" s="359" t="n">
        <v>18834.09</v>
      </c>
      <c r="F418" s="361" t="n">
        <v>0</v>
      </c>
      <c r="G418" s="68" t="n">
        <v>3</v>
      </c>
      <c r="H418" s="68" t="n">
        <v>0</v>
      </c>
      <c r="I418" s="68" t="n">
        <v>1</v>
      </c>
      <c r="J418" s="69" t="n">
        <v>5</v>
      </c>
      <c r="K418" s="69" t="inlineStr">
        <is>
          <t>https://amazon.com/dp/B0FG6T4B83</t>
        </is>
      </c>
      <c r="L418" s="114">
        <f>HYPERLINK(Table1311[[#This Row],[Column1]])</f>
        <v/>
      </c>
    </row>
    <row r="419" ht="45" customHeight="1" s="314">
      <c r="A419" s="35" t="inlineStr">
        <is>
          <t>Autel MaxiSys MS919 Scanner, Same as MS Ultra and Up of MS909/ Ultra Lite/Elite 2, Motor TruSpeed, Color Topology 2.0, ECU Programming Coding, 40+Reset, 3000+ Active Test, [$2000] 5in1 VCMI</t>
        </is>
      </c>
      <c r="B419" s="35" t="inlineStr">
        <is>
          <t>B0F942MRQ5</t>
        </is>
      </c>
      <c r="C419" s="35" t="inlineStr">
        <is>
          <t>Tablet</t>
        </is>
      </c>
      <c r="D419" s="359" t="n">
        <v>3799</v>
      </c>
      <c r="E419" s="359" t="n">
        <v>26890.6</v>
      </c>
      <c r="F419" s="361" t="n">
        <v>0</v>
      </c>
      <c r="G419" s="68" t="n">
        <v>7</v>
      </c>
      <c r="H419" s="68" t="n">
        <v>0</v>
      </c>
      <c r="I419" s="68" t="n"/>
      <c r="J419" s="69" t="n"/>
      <c r="K419" s="69" t="inlineStr">
        <is>
          <t>https://amazon.com/dp/B0F942MRQ5</t>
        </is>
      </c>
      <c r="L419" s="114">
        <f>HYPERLINK(Table1311[[#This Row],[Column1]])</f>
        <v/>
      </c>
    </row>
    <row r="420" ht="45" customHeight="1" s="314">
      <c r="A420" s="35" t="inlineStr">
        <is>
          <t>Autel MaxiSys MS909CV Truck Scanner: 2026 Up of MS908CV II Cars Diagnostic Tool, Motor TruSpeed, Topology 2.0, J2534 Pass-Through, 64+ Reset 3K+ Active Test</t>
        </is>
      </c>
      <c r="B420" s="35" t="inlineStr">
        <is>
          <t>B0F5VV46Y4</t>
        </is>
      </c>
      <c r="C420" s="35" t="inlineStr">
        <is>
          <t>Tablet</t>
        </is>
      </c>
      <c r="D420" s="359" t="n">
        <v>4495</v>
      </c>
      <c r="E420" s="359" t="n">
        <v>15926.1</v>
      </c>
      <c r="F420" s="361" t="n">
        <v>0</v>
      </c>
      <c r="G420" s="68" t="n">
        <v>3</v>
      </c>
      <c r="H420" s="68" t="n">
        <v>0</v>
      </c>
      <c r="I420" s="68" t="n"/>
      <c r="J420" s="69" t="n"/>
      <c r="K420" s="69" t="inlineStr">
        <is>
          <t>https://amazon.com/dp/B0F5VV46Y4</t>
        </is>
      </c>
      <c r="L420" s="114">
        <f>HYPERLINK(Table1311[[#This Row],[Column1]])</f>
        <v/>
      </c>
    </row>
    <row r="421" ht="30" customHeight="1" s="314">
      <c r="A421" s="35" t="inlineStr">
        <is>
          <t>Autel MaxiSYS MS906 PRO Scanner, Auto Scan 2.0 Same as MS906MAX, Up of MS906BT MS906BT MS908, MS906PRO Diagnostic Tool for car, 36+ Service, DoIP CAN FD, VAG Guided, FCA SGW, 4G/128G</t>
        </is>
      </c>
      <c r="B421" s="35" t="inlineStr">
        <is>
          <t>B09ZPXKDMM</t>
        </is>
      </c>
      <c r="C421" s="35" t="inlineStr">
        <is>
          <t>Tablet</t>
        </is>
      </c>
      <c r="D421" s="359" t="n">
        <v>1369</v>
      </c>
      <c r="E421" s="359" t="n">
        <v>2392.07</v>
      </c>
      <c r="F421" s="361" t="n">
        <v>0</v>
      </c>
      <c r="G421" s="68" t="n">
        <v>2</v>
      </c>
      <c r="H421" s="68" t="n">
        <v>0</v>
      </c>
      <c r="I421" s="68" t="n">
        <v>7</v>
      </c>
      <c r="J421" s="69" t="n">
        <v>4</v>
      </c>
      <c r="K421" s="69" t="inlineStr">
        <is>
          <t>https://amazon.com/dp/B09ZPXKDMM</t>
        </is>
      </c>
      <c r="L421" s="114">
        <f>HYPERLINK(Table1311[[#This Row],[Column1]])</f>
        <v/>
      </c>
    </row>
    <row r="422" ht="60" customHeight="1" s="314">
      <c r="A422" s="35" t="inlineStr">
        <is>
          <t>Autel MaxiSYS EV Box Upgrade Kit, 2026 Fit Ultra S2 MS919S2 UltraADAS MSUltra MS919 MS909, Same EV Adapters in UltraEV, Full Electric Vehicle Diagnostics, High-Voltage System &amp; Battery Pack Analysis</t>
        </is>
      </c>
      <c r="B422" s="35" t="inlineStr">
        <is>
          <t>B0FG7JR9DW</t>
        </is>
      </c>
      <c r="C422" s="35" t="inlineStr">
        <is>
          <t>Tablet</t>
        </is>
      </c>
      <c r="D422" s="359" t="n">
        <v>899</v>
      </c>
      <c r="E422" s="359" t="n">
        <v>4399.5</v>
      </c>
      <c r="F422" s="361" t="n">
        <v>0</v>
      </c>
      <c r="G422" s="68" t="n">
        <v>5</v>
      </c>
      <c r="H422" s="68" t="n">
        <v>0</v>
      </c>
      <c r="I422" s="68" t="n"/>
      <c r="J422" s="69" t="n"/>
      <c r="K422" s="69" t="inlineStr">
        <is>
          <t>https://amazon.com/dp/B0FG7JR9DW</t>
        </is>
      </c>
      <c r="L422" s="114">
        <f>HYPERLINK(Table1311[[#This Row],[Column1]])</f>
        <v/>
      </c>
    </row>
    <row r="423" ht="17" customHeight="1" s="314">
      <c r="A423" s="35" t="inlineStr">
        <is>
          <t>Autel MaxiSys Ultra Autel Scanner: 2026 Top Intelligent Diagnostic Tool with 5-in-1 VCMI, Motor TruSpeed, J2534 ECU Programming, 40+ Services, Topology Map 2.0, Up of MS908S Pro Elite/MS909/MS919</t>
        </is>
      </c>
      <c r="B423" s="35" t="inlineStr">
        <is>
          <t>B09PNBLDM9</t>
        </is>
      </c>
      <c r="C423" s="35" t="inlineStr">
        <is>
          <t>Tablet</t>
        </is>
      </c>
      <c r="D423" s="359" t="n">
        <v>3999</v>
      </c>
      <c r="E423" s="359" t="n">
        <v>43043.67</v>
      </c>
      <c r="F423" s="361" t="n">
        <v>0</v>
      </c>
      <c r="G423" s="68" t="n">
        <v>10</v>
      </c>
      <c r="H423" s="68" t="n">
        <v>0</v>
      </c>
      <c r="I423" s="68" t="n">
        <v>2</v>
      </c>
      <c r="J423" s="69" t="n">
        <v>5</v>
      </c>
      <c r="K423" s="69" t="inlineStr">
        <is>
          <t>https://amazon.com/dp/B09PNBLDM9</t>
        </is>
      </c>
      <c r="L423" s="114">
        <f>HYPERLINK(Table1311[[#This Row],[Column1]])</f>
        <v/>
      </c>
    </row>
    <row r="424" ht="60" customHeight="1" s="314">
      <c r="A424" s="35" t="inlineStr">
        <is>
          <t>Autel AL439 OBDII and Electrical Test Tool</t>
        </is>
      </c>
      <c r="B424" s="35" t="inlineStr">
        <is>
          <t>B0091DJVK2</t>
        </is>
      </c>
      <c r="C424" s="35" t="inlineStr">
        <is>
          <t>Handheld</t>
        </is>
      </c>
      <c r="D424" s="359" t="n">
        <v>71.04000000000001</v>
      </c>
      <c r="E424" s="359" t="n">
        <v>262.91</v>
      </c>
      <c r="F424" s="361" t="n">
        <v>0</v>
      </c>
      <c r="G424" s="68" t="n">
        <v>4</v>
      </c>
      <c r="H424" s="68" t="n">
        <v>0</v>
      </c>
      <c r="I424" s="68" t="n">
        <v>30</v>
      </c>
      <c r="J424" s="69" t="n">
        <v>4.3</v>
      </c>
      <c r="K424" s="69" t="inlineStr">
        <is>
          <t>https://amazon.com/dp/B0091DJVK2</t>
        </is>
      </c>
      <c r="L424" s="114">
        <f>HYPERLINK(Table1311[[#This Row],[Column1]])</f>
        <v/>
      </c>
    </row>
    <row r="425" ht="45" customHeight="1" s="314">
      <c r="A425" s="35" t="inlineStr">
        <is>
          <t>Autel MaxiVCI Mini Bluetooth, Vehicle Communication Wireless Interface, Diagnostic Connector Compatible for MK808BT MK808TS MX808TS MP808TS TS608</t>
        </is>
      </c>
      <c r="B425" s="35" t="inlineStr">
        <is>
          <t>B0GCZ5939M</t>
        </is>
      </c>
      <c r="C425" s="35" t="inlineStr">
        <is>
          <t>Dongle</t>
        </is>
      </c>
      <c r="D425" s="359" t="n">
        <v>119</v>
      </c>
      <c r="E425" s="359" t="n">
        <v>291.22</v>
      </c>
      <c r="F425" s="361" t="n">
        <v>0</v>
      </c>
      <c r="G425" s="68" t="n">
        <v>2</v>
      </c>
      <c r="H425" s="68" t="n">
        <v>0</v>
      </c>
      <c r="I425" s="68" t="n"/>
      <c r="J425" s="69" t="n"/>
      <c r="K425" s="69" t="inlineStr">
        <is>
          <t>https://amazon.com/dp/B0GCZ5939M</t>
        </is>
      </c>
      <c r="L425" s="114">
        <f>HYPERLINK(Table1311[[#This Row],[Column1]])</f>
        <v/>
      </c>
    </row>
    <row r="426" ht="45" customHeight="1" s="314">
      <c r="A426" s="35" t="inlineStr">
        <is>
          <t>Autel MaxiSys Elite II PRO w/MV108S Scanner, 2-Year Update ($2590) Elite 2 Pro, Same as Ultra MS909 MS919 Up of MS908S PRO II MK908P, Motor TruSpeed, J2534 ECU Programming &amp; Coding, CAN FD DoIP</t>
        </is>
      </c>
      <c r="B426" s="35" t="inlineStr">
        <is>
          <t>B0F1T9D5B3</t>
        </is>
      </c>
      <c r="C426" s="35" t="inlineStr">
        <is>
          <t>Tablet</t>
        </is>
      </c>
      <c r="D426" s="359" t="n">
        <v>2399</v>
      </c>
      <c r="E426" s="359" t="n">
        <v>5014</v>
      </c>
      <c r="F426" s="361" t="n">
        <v>0</v>
      </c>
      <c r="G426" s="68" t="n">
        <v>2</v>
      </c>
      <c r="H426" s="68" t="n">
        <v>0</v>
      </c>
      <c r="I426" s="68" t="n">
        <v>1</v>
      </c>
      <c r="J426" s="69" t="n">
        <v>5</v>
      </c>
      <c r="K426" s="69" t="inlineStr">
        <is>
          <t>https://amazon.com/dp/B0F1T9D5B3</t>
        </is>
      </c>
      <c r="L426" s="114">
        <f>HYPERLINK(Table1311[[#This Row],[Column1]])</f>
        <v/>
      </c>
    </row>
    <row r="427" ht="60" customHeight="1" s="314">
      <c r="A427" s="35" t="inlineStr">
        <is>
          <t>Autel MaxiSys MS908CV II 2026: Upgrade of MS908CV Heavy Duty Truck Diagnostic Scanner, Diesel Scan Tool w/ J2534 Pass-Through, 3000+ Test, 64+ Service Same as MS909CV, Auto Scan 2.0 10 OS</t>
        </is>
      </c>
      <c r="B427" s="35" t="inlineStr">
        <is>
          <t>B071Y2XY4W</t>
        </is>
      </c>
      <c r="C427" s="35" t="inlineStr">
        <is>
          <t>Tablet</t>
        </is>
      </c>
      <c r="D427" s="359" t="n">
        <v>2899</v>
      </c>
      <c r="E427" s="359" t="n">
        <v>33895.18</v>
      </c>
      <c r="F427" s="361" t="n">
        <v>0</v>
      </c>
      <c r="G427" s="68" t="n">
        <v>11</v>
      </c>
      <c r="H427" s="68" t="n">
        <v>0</v>
      </c>
      <c r="I427" s="68" t="n">
        <v>6</v>
      </c>
      <c r="J427" s="69" t="n">
        <v>5</v>
      </c>
      <c r="K427" s="69" t="inlineStr">
        <is>
          <t>https://amazon.com/dp/B071Y2XY4W</t>
        </is>
      </c>
      <c r="L427" s="114">
        <f>HYPERLINK(Table1311[[#This Row],[Column1]])</f>
        <v/>
      </c>
    </row>
    <row r="428" ht="45" customHeight="1" s="314">
      <c r="A428" s="35" t="inlineStr">
        <is>
          <t>Autel MaxiCOM MK808Z-TS Upgrade of MK808S MK808Z US Ver. of MaxiCOM MK808S-TS MX808S-TS TPMS Programming Tool 28+ Service 3000+ Test Bidirectional Tool All System Diagnoses FCA SGW</t>
        </is>
      </c>
      <c r="B428" s="35" t="inlineStr">
        <is>
          <t>B0FKGSRQL9</t>
        </is>
      </c>
      <c r="C428" s="35" t="inlineStr">
        <is>
          <t>Tablet</t>
        </is>
      </c>
      <c r="D428" s="359" t="n">
        <v>649</v>
      </c>
      <c r="E428" s="359" t="n">
        <v>386.45</v>
      </c>
      <c r="F428" s="361" t="n">
        <v>0</v>
      </c>
      <c r="G428" s="68" t="n">
        <v>1</v>
      </c>
      <c r="H428" s="68" t="n">
        <v>0</v>
      </c>
      <c r="I428" s="68" t="n"/>
      <c r="J428" s="69" t="n"/>
      <c r="K428" s="69" t="inlineStr">
        <is>
          <t>https://amazon.com/dp/B0FKGSRQL9</t>
        </is>
      </c>
      <c r="L428" s="114">
        <f>HYPERLINK(Table1311[[#This Row],[Column1]])</f>
        <v/>
      </c>
    </row>
    <row r="429" ht="45" customHeight="1" s="314">
      <c r="A429" s="35" t="inlineStr">
        <is>
          <t>Autel CAN FD Adapter — Enables Diagnostics of Vehicles, Compatible with Multiple Models, Model# CANFD-Adapt</t>
        </is>
      </c>
      <c r="B429" s="35" t="inlineStr">
        <is>
          <t>B09WW3SS61</t>
        </is>
      </c>
      <c r="C429" s="35" t="inlineStr">
        <is>
          <t>Cable/Adapter</t>
        </is>
      </c>
      <c r="D429" s="359" t="n">
        <v>99.98999999999999</v>
      </c>
      <c r="E429" s="359" t="n">
        <v>353.33</v>
      </c>
      <c r="F429" s="361" t="n">
        <v>0</v>
      </c>
      <c r="G429" s="68" t="n">
        <v>4</v>
      </c>
      <c r="H429" s="68" t="n">
        <v>0</v>
      </c>
      <c r="I429" s="68" t="n"/>
      <c r="J429" s="69" t="n"/>
      <c r="K429" s="69" t="inlineStr">
        <is>
          <t>https://amazon.com/dp/B09WW3SS61</t>
        </is>
      </c>
      <c r="L429" s="114">
        <f>HYPERLINK(Table1311[[#This Row],[Column1]])</f>
        <v/>
      </c>
    </row>
    <row r="430" ht="45" customHeight="1" s="314">
      <c r="A430" s="35" t="inlineStr">
        <is>
          <t>Autel MaxiDiag MD600CV Handy Truck Diagnostics Tool, Handheld Wireless Android Touchscreen Tablet for Truck, Light Medium, Heavy Duty Truck Vehicle, 30+ Service</t>
        </is>
      </c>
      <c r="B430" s="35" t="inlineStr">
        <is>
          <t>B0D97HH541</t>
        </is>
      </c>
      <c r="C430" s="35" t="inlineStr">
        <is>
          <t>Handheld</t>
        </is>
      </c>
      <c r="D430" s="359" t="n">
        <v>979</v>
      </c>
      <c r="E430" s="359" t="n">
        <v>4455.29</v>
      </c>
      <c r="F430" s="361" t="n">
        <v>0</v>
      </c>
      <c r="G430" s="68" t="n">
        <v>4</v>
      </c>
      <c r="H430" s="68" t="n">
        <v>0</v>
      </c>
      <c r="I430" s="68" t="n">
        <v>3</v>
      </c>
      <c r="J430" s="69" t="n">
        <v>5</v>
      </c>
      <c r="K430" s="69" t="inlineStr">
        <is>
          <t>https://amazon.com/dp/B0D97HH541</t>
        </is>
      </c>
      <c r="L430" s="114">
        <f>HYPERLINK(Table1311[[#This Row],[Column1]])</f>
        <v/>
      </c>
    </row>
    <row r="431" ht="45" customHeight="1" s="314">
      <c r="A431" s="35" t="inlineStr">
        <is>
          <t>Autel MX900 Scanner, 2025 Bidirectional Scan Tool with 3000+ Active Test, Up of MK808BT MK808S MX808S, All System Diagnose, DoIP&amp;CAN FD, 40+ Service, Same as MK900 MK900BT</t>
        </is>
      </c>
      <c r="B431" s="35" t="inlineStr">
        <is>
          <t>B07FKZJ86W</t>
        </is>
      </c>
      <c r="C431" s="35" t="inlineStr">
        <is>
          <t>Tablet</t>
        </is>
      </c>
      <c r="D431" s="359" t="n">
        <v>819</v>
      </c>
      <c r="E431" s="359" t="n">
        <v>2117.9</v>
      </c>
      <c r="F431" s="361" t="n">
        <v>0</v>
      </c>
      <c r="G431" s="68" t="n">
        <v>5</v>
      </c>
      <c r="H431" s="68" t="n">
        <v>0</v>
      </c>
      <c r="I431" s="68" t="n">
        <v>141</v>
      </c>
      <c r="J431" s="69" t="n">
        <v>4.4</v>
      </c>
      <c r="K431" s="69" t="inlineStr">
        <is>
          <t>https://amazon.com/dp/B07FKZJ86W</t>
        </is>
      </c>
      <c r="L431" s="114">
        <f>HYPERLINK(Table1311[[#This Row],[Column1]])</f>
        <v/>
      </c>
    </row>
    <row r="432" ht="60" customHeight="1" s="314">
      <c r="A432" s="35" t="inlineStr">
        <is>
          <t>2026 Autel AI Scanner MaxiSYS MS909 S2, Same as Ultra S2, Intelligent Scan Tool Up of Ultra MS919 MS909, 3.0 Topology, VCI2 J2534, PID Analyze Multi-Point DVI, 48+ Reset, Motor, 3K+ Bidirectional Test</t>
        </is>
      </c>
      <c r="B432" s="35" t="inlineStr">
        <is>
          <t>B0FXMQ6V92</t>
        </is>
      </c>
      <c r="C432" s="35" t="inlineStr">
        <is>
          <t>Tablet</t>
        </is>
      </c>
      <c r="D432" s="359" t="n">
        <v>3599</v>
      </c>
      <c r="E432" s="359" t="n">
        <v>12826.68</v>
      </c>
      <c r="F432" s="361" t="n">
        <v>0</v>
      </c>
      <c r="G432" s="68" t="n">
        <v>3</v>
      </c>
      <c r="H432" s="68" t="n">
        <v>0</v>
      </c>
      <c r="I432" s="68" t="n">
        <v>1</v>
      </c>
      <c r="J432" s="69" t="n">
        <v>5</v>
      </c>
      <c r="K432" s="69" t="inlineStr">
        <is>
          <t>https://amazon.com/dp/B0FXMQ6V92</t>
        </is>
      </c>
      <c r="L432" s="114">
        <f>HYPERLINK(Table1311[[#This Row],[Column1]])</f>
        <v/>
      </c>
    </row>
    <row r="433" ht="45" customHeight="1" s="314">
      <c r="A433" s="35" t="inlineStr">
        <is>
          <t>Autel MaxiSYS MS906 Pro V2.0 2026 Professional Automotive Scanner, Same as MS906 MAX, Up of MS906BT MS908 MK908, Bidirectional 3K+ Tests,36+ Reset,CAN FD DoIP,Full System OBD2 Scan for 15000+ Vehicles</t>
        </is>
      </c>
      <c r="B433" s="35" t="inlineStr">
        <is>
          <t>B0DCFZF95X</t>
        </is>
      </c>
      <c r="C433" s="35" t="inlineStr">
        <is>
          <t>Tablet</t>
        </is>
      </c>
      <c r="D433" s="359" t="n">
        <v>1369</v>
      </c>
      <c r="E433" s="359" t="n">
        <v>0</v>
      </c>
      <c r="F433" s="361" t="n">
        <v>0</v>
      </c>
      <c r="G433" s="68" t="n">
        <v>0</v>
      </c>
      <c r="H433" s="68" t="n">
        <v>0</v>
      </c>
      <c r="I433" s="68" t="n">
        <v>4</v>
      </c>
      <c r="J433" s="69" t="n">
        <v>5</v>
      </c>
      <c r="K433" s="69" t="inlineStr">
        <is>
          <t>https://amazon.com/dp/B0DCFZF95X</t>
        </is>
      </c>
      <c r="L433" s="114">
        <f>HYPERLINK(Table1311[[#This Row],[Column1]])</f>
        <v/>
      </c>
    </row>
    <row r="434" ht="17" customHeight="1" s="314">
      <c r="A434" s="35" t="inlineStr">
        <is>
          <t>Autel MaxiSys MS908CV II Heavy Duty Truck Bidirectional Scanner, 39+ CV Services, All System,Guided Function,Level-up Ver. of MS906 CV,Same as MS909CV</t>
        </is>
      </c>
      <c r="B434" s="35" t="inlineStr">
        <is>
          <t>B0F6LG1GPF</t>
        </is>
      </c>
      <c r="C434" s="35" t="inlineStr">
        <is>
          <t>Tablet</t>
        </is>
      </c>
      <c r="D434" s="359" t="n">
        <v>2899</v>
      </c>
      <c r="E434" s="359" t="n">
        <v>36018.23</v>
      </c>
      <c r="F434" s="361" t="n">
        <v>0</v>
      </c>
      <c r="G434" s="68" t="n">
        <v>13</v>
      </c>
      <c r="H434" s="68" t="n">
        <v>0</v>
      </c>
      <c r="I434" s="68" t="n">
        <v>1</v>
      </c>
      <c r="J434" s="69" t="n">
        <v>5</v>
      </c>
      <c r="K434" s="69" t="inlineStr">
        <is>
          <t>https://amazon.com/dp/B0F6LG1GPF</t>
        </is>
      </c>
      <c r="L434" s="114">
        <f>HYPERLINK(Table1311[[#This Row],[Column1]])</f>
        <v/>
      </c>
    </row>
    <row r="435" ht="30" customHeight="1" s="314">
      <c r="A435" s="35" t="inlineStr">
        <is>
          <t>Autel MaxiSys Ultra EV OBD2 Scanner, Diagnostic Scan Tool, High Voltage Battery Pack Analysis, Motor TruSpeed Repair, Better Ultra MS919 MS909, w/EVDiag Box, ECU Programming, 5-in-1 VCMI, 40+ Reset</t>
        </is>
      </c>
      <c r="B435" s="35" t="inlineStr">
        <is>
          <t>B0BLSLC8SR</t>
        </is>
      </c>
      <c r="C435" s="35" t="inlineStr">
        <is>
          <t>Tablet</t>
        </is>
      </c>
      <c r="D435" s="359" t="n">
        <v>4995</v>
      </c>
      <c r="E435" s="359" t="n">
        <v>56145.25</v>
      </c>
      <c r="F435" s="361" t="n">
        <v>0</v>
      </c>
      <c r="G435" s="68" t="n">
        <v>11</v>
      </c>
      <c r="H435" s="68" t="n">
        <v>0</v>
      </c>
      <c r="I435" s="68" t="n">
        <v>7</v>
      </c>
      <c r="J435" s="69" t="n">
        <v>5</v>
      </c>
      <c r="K435" s="69" t="inlineStr">
        <is>
          <t>https://amazon.com/dp/B0BLSLC8SR</t>
        </is>
      </c>
      <c r="L435" s="114">
        <f>HYPERLINK(Table1311[[#This Row],[Column1]])</f>
        <v/>
      </c>
    </row>
    <row r="436" ht="45" customHeight="1" s="314">
      <c r="A436" s="35" t="inlineStr">
        <is>
          <t>Autel MaxiSYS MS906 PRO Scanner, 2026 MS906PRO Same as MS906 MAX, Top Scan Tool 2.0 Up of MP900BT MS906BT MK908 MS908S, ECU Coding, Bidirectional 3000+ Active Test, 40+ Reset, All System, CAN FD DoIP</t>
        </is>
      </c>
      <c r="B436" s="35" t="inlineStr">
        <is>
          <t>B0F6CJSGMY</t>
        </is>
      </c>
      <c r="C436" s="35" t="inlineStr">
        <is>
          <t>Tablet</t>
        </is>
      </c>
      <c r="D436" s="359" t="n">
        <v>1369</v>
      </c>
      <c r="E436" s="359" t="n">
        <v>2854.91</v>
      </c>
      <c r="F436" s="361" t="n">
        <v>0</v>
      </c>
      <c r="G436" s="68" t="n">
        <v>2</v>
      </c>
      <c r="H436" s="68" t="n">
        <v>0</v>
      </c>
      <c r="I436" s="68" t="n">
        <v>4</v>
      </c>
      <c r="J436" s="69" t="n">
        <v>5</v>
      </c>
      <c r="K436" s="69" t="inlineStr">
        <is>
          <t>https://amazon.com/dp/B0F6CJSGMY</t>
        </is>
      </c>
      <c r="L436" s="114">
        <f>HYPERLINK(Table1311[[#This Row],[Column1]])</f>
        <v/>
      </c>
    </row>
    <row r="437" ht="45" customHeight="1" s="314">
      <c r="A437" s="35" t="inlineStr">
        <is>
          <t>Autel OBD2 Scanner MaxiDiag MD909 PRO, 2026 MD909PRO Full Systems Diagnostic Scan Tool, 2.0 of MD906Pro MD808 Pro MD806, BT Lite of MK808S MX808S MX900 MK900, CAN FD, 11 Service, FCA, SFD, Free Update</t>
        </is>
      </c>
      <c r="B437" s="35" t="inlineStr">
        <is>
          <t>B0FMRZ89PL</t>
        </is>
      </c>
      <c r="C437" s="35" t="inlineStr">
        <is>
          <t>Tablet</t>
        </is>
      </c>
      <c r="D437" s="359" t="n">
        <v>325.7222222222222</v>
      </c>
      <c r="E437" s="359" t="n">
        <v>9714.030000000001</v>
      </c>
      <c r="F437" s="361" t="n">
        <v>0</v>
      </c>
      <c r="G437" s="68" t="n">
        <v>29</v>
      </c>
      <c r="H437" s="68" t="n">
        <v>0</v>
      </c>
      <c r="I437" s="68" t="n">
        <v>1</v>
      </c>
      <c r="J437" s="69" t="n">
        <v>5</v>
      </c>
      <c r="K437" s="69" t="inlineStr">
        <is>
          <t>https://amazon.com/dp/B0FMRZ89PL</t>
        </is>
      </c>
      <c r="L437" s="114">
        <f>HYPERLINK(Table1311[[#This Row],[Column1]])</f>
        <v/>
      </c>
    </row>
    <row r="438" ht="45" customHeight="1" s="314">
      <c r="A438" s="35" t="inlineStr">
        <is>
          <t>Autel MaxiPRO MP808Z-TS Diagnostic Scan Tool for Full TPMS Diagnostics, 2024 Upgraded Version of MP808TS, Bi-Directional Control OBD2 Scanner for All System Diagnose, 30+ Maintenance Functions</t>
        </is>
      </c>
      <c r="B438" s="35" t="inlineStr">
        <is>
          <t>B0CZ9K86W2</t>
        </is>
      </c>
      <c r="C438" s="35" t="inlineStr">
        <is>
          <t>Tablet</t>
        </is>
      </c>
      <c r="D438" s="359" t="n">
        <v>899</v>
      </c>
      <c r="E438" s="359" t="n">
        <v>472.72</v>
      </c>
      <c r="F438" s="361" t="n">
        <v>0</v>
      </c>
      <c r="G438" s="68" t="n">
        <v>1</v>
      </c>
      <c r="H438" s="68" t="n">
        <v>0</v>
      </c>
      <c r="I438" s="68" t="n"/>
      <c r="J438" s="69" t="n"/>
      <c r="K438" s="69" t="inlineStr">
        <is>
          <t>https://amazon.com/dp/B0CZ9K86W2</t>
        </is>
      </c>
      <c r="L438" s="114">
        <f>HYPERLINK(Table1311[[#This Row],[Column1]])</f>
        <v/>
      </c>
    </row>
    <row r="439" ht="45" customHeight="1" s="314">
      <c r="A439" s="35" t="inlineStr">
        <is>
          <t>Autel MaxiVCI V200 VCI200 OBD2 Adapter Connector, 2026 VCI 200 Car Wireless Communication Interface, Work w/Autel Scanner MaxiSys MS906PRO MS906 PRO-TS KM100 BT608 BT609 ITS600 MK906 PRO MK906 PRO TS</t>
        </is>
      </c>
      <c r="B439" s="35" t="inlineStr">
        <is>
          <t>B0F26G74N2</t>
        </is>
      </c>
      <c r="C439" s="35" t="inlineStr">
        <is>
          <t>Dongle</t>
        </is>
      </c>
      <c r="D439" s="359" t="n">
        <v>223.7890909090909</v>
      </c>
      <c r="E439" s="359" t="n">
        <v>48058.18000000001</v>
      </c>
      <c r="F439" s="361" t="n">
        <v>0</v>
      </c>
      <c r="G439" s="68" t="n">
        <v>228</v>
      </c>
      <c r="H439" s="68" t="n">
        <v>0</v>
      </c>
      <c r="I439" s="68" t="n">
        <v>5</v>
      </c>
      <c r="J439" s="69" t="n">
        <v>4.7</v>
      </c>
      <c r="K439" s="69" t="inlineStr">
        <is>
          <t>https://amazon.com/dp/B0F26G74N2</t>
        </is>
      </c>
      <c r="L439" s="114">
        <f>HYPERLINK(Table1311[[#This Row],[Column1]])</f>
        <v/>
      </c>
    </row>
    <row r="440" ht="45" customHeight="1" s="314">
      <c r="A440" s="35" t="inlineStr">
        <is>
          <t>Autel MaxiSys Elite Battery, Replacement Battery for Autel MaxiSys Elite Scanner</t>
        </is>
      </c>
      <c r="B440" s="35" t="inlineStr">
        <is>
          <t>B09D86Z1SM</t>
        </is>
      </c>
      <c r="C440" s="35" t="inlineStr">
        <is>
          <t>Other</t>
        </is>
      </c>
      <c r="D440" s="359" t="n">
        <v>141.0978571428571</v>
      </c>
      <c r="E440" s="359" t="n">
        <v>64054.78999999999</v>
      </c>
      <c r="F440" s="361" t="n">
        <v>0</v>
      </c>
      <c r="G440" s="68" t="n">
        <v>461</v>
      </c>
      <c r="H440" s="68" t="n">
        <v>0</v>
      </c>
      <c r="I440" s="68" t="n">
        <v>78</v>
      </c>
      <c r="J440" s="69" t="n">
        <v>4.6</v>
      </c>
      <c r="K440" s="69" t="inlineStr">
        <is>
          <t>https://amazon.com/dp/B09D86Z1SM</t>
        </is>
      </c>
      <c r="L440" s="114">
        <f>HYPERLINK(Table1311[[#This Row],[Column1]])</f>
        <v/>
      </c>
    </row>
    <row r="441" ht="30" customHeight="1" s="314">
      <c r="A441" s="35" t="inlineStr">
        <is>
          <t>Autel Original OBD1 to OBD2 Adapter Cable for VW and Audi, OBDI 2+2 Pin Male to OBDII 16 Pin Female Extension Cable, 2x2 Pin to 16Pin OBD II Connector</t>
        </is>
      </c>
      <c r="B441" s="35" t="inlineStr">
        <is>
          <t>B0F4CKKVXF</t>
        </is>
      </c>
      <c r="C441" s="35" t="inlineStr">
        <is>
          <t>Cable/Adapter</t>
        </is>
      </c>
      <c r="D441" s="359" t="n">
        <v>16.594</v>
      </c>
      <c r="E441" s="359" t="n">
        <v>1076.06</v>
      </c>
      <c r="F441" s="361" t="n">
        <v>0</v>
      </c>
      <c r="G441" s="68" t="n">
        <v>55</v>
      </c>
      <c r="H441" s="68" t="n">
        <v>0</v>
      </c>
      <c r="I441" s="68" t="n">
        <v>8</v>
      </c>
      <c r="J441" s="69" t="n">
        <v>3.6</v>
      </c>
      <c r="K441" s="69" t="inlineStr">
        <is>
          <t>https://amazon.com/dp/B0F4CKKVXF</t>
        </is>
      </c>
      <c r="L441" s="114">
        <f>HYPERLINK(Table1311[[#This Row],[Column1]])</f>
        <v/>
      </c>
    </row>
    <row r="442" ht="45" customHeight="1" s="314">
      <c r="A442" s="35" t="inlineStr">
        <is>
          <t>Autel Original OBD2 12+8 Adapter for Chrysler, OBD II Bypass Cable Gateway Protocol, Security Bypass 12 8 Connector Universal for FCA SGW Car, Fit for All Scanner MK808S MX808S MX900 MS906 Pro MS908S</t>
        </is>
      </c>
      <c r="B442" s="35" t="inlineStr">
        <is>
          <t>B0FR9FXLRR</t>
        </is>
      </c>
      <c r="C442" s="35" t="inlineStr">
        <is>
          <t>Cable/Adapter</t>
        </is>
      </c>
      <c r="D442" s="359" t="n">
        <v>25.48666666666666</v>
      </c>
      <c r="E442" s="359" t="n">
        <v>756.6899999999999</v>
      </c>
      <c r="F442" s="361" t="n">
        <v>0</v>
      </c>
      <c r="G442" s="68" t="n">
        <v>29</v>
      </c>
      <c r="H442" s="68" t="n">
        <v>0</v>
      </c>
      <c r="I442" s="68" t="n">
        <v>10</v>
      </c>
      <c r="J442" s="69" t="n">
        <v>4.2</v>
      </c>
      <c r="K442" s="69" t="inlineStr">
        <is>
          <t>https://amazon.com/dp/B0FR9FXLRR</t>
        </is>
      </c>
      <c r="L442" s="114">
        <f>HYPERLINK(Table1311[[#This Row],[Column1]])</f>
        <v/>
      </c>
    </row>
    <row r="443" ht="45" customHeight="1" s="314">
      <c r="A443" s="35" t="inlineStr">
        <is>
          <t>Autel MaxiIM KM100(E) Diagnostic Tool, 2026 Car OBD2 Scanner Lifetime Fre.e Updates, 2GB &amp; 64GB Android 9.0, for Home Mechanics &amp; DIYers</t>
        </is>
      </c>
      <c r="B443" s="35" t="inlineStr">
        <is>
          <t>B09JW8T7WJ</t>
        </is>
      </c>
      <c r="C443" s="35" t="inlineStr">
        <is>
          <t>Key</t>
        </is>
      </c>
      <c r="D443" s="359" t="n">
        <v>535</v>
      </c>
      <c r="E443" s="359" t="n">
        <v>0</v>
      </c>
      <c r="F443" s="361" t="n">
        <v>0</v>
      </c>
      <c r="G443" s="68" t="n">
        <v>0</v>
      </c>
      <c r="H443" s="68" t="n">
        <v>0</v>
      </c>
      <c r="I443" s="68" t="n">
        <v>15</v>
      </c>
      <c r="J443" s="69" t="n">
        <v>5</v>
      </c>
      <c r="K443" s="69" t="inlineStr">
        <is>
          <t>https://amazon.com/dp/B09JW8T7WJ</t>
        </is>
      </c>
      <c r="L443" s="114">
        <f>HYPERLINK(Table1311[[#This Row],[Column1]])</f>
        <v/>
      </c>
    </row>
    <row r="444" ht="45" customHeight="1" s="314">
      <c r="A444" s="35" t="inlineStr">
        <is>
          <t>Autel MaxiSYS MS909CV Top Intelligent Diesel Truck CV Scanner, 2026 Up of MS908CV II Heavy Duty Diagnostic with OE-Level J2534 Functions, Motor TruSpeed, Topology 2.0, 64+ Service, 3000+ Active Tests</t>
        </is>
      </c>
      <c r="B444" s="35" t="inlineStr">
        <is>
          <t>B0FWRNZBMX</t>
        </is>
      </c>
      <c r="C444" s="35" t="inlineStr">
        <is>
          <t>Tablet</t>
        </is>
      </c>
      <c r="D444" s="359" t="n">
        <v>5151.28</v>
      </c>
      <c r="E444" s="359" t="n">
        <v>15453.84</v>
      </c>
      <c r="F444" s="361" t="n">
        <v>0</v>
      </c>
      <c r="G444" s="68" t="n">
        <v>3</v>
      </c>
      <c r="H444" s="68" t="n">
        <v>0</v>
      </c>
      <c r="I444" s="68" t="n">
        <v>5</v>
      </c>
      <c r="J444" s="69" t="n">
        <v>5</v>
      </c>
      <c r="K444" s="69" t="inlineStr">
        <is>
          <t>https://amazon.com/dp/B0FWRNZBMX</t>
        </is>
      </c>
      <c r="L444" s="114">
        <f>HYPERLINK(Table1311[[#This Row],[Column1]])</f>
        <v/>
      </c>
    </row>
    <row r="445" ht="45" customHeight="1" s="314">
      <c r="A445" s="35" t="inlineStr">
        <is>
          <t>Autel MaxiPRO MP808S KIT Scanner - 2026 2-Year Update($490) Ver. of MaxiPRO MP900-BT MP900 KIT, PR0 ECU C0ciing, 3K+ Active Tests as MS906 PRO, 31+ Resets, Up of MP808BT PRO MK808S MK900 MX900</t>
        </is>
      </c>
      <c r="B445" s="35" t="inlineStr">
        <is>
          <t>B07VJKM2HV</t>
        </is>
      </c>
      <c r="C445" s="35" t="inlineStr">
        <is>
          <t>Tablet</t>
        </is>
      </c>
      <c r="D445" s="359" t="n">
        <v>888.98</v>
      </c>
      <c r="E445" s="359" t="n">
        <v>17153.18</v>
      </c>
      <c r="F445" s="361" t="n">
        <v>0</v>
      </c>
      <c r="G445" s="68" t="n">
        <v>23</v>
      </c>
      <c r="H445" s="68" t="n">
        <v>0</v>
      </c>
      <c r="I445" s="68" t="n">
        <v>272</v>
      </c>
      <c r="J445" s="69" t="n">
        <v>4.5</v>
      </c>
      <c r="K445" s="69" t="inlineStr">
        <is>
          <t>https://amazon.com/dp/B07VJKM2HV</t>
        </is>
      </c>
      <c r="L445" s="114">
        <f>HYPERLINK(Table1311[[#This Row],[Column1]])</f>
        <v/>
      </c>
    </row>
    <row r="446" ht="45" customHeight="1" s="314">
      <c r="A446" s="35" t="inlineStr">
        <is>
          <t>Autel MaxiDiag MD906PRO OBD2 Scanner, 2025 MD906 PRO All Sys Diagnostic Tool Same as MD909 PRO, 11 Services, CAN FD, BT Lite of MX808S, 10 OBDII Test Modes, FCA, Free Update, Up of MD808Pro MD806</t>
        </is>
      </c>
      <c r="B446" s="35" t="inlineStr">
        <is>
          <t>B072XH9GLW</t>
        </is>
      </c>
      <c r="C446" s="35" t="inlineStr">
        <is>
          <t>Handheld</t>
        </is>
      </c>
      <c r="D446" s="359" t="n">
        <v>299</v>
      </c>
      <c r="E446" s="359" t="n">
        <v>2688.34</v>
      </c>
      <c r="F446" s="361" t="n">
        <v>0</v>
      </c>
      <c r="G446" s="68" t="n">
        <v>22</v>
      </c>
      <c r="H446" s="68" t="n">
        <v>0</v>
      </c>
      <c r="I446" s="68" t="n">
        <v>925</v>
      </c>
      <c r="J446" s="69" t="n">
        <v>4.3</v>
      </c>
      <c r="K446" s="69" t="inlineStr">
        <is>
          <t>https://amazon.com/dp/B072XH9GLW</t>
        </is>
      </c>
      <c r="L446" s="114">
        <f>HYPERLINK(Table1311[[#This Row],[Column1]])</f>
        <v/>
      </c>
    </row>
    <row r="447" ht="45" customHeight="1" s="314">
      <c r="A447" s="35" t="inlineStr">
        <is>
          <t>Autel Scanner MaxiCOM MK900: 2026 MK900 Same as MK900BT MX900, 8" Bidirectional Diagnostic Tool Up of MK808S MK808BT PRO MX808S MK808Z, 40+ Reset, 3K+ Active Tests, CAN-FD&amp;DOIP, All Sys, FCA 11 OS</t>
        </is>
      </c>
      <c r="B447" s="35" t="inlineStr">
        <is>
          <t>B0F5MK8RS4</t>
        </is>
      </c>
      <c r="C447" s="35" t="inlineStr">
        <is>
          <t>Tablet</t>
        </is>
      </c>
      <c r="D447" s="359" t="n">
        <v>559</v>
      </c>
      <c r="E447" s="359" t="n">
        <v>27729.72</v>
      </c>
      <c r="F447" s="361" t="n">
        <v>0</v>
      </c>
      <c r="G447" s="68" t="n">
        <v>47</v>
      </c>
      <c r="H447" s="68" t="n">
        <v>0</v>
      </c>
      <c r="I447" s="68" t="n">
        <v>16</v>
      </c>
      <c r="J447" s="69" t="n">
        <v>4.4</v>
      </c>
      <c r="K447" s="69" t="inlineStr">
        <is>
          <t>https://amazon.com/dp/B0F5MK8RS4</t>
        </is>
      </c>
      <c r="L447" s="114">
        <f>HYPERLINK(Table1311[[#This Row],[Column1]])</f>
        <v/>
      </c>
    </row>
    <row r="448" ht="17" customHeight="1" s="314">
      <c r="A448" s="35" t="inlineStr">
        <is>
          <t>Autel MaxiPRO MP808Z-TS Scanner (2-Year Free Updates) - New ECU Coding Scan Tool with TPMS Relearn Rest Programming, Upgraded of MP808BT PRO /MP808BT, Active Test, 36+Service, Full System Diagnose</t>
        </is>
      </c>
      <c r="B448" s="35" t="inlineStr">
        <is>
          <t>B0C1S6P4RN</t>
        </is>
      </c>
      <c r="C448" s="35" t="inlineStr">
        <is>
          <t>Tablet</t>
        </is>
      </c>
      <c r="D448" s="359" t="n">
        <v>964.84</v>
      </c>
      <c r="E448" s="359" t="n">
        <v>4429.12</v>
      </c>
      <c r="F448" s="361" t="n">
        <v>0</v>
      </c>
      <c r="G448" s="68" t="n">
        <v>5</v>
      </c>
      <c r="H448" s="68" t="n">
        <v>0</v>
      </c>
      <c r="I448" s="68" t="n">
        <v>4</v>
      </c>
      <c r="J448" s="69" t="n">
        <v>4.6</v>
      </c>
      <c r="K448" s="69" t="inlineStr">
        <is>
          <t>https://amazon.com/dp/B0C1S6P4RN</t>
        </is>
      </c>
      <c r="L448" s="114">
        <f>HYPERLINK(Table1311[[#This Row],[Column1]])</f>
        <v/>
      </c>
    </row>
    <row r="449" ht="60" customHeight="1" s="314">
      <c r="A449" s="35" t="inlineStr">
        <is>
          <t>Autel MaxiSys Ultra Full System Intelligent Diagnostic Scan Tool, 2026 Upgraded of EliteII/MS909/MS919, Top Auto Diagnostic Tool with 5-in-1 VCMI[$2000], ECU Programming &amp; Coding, AutoAuth for FCA SGW</t>
        </is>
      </c>
      <c r="B449" s="35" t="inlineStr">
        <is>
          <t>B0BNBBRZFY</t>
        </is>
      </c>
      <c r="C449" s="35" t="inlineStr">
        <is>
          <t>Tablet</t>
        </is>
      </c>
      <c r="D449" s="359" t="n">
        <v>4356.41</v>
      </c>
      <c r="E449" s="359" t="n">
        <v>92568.48</v>
      </c>
      <c r="F449" s="361" t="n">
        <v>0</v>
      </c>
      <c r="G449" s="68" t="n">
        <v>31</v>
      </c>
      <c r="H449" s="68" t="n">
        <v>0</v>
      </c>
      <c r="I449" s="68" t="n">
        <v>2</v>
      </c>
      <c r="J449" s="69" t="n">
        <v>5</v>
      </c>
      <c r="K449" s="69" t="inlineStr">
        <is>
          <t>https://amazon.com/dp/B0BNBBRZFY</t>
        </is>
      </c>
      <c r="L449" s="114">
        <f>HYPERLINK(Table1311[[#This Row],[Column1]])</f>
        <v/>
      </c>
    </row>
    <row r="450" ht="17" customHeight="1" s="314">
      <c r="A450" s="35" t="inlineStr">
        <is>
          <t>Autel Scanner MaxiPRO MP900TS: 2024 8IN MP900-TS Up of MaxiSys MS906TS/ MP808S-TS/ MX900TS/ MP900BT w/ 40+ Reset, Pro ECU Coding, Full TPMS as MS906 PRO-TS, 3000+ Bidirectional, DoIP CAN-FD, FCA SGW</t>
        </is>
      </c>
      <c r="B450" s="35" t="inlineStr">
        <is>
          <t>B08LV75DXV</t>
        </is>
      </c>
      <c r="C450" s="35" t="inlineStr">
        <is>
          <t>Tablet</t>
        </is>
      </c>
      <c r="D450" s="359" t="n">
        <v>1379</v>
      </c>
      <c r="E450" s="359" t="n">
        <v>8235.5</v>
      </c>
      <c r="F450" s="361" t="n">
        <v>0</v>
      </c>
      <c r="G450" s="68" t="n">
        <v>7</v>
      </c>
      <c r="H450" s="68" t="n">
        <v>0</v>
      </c>
      <c r="I450" s="68" t="n">
        <v>61</v>
      </c>
      <c r="J450" s="69" t="n">
        <v>4.1</v>
      </c>
      <c r="K450" s="69" t="inlineStr">
        <is>
          <t>https://amazon.com/dp/B08LV75DXV</t>
        </is>
      </c>
      <c r="L450" s="114">
        <f>HYPERLINK(Table1311[[#This Row],[Column1]])</f>
        <v/>
      </c>
    </row>
    <row r="451" ht="45" customHeight="1" s="314">
      <c r="A451" s="35" t="inlineStr">
        <is>
          <t>Autel CAN FD Adapter for MY2020 GM Models, Compatible with Autel VCI Supported Autel Vehicle Communication Interface (VCI) to Communicate with Applicable Vehicles</t>
        </is>
      </c>
      <c r="B451" s="35" t="inlineStr">
        <is>
          <t>B0D2NC4J51</t>
        </is>
      </c>
      <c r="C451" s="35" t="inlineStr">
        <is>
          <t>Cable/Adapter</t>
        </is>
      </c>
      <c r="D451" s="359" t="n">
        <v>128.4</v>
      </c>
      <c r="E451" s="359" t="n">
        <v>1372.84</v>
      </c>
      <c r="F451" s="361" t="n">
        <v>0</v>
      </c>
      <c r="G451" s="68" t="n">
        <v>11</v>
      </c>
      <c r="H451" s="68" t="n">
        <v>0</v>
      </c>
      <c r="I451" s="68" t="n"/>
      <c r="J451" s="69" t="n"/>
      <c r="K451" s="69" t="inlineStr">
        <is>
          <t>https://amazon.com/dp/B0D2NC4J51</t>
        </is>
      </c>
      <c r="L451" s="114">
        <f>HYPERLINK(Table1311[[#This Row],[Column1]])</f>
        <v/>
      </c>
    </row>
    <row r="452" ht="45" customHeight="1" s="314">
      <c r="A452" s="35" t="inlineStr">
        <is>
          <t>Autel Scanner MaxiCOM MK808Z-BT (Same As MK808BT Pro) with 60$ MV108: New Upgraded of MK808BT/MK808S, Android 11 Based Bi-Directional Control Scan Tool, 28+ Services, All System Diagnostics(Original)</t>
        </is>
      </c>
      <c r="B452" s="35" t="inlineStr">
        <is>
          <t>B0BVYPY1MN</t>
        </is>
      </c>
      <c r="C452" s="35" t="inlineStr">
        <is>
          <t>Tablet</t>
        </is>
      </c>
      <c r="D452" s="359" t="n">
        <v>521.55</v>
      </c>
      <c r="E452" s="359" t="n">
        <v>1391.58</v>
      </c>
      <c r="F452" s="361" t="n">
        <v>0</v>
      </c>
      <c r="G452" s="68" t="n">
        <v>3</v>
      </c>
      <c r="H452" s="68" t="n">
        <v>0</v>
      </c>
      <c r="I452" s="68" t="n">
        <v>9</v>
      </c>
      <c r="J452" s="69" t="n">
        <v>5</v>
      </c>
      <c r="K452" s="69" t="inlineStr">
        <is>
          <t>https://amazon.com/dp/B0BVYPY1MN</t>
        </is>
      </c>
      <c r="L452" s="114">
        <f>HYPERLINK(Table1311[[#This Row],[Column1]])</f>
        <v/>
      </c>
    </row>
    <row r="453" ht="45" customHeight="1" s="314">
      <c r="A453" s="35" t="inlineStr">
        <is>
          <t>Autel S2</t>
        </is>
      </c>
      <c r="B453" s="35" t="inlineStr">
        <is>
          <t>B09JJZS2LQ</t>
        </is>
      </c>
      <c r="C453" s="35" t="inlineStr">
        <is>
          <t>Tablet</t>
        </is>
      </c>
      <c r="D453" s="359" t="n">
        <v>4495</v>
      </c>
      <c r="E453" s="359" t="n">
        <v>7238.77</v>
      </c>
      <c r="F453" s="361" t="n">
        <v>0</v>
      </c>
      <c r="G453" s="68" t="n">
        <v>2</v>
      </c>
      <c r="H453" s="68" t="n">
        <v>0</v>
      </c>
      <c r="I453" s="68" t="n">
        <v>8</v>
      </c>
      <c r="J453" s="69" t="n">
        <v>3.9</v>
      </c>
      <c r="K453" s="69" t="inlineStr">
        <is>
          <t>https://amazon.com/dp/B09JJZS2LQ</t>
        </is>
      </c>
      <c r="L453" s="114">
        <f>HYPERLINK(Table1311[[#This Row],[Column1]])</f>
        <v/>
      </c>
    </row>
    <row r="454" ht="45" customHeight="1" s="314">
      <c r="A454" s="35" t="inlineStr">
        <is>
          <t>Autel Diagnostic DIY Tools, Autel AutoLink AL329, OBD II/EOBD Handheld Code Reader W/Patented One-Click I/M Readiness Key</t>
        </is>
      </c>
      <c r="B454" s="35" t="inlineStr">
        <is>
          <t>B0CFRL8275</t>
        </is>
      </c>
      <c r="C454" s="35" t="inlineStr">
        <is>
          <t>Handheld</t>
        </is>
      </c>
      <c r="D454" s="359" t="n">
        <v>52.54</v>
      </c>
      <c r="E454" s="359" t="n">
        <v>0</v>
      </c>
      <c r="F454" s="361" t="n">
        <v>0</v>
      </c>
      <c r="G454" s="68" t="n">
        <v>0</v>
      </c>
      <c r="H454" s="68" t="n">
        <v>0</v>
      </c>
      <c r="I454" s="68" t="n">
        <v>3</v>
      </c>
      <c r="J454" s="69" t="n">
        <v>5</v>
      </c>
      <c r="K454" s="69" t="inlineStr">
        <is>
          <t>https://amazon.com/dp/B0CFRL8275</t>
        </is>
      </c>
      <c r="L454" s="114">
        <f>HYPERLINK(Table1311[[#This Row],[Column1]])</f>
        <v/>
      </c>
    </row>
    <row r="455" ht="45" customHeight="1" s="314">
      <c r="A455" s="35" t="inlineStr">
        <is>
          <t>Autel Scanner MaxiCOM MK808S-TS, TPMS Programming/Relearn Tool, 2023 New Ver. of MK808S / TS608, OBD2 Diagnostic Scan Tool with Complete TPMS Service, Bi-Directional Control, 28+ Service, FCA SGW</t>
        </is>
      </c>
      <c r="B455" s="35" t="inlineStr">
        <is>
          <t>B094VP8FLB</t>
        </is>
      </c>
      <c r="C455" s="35" t="inlineStr">
        <is>
          <t>Tablet</t>
        </is>
      </c>
      <c r="D455" s="359" t="n">
        <v>649</v>
      </c>
      <c r="E455" s="359" t="n">
        <v>2213.6</v>
      </c>
      <c r="F455" s="361" t="n">
        <v>0</v>
      </c>
      <c r="G455" s="68" t="n">
        <v>3</v>
      </c>
      <c r="H455" s="68" t="n">
        <v>0</v>
      </c>
      <c r="I455" s="68" t="n">
        <v>23</v>
      </c>
      <c r="J455" s="69" t="n">
        <v>4.4</v>
      </c>
      <c r="K455" s="69" t="inlineStr">
        <is>
          <t>https://amazon.com/dp/B094VP8FLB</t>
        </is>
      </c>
      <c r="L455" s="114">
        <f>HYPERLINK(Table1311[[#This Row],[Column1]])</f>
        <v/>
      </c>
    </row>
    <row r="456" ht="60" customHeight="1" s="314">
      <c r="A456" s="35" t="inlineStr">
        <is>
          <t>Autel MaxiTPMS TS900 + MV108(Worth $49) TPMS Programming Tool 2025 TPMS &amp; Bidirectional Diagnostic Scan Tool, Up of MS906TS MK808S-TS MK900BT MK900TS MX900TS MS906TS MK808S-TS Top TPMS Program/Relearn</t>
        </is>
      </c>
      <c r="B456" s="35" t="inlineStr">
        <is>
          <t>B0992NN7TK</t>
        </is>
      </c>
      <c r="C456" s="35" t="inlineStr">
        <is>
          <t>Tablet</t>
        </is>
      </c>
      <c r="D456" s="359" t="n">
        <v>879</v>
      </c>
      <c r="E456" s="359" t="n">
        <v>1779.53</v>
      </c>
      <c r="F456" s="361" t="n">
        <v>0</v>
      </c>
      <c r="G456" s="68" t="n">
        <v>2</v>
      </c>
      <c r="H456" s="68" t="n">
        <v>0</v>
      </c>
      <c r="I456" s="68" t="n">
        <v>25</v>
      </c>
      <c r="J456" s="69" t="n">
        <v>4.5</v>
      </c>
      <c r="K456" s="69" t="inlineStr">
        <is>
          <t>https://amazon.com/dp/B0992NN7TK</t>
        </is>
      </c>
      <c r="L456" s="114">
        <f>HYPERLINK(Table1311[[#This Row],[Column1]])</f>
        <v/>
      </c>
    </row>
    <row r="457" ht="45" customHeight="1" s="314">
      <c r="A457" s="35" t="inlineStr">
        <is>
          <t>Autel MaxiSys Ultra EV: 2026 UltraEV Intelligent Scanner Level up of MS909EV, Upgrade of MS Ultra/MS919/Elite II with EVDiag Kit, High-Voltage System &amp; Battery Analysis, MaxiFlash VCMI, Topology 2.0</t>
        </is>
      </c>
      <c r="B457" s="35" t="inlineStr">
        <is>
          <t>B0BR5K27H4</t>
        </is>
      </c>
      <c r="C457" s="35" t="inlineStr">
        <is>
          <t>Tablet</t>
        </is>
      </c>
      <c r="D457" s="359" t="n">
        <v>4995</v>
      </c>
      <c r="E457" s="359" t="n">
        <v>0</v>
      </c>
      <c r="F457" s="361" t="n">
        <v>0</v>
      </c>
      <c r="G457" s="68" t="n">
        <v>0</v>
      </c>
      <c r="H457" s="68" t="n">
        <v>0</v>
      </c>
      <c r="I457" s="68" t="n">
        <v>1</v>
      </c>
      <c r="J457" s="69" t="n">
        <v>5</v>
      </c>
      <c r="K457" s="69" t="inlineStr">
        <is>
          <t>https://amazon.com/dp/B0BR5K27H4</t>
        </is>
      </c>
      <c r="L457" s="114">
        <f>HYPERLINK(Table1311[[#This Row],[Column1]])</f>
        <v/>
      </c>
    </row>
    <row r="458" ht="17" customHeight="1" s="314">
      <c r="A458" s="35" t="inlineStr">
        <is>
          <t>Autel MaxiSys MS919 Scanner: 2025 MS919 Same as Ultra Up of MS909 Ultra Lite Elite II Pro, 5 in 1 VCMI, Motor Speed, Topology Map 2.0, J2534, All System Diagnosis, Active Test, 40 Service</t>
        </is>
      </c>
      <c r="B458" s="35" t="inlineStr">
        <is>
          <t>B071R1TND2</t>
        </is>
      </c>
      <c r="C458" s="35" t="inlineStr">
        <is>
          <t>Tablet</t>
        </is>
      </c>
      <c r="D458" s="359" t="n">
        <v>3799</v>
      </c>
      <c r="E458" s="359" t="n">
        <v>6382.28</v>
      </c>
      <c r="F458" s="361" t="n">
        <v>0</v>
      </c>
      <c r="G458" s="68" t="n">
        <v>2</v>
      </c>
      <c r="H458" s="68" t="n">
        <v>0</v>
      </c>
      <c r="I458" s="68" t="n">
        <v>3</v>
      </c>
      <c r="J458" s="69" t="n">
        <v>5</v>
      </c>
      <c r="K458" s="69" t="inlineStr">
        <is>
          <t>https://amazon.com/dp/B071R1TND2</t>
        </is>
      </c>
      <c r="L458" s="114">
        <f>HYPERLINK(Table1311[[#This Row],[Column1]])</f>
        <v/>
      </c>
    </row>
    <row r="459" ht="17" customHeight="1" s="314">
      <c r="A459" s="35" t="inlineStr">
        <is>
          <t>Autel Original BMW-20 Pin Diagnostic Adapter, 20 Pin OBD1 Male to 16 Pin OBD2 Female Connector for BMW 20 Pin, Work with OBD II Scanners OBD2 Diagnostic Tool</t>
        </is>
      </c>
      <c r="B459" s="35" t="inlineStr">
        <is>
          <t>B0D632NLSM</t>
        </is>
      </c>
      <c r="C459" s="35" t="inlineStr">
        <is>
          <t>Cable/Adapter</t>
        </is>
      </c>
      <c r="D459" s="359" t="n">
        <v>19.61133333333333</v>
      </c>
      <c r="E459" s="359" t="n">
        <v>5728.03</v>
      </c>
      <c r="F459" s="361" t="n">
        <v>0</v>
      </c>
      <c r="G459" s="68" t="n">
        <v>286</v>
      </c>
      <c r="H459" s="68" t="n">
        <v>0</v>
      </c>
      <c r="I459" s="68" t="n">
        <v>21</v>
      </c>
      <c r="J459" s="69" t="n">
        <v>4.9</v>
      </c>
      <c r="K459" s="69" t="inlineStr">
        <is>
          <t>https://amazon.com/dp/B0D632NLSM</t>
        </is>
      </c>
      <c r="L459" s="114">
        <f>HYPERLINK(Table1311[[#This Row],[Column1]])</f>
        <v/>
      </c>
    </row>
    <row r="460" ht="45" customHeight="1" s="314">
      <c r="A460" s="35" t="inlineStr">
        <is>
          <t>Autel Scanner MaxiiM KM100E OBD2 Diagnostic Tool, 2026 KM100 OBDII Scan Tool with Lifetime Fre.e Update, OBD-Learn on 95% Car for Home Mechanics &amp; DIY Vehicle Service, Lite Ver.of IM508S IM608 PRO II</t>
        </is>
      </c>
      <c r="B460" s="35" t="inlineStr">
        <is>
          <t>B09DGPBJNT</t>
        </is>
      </c>
      <c r="C460" s="35" t="inlineStr">
        <is>
          <t>Tablet</t>
        </is>
      </c>
      <c r="D460" s="359" t="n">
        <v>524.0421052631579</v>
      </c>
      <c r="E460" s="359" t="n">
        <v>15025.07</v>
      </c>
      <c r="F460" s="361" t="n">
        <v>0</v>
      </c>
      <c r="G460" s="68" t="n">
        <v>29</v>
      </c>
      <c r="H460" s="68" t="n">
        <v>0</v>
      </c>
      <c r="I460" s="68" t="n">
        <v>30</v>
      </c>
      <c r="J460" s="69" t="n">
        <v>4.4</v>
      </c>
      <c r="K460" s="69" t="inlineStr">
        <is>
          <t>https://amazon.com/dp/B09DGPBJNT</t>
        </is>
      </c>
      <c r="L460" s="114">
        <f>HYPERLINK(Table1311[[#This Row],[Column1]])</f>
        <v/>
      </c>
    </row>
    <row r="461" ht="30" customHeight="1" s="314">
      <c r="A461" s="35" t="inlineStr">
        <is>
          <t>Autel - Maxisys Ultra Diagnostic Tablet with Advanced Vcmi (MSULTRA)</t>
        </is>
      </c>
      <c r="B461" s="35" t="inlineStr">
        <is>
          <t>B09WW69LMX</t>
        </is>
      </c>
      <c r="C461" s="35" t="inlineStr">
        <is>
          <t>Tablet</t>
        </is>
      </c>
      <c r="D461" s="359" t="n">
        <v>5125</v>
      </c>
      <c r="E461" s="359" t="n">
        <v>65780.75</v>
      </c>
      <c r="F461" s="361" t="n">
        <v>0</v>
      </c>
      <c r="G461" s="68" t="n">
        <v>16</v>
      </c>
      <c r="H461" s="68" t="n">
        <v>0</v>
      </c>
      <c r="I461" s="68" t="n"/>
      <c r="J461" s="69" t="n"/>
      <c r="K461" s="69" t="inlineStr">
        <is>
          <t>https://amazon.com/dp/B09WW69LMX</t>
        </is>
      </c>
      <c r="L461" s="114">
        <f>HYPERLINK(Table1311[[#This Row],[Column1]])</f>
        <v/>
      </c>
    </row>
    <row r="462" ht="17" customHeight="1" s="314">
      <c r="A462" s="35" t="inlineStr">
        <is>
          <t>2026 Autel Scanner MaxiIM KM100(X), Lifetime Fre.e Update, OBD-Learn for 95% Car, Wireless OBD2 Diagnostic Scan Tool, Lite of IM508S IM608 PRO 2, 2GB &amp; 64GB Android 9.0, for Home Mechanics &amp; DIYers</t>
        </is>
      </c>
      <c r="B462" s="35" t="inlineStr">
        <is>
          <t>B01N59FST0</t>
        </is>
      </c>
      <c r="C462" s="35" t="inlineStr">
        <is>
          <t>Tablet</t>
        </is>
      </c>
      <c r="D462" s="359" t="n">
        <v>534.2557692307693</v>
      </c>
      <c r="E462" s="359" t="n">
        <v>34559.61</v>
      </c>
      <c r="F462" s="361" t="n">
        <v>0</v>
      </c>
      <c r="G462" s="68" t="n">
        <v>65</v>
      </c>
      <c r="H462" s="68" t="n">
        <v>0</v>
      </c>
      <c r="I462" s="68" t="n">
        <v>83</v>
      </c>
      <c r="J462" s="69" t="n">
        <v>4.6</v>
      </c>
      <c r="K462" s="69" t="inlineStr">
        <is>
          <t>https://amazon.com/dp/B01N59FST0</t>
        </is>
      </c>
      <c r="L462" s="114">
        <f>HYPERLINK(Table1311[[#This Row],[Column1]])</f>
        <v/>
      </c>
    </row>
    <row r="463" ht="45" customHeight="1" s="314">
      <c r="A463" s="35" t="inlineStr">
        <is>
          <t>Autel TS6081YRUPDATE MaxiSYS TS608 1 Year Total Care Program Card</t>
        </is>
      </c>
      <c r="B463" s="35" t="inlineStr">
        <is>
          <t>B07JKD7S96</t>
        </is>
      </c>
      <c r="C463" s="35" t="inlineStr">
        <is>
          <t>Other</t>
        </is>
      </c>
      <c r="D463" s="359" t="n">
        <v>255</v>
      </c>
      <c r="E463" s="359" t="n">
        <v>0</v>
      </c>
      <c r="F463" s="361" t="n">
        <v>0</v>
      </c>
      <c r="G463" s="68" t="n">
        <v>0</v>
      </c>
      <c r="H463" s="68" t="n">
        <v>0</v>
      </c>
      <c r="I463" s="68" t="n"/>
      <c r="J463" s="69" t="n"/>
      <c r="K463" s="69" t="inlineStr">
        <is>
          <t>https://amazon.com/dp/B07JKD7S96</t>
        </is>
      </c>
      <c r="L463" s="114">
        <f>HYPERLINK(Table1311[[#This Row],[Column1]])</f>
        <v/>
      </c>
    </row>
    <row r="464" ht="45" customHeight="1" s="314">
      <c r="A464" s="35" t="inlineStr">
        <is>
          <t>MaxiIM IM608PROIIKPA Key Programming Tablet Bundle</t>
        </is>
      </c>
      <c r="B464" s="35" t="inlineStr">
        <is>
          <t>B0C6CSB7SJ</t>
        </is>
      </c>
      <c r="C464" s="35" t="inlineStr">
        <is>
          <t>Key</t>
        </is>
      </c>
      <c r="D464" s="359" t="n">
        <v>4184.64</v>
      </c>
      <c r="E464" s="359" t="n">
        <v>0</v>
      </c>
      <c r="F464" s="361" t="n">
        <v>0</v>
      </c>
      <c r="G464" s="68" t="n">
        <v>0</v>
      </c>
      <c r="H464" s="68" t="n">
        <v>0</v>
      </c>
      <c r="I464" s="68" t="n"/>
      <c r="J464" s="69" t="n"/>
      <c r="K464" s="69" t="inlineStr">
        <is>
          <t>https://amazon.com/dp/B0C6CSB7SJ</t>
        </is>
      </c>
      <c r="L464" s="114">
        <f>HYPERLINK(Table1311[[#This Row],[Column1]])</f>
        <v/>
      </c>
    </row>
    <row r="465" ht="17" customHeight="1" s="314">
      <c r="A465" s="35" t="inlineStr">
        <is>
          <t>Autel AL609P Pro Service Tool, 1 Pack</t>
        </is>
      </c>
      <c r="B465" s="35" t="inlineStr">
        <is>
          <t>B075LFYTYQ</t>
        </is>
      </c>
      <c r="C465" s="35" t="inlineStr">
        <is>
          <t>Handheld</t>
        </is>
      </c>
      <c r="D465" s="359" t="n">
        <v>129.94</v>
      </c>
      <c r="E465" s="359" t="n">
        <v>163.11</v>
      </c>
      <c r="F465" s="361" t="n">
        <v>0</v>
      </c>
      <c r="G465" s="68" t="n">
        <v>1</v>
      </c>
      <c r="H465" s="68" t="n">
        <v>0</v>
      </c>
      <c r="I465" s="68" t="n">
        <v>8</v>
      </c>
      <c r="J465" s="69" t="n">
        <v>3.2</v>
      </c>
      <c r="K465" s="69" t="inlineStr">
        <is>
          <t>https://amazon.com/dp/B075LFYTYQ</t>
        </is>
      </c>
      <c r="L465" s="114">
        <f>HYPERLINK(Table1311[[#This Row],[Column1]])</f>
        <v/>
      </c>
    </row>
    <row r="466" ht="45" customHeight="1" s="314">
      <c r="A466" s="35" t="inlineStr">
        <is>
          <t>Autel MaxiTPMS TS900 Kit(4PCS MX Sensors Valued $120) TPMS Programming Tool Scanner All System Diagnosis Full TPMS 40+Services CAN FD/DoIP Compatible 315/433/434MHz Autel Sensors</t>
        </is>
      </c>
      <c r="B466" s="35" t="inlineStr">
        <is>
          <t>B0CP25139M</t>
        </is>
      </c>
      <c r="C466" s="35" t="inlineStr">
        <is>
          <t>Tablet</t>
        </is>
      </c>
      <c r="D466" s="359" t="n">
        <v>920</v>
      </c>
      <c r="E466" s="359" t="n">
        <v>0</v>
      </c>
      <c r="F466" s="361" t="n">
        <v>0</v>
      </c>
      <c r="G466" s="68" t="n">
        <v>0</v>
      </c>
      <c r="H466" s="68" t="n">
        <v>0</v>
      </c>
      <c r="I466" s="68" t="n">
        <v>3</v>
      </c>
      <c r="J466" s="69" t="n">
        <v>5</v>
      </c>
      <c r="K466" s="69" t="inlineStr">
        <is>
          <t>https://amazon.com/dp/B0CP25139M</t>
        </is>
      </c>
      <c r="L466" s="114">
        <f>HYPERLINK(Table1311[[#This Row],[Column1]])</f>
        <v/>
      </c>
    </row>
    <row r="467" ht="17" customHeight="1" s="314">
      <c r="A467" s="35" t="inlineStr">
        <is>
          <t>Autel MaxiIM KM100E Programmer Diagnostic Programming Tool Free Lifetime Update Lite of IM508S IM608 PRO II Built in APB112 OBD Learning On 95% Car Auto VIN &amp; Scan VIN/License WiFi Connection</t>
        </is>
      </c>
      <c r="B467" s="35" t="inlineStr">
        <is>
          <t>B0F74NKX46</t>
        </is>
      </c>
      <c r="C467" s="35" t="inlineStr">
        <is>
          <t>Tablet</t>
        </is>
      </c>
      <c r="D467" s="359" t="n">
        <v>533.511797752809</v>
      </c>
      <c r="E467" s="359" t="n">
        <v>93598.24000000001</v>
      </c>
      <c r="F467" s="361" t="n">
        <v>0</v>
      </c>
      <c r="G467" s="68" t="n">
        <v>174</v>
      </c>
      <c r="H467" s="68" t="n">
        <v>0</v>
      </c>
      <c r="I467" s="68" t="n">
        <v>9</v>
      </c>
      <c r="J467" s="69" t="n">
        <v>4.7</v>
      </c>
      <c r="K467" s="69" t="inlineStr">
        <is>
          <t>https://amazon.com/dp/B0F74NKX46</t>
        </is>
      </c>
      <c r="L467" s="114">
        <f>HYPERLINK(Table1311[[#This Row],[Column1]])</f>
        <v/>
      </c>
    </row>
    <row r="468" ht="45" customHeight="1" s="314">
      <c r="A468" s="35" t="inlineStr">
        <is>
          <t>Autel 20 Pin to 16 Pin OBD2 Cable for BMW, OBD1 to OBD2 Diagnostic Adapter Extension Convert Connector, OE-Quality, Work w/OBDII Scanners</t>
        </is>
      </c>
      <c r="B468" s="35" t="inlineStr">
        <is>
          <t>B0DBZLD6SZ</t>
        </is>
      </c>
      <c r="C468" s="35" t="inlineStr">
        <is>
          <t>Cable/Adapter</t>
        </is>
      </c>
      <c r="D468" s="359" t="n">
        <v>20.07581395348837</v>
      </c>
      <c r="E468" s="359" t="n">
        <v>16781.03</v>
      </c>
      <c r="F468" s="361" t="n">
        <v>0</v>
      </c>
      <c r="G468" s="68" t="n">
        <v>840</v>
      </c>
      <c r="H468" s="68" t="n">
        <v>0</v>
      </c>
      <c r="I468" s="68" t="n">
        <v>31</v>
      </c>
      <c r="J468" s="69" t="n">
        <v>4.4</v>
      </c>
      <c r="K468" s="69" t="inlineStr">
        <is>
          <t>https://amazon.com/dp/B0DBZLD6SZ</t>
        </is>
      </c>
      <c r="L468" s="114">
        <f>HYPERLINK(Table1311[[#This Row],[Column1]])</f>
        <v/>
      </c>
    </row>
    <row r="469" ht="60" customHeight="1" s="314">
      <c r="A469" s="35" t="inlineStr">
        <is>
          <t>Autel MaxiSYS VCI100 Compact Bluetooth, Maxivci V100 Wireless Diagnostic Interface, Vehicle Communication Interface, OBD2 Connector Adapter Dongle, Compatible for MS906BT MK906BT</t>
        </is>
      </c>
      <c r="B469" s="35" t="inlineStr">
        <is>
          <t>B09D3SHFKS</t>
        </is>
      </c>
      <c r="C469" s="35" t="inlineStr">
        <is>
          <t>Dongle</t>
        </is>
      </c>
      <c r="D469" s="359" t="n">
        <v>202.8508695652174</v>
      </c>
      <c r="E469" s="359" t="n">
        <v>53741.56</v>
      </c>
      <c r="F469" s="361" t="n">
        <v>0</v>
      </c>
      <c r="G469" s="68" t="n">
        <v>275</v>
      </c>
      <c r="H469" s="68" t="n">
        <v>0</v>
      </c>
      <c r="I469" s="68" t="n">
        <v>55</v>
      </c>
      <c r="J469" s="69" t="n">
        <v>4.6</v>
      </c>
      <c r="K469" s="69" t="inlineStr">
        <is>
          <t>https://amazon.com/dp/B09D3SHFKS</t>
        </is>
      </c>
      <c r="L469" s="114">
        <f>HYPERLINK(Table1311[[#This Row],[Column1]])</f>
        <v/>
      </c>
    </row>
    <row r="470" ht="17" customHeight="1" s="314">
      <c r="A470" s="35" t="inlineStr">
        <is>
          <t>Autel Maxi-IM KM100(E) Diagnostic Scan Tool, 2026 OBDII Scanner for 90% Vehicles, Lifetime Fre.e Update, 10X Faster Hardware Android 9.0 for Home Mechanics &amp; DIYers</t>
        </is>
      </c>
      <c r="B470" s="35" t="inlineStr">
        <is>
          <t>B0F7M7XGJF</t>
        </is>
      </c>
      <c r="C470" s="35" t="inlineStr">
        <is>
          <t>Handheld</t>
        </is>
      </c>
      <c r="D470" s="359" t="n">
        <v>511.8345454545455</v>
      </c>
      <c r="E470" s="359" t="n">
        <v>54773.57</v>
      </c>
      <c r="F470" s="361" t="n">
        <v>0</v>
      </c>
      <c r="G470" s="68" t="n">
        <v>104</v>
      </c>
      <c r="H470" s="68" t="n">
        <v>0</v>
      </c>
      <c r="I470" s="68" t="n">
        <v>12</v>
      </c>
      <c r="J470" s="69" t="n">
        <v>4.4</v>
      </c>
      <c r="K470" s="69" t="inlineStr">
        <is>
          <t>https://amazon.com/dp/B0F7M7XGJF</t>
        </is>
      </c>
      <c r="L470" s="114">
        <f>HYPERLINK(Table1311[[#This Row],[Column1]])</f>
        <v/>
      </c>
    </row>
    <row r="471" ht="45" customHeight="1" s="314">
      <c r="A471" s="35" t="inlineStr">
        <is>
          <t>Autel OBD2 Scanner MaxiScan MS309 Car Check Engine Code Reader, Check Emission Monitor Status, Newer CAN Diagnostic Scan Tool for All OBD II Protocol Vehicles After 1996</t>
        </is>
      </c>
      <c r="B471" s="35" t="inlineStr">
        <is>
          <t>B07VDKGK4T</t>
        </is>
      </c>
      <c r="C471" s="35" t="inlineStr">
        <is>
          <t>Handheld</t>
        </is>
      </c>
      <c r="D471" s="359" t="n">
        <v>23.0515</v>
      </c>
      <c r="E471" s="359" t="n">
        <v>6464.540000000001</v>
      </c>
      <c r="F471" s="361" t="n">
        <v>0</v>
      </c>
      <c r="G471" s="68" t="n">
        <v>283</v>
      </c>
      <c r="H471" s="68" t="n">
        <v>0</v>
      </c>
      <c r="I471" s="68" t="n">
        <v>713</v>
      </c>
      <c r="J471" s="69" t="n">
        <v>4.6</v>
      </c>
      <c r="K471" s="69" t="inlineStr">
        <is>
          <t>https://amazon.com/dp/B07VDKGK4T</t>
        </is>
      </c>
      <c r="L471" s="114">
        <f>HYPERLINK(Table1311[[#This Row],[Column1]])</f>
        <v/>
      </c>
    </row>
    <row r="472" ht="45" customHeight="1" s="314">
      <c r="A472" s="35" t="inlineStr">
        <is>
          <t>Autel MaxiScan MS300 Car OBD2 Scanner Code Reader Engine Fault Code Reader Scanner CAN Diagnostic Scan Tool for All OBD II Protocol Cars Since 1996, Red</t>
        </is>
      </c>
      <c r="B472" s="35" t="inlineStr">
        <is>
          <t>B01LTI9EZ8</t>
        </is>
      </c>
      <c r="C472" s="35" t="inlineStr">
        <is>
          <t>Handheld</t>
        </is>
      </c>
      <c r="D472" s="359" t="n">
        <v>20.42333333333333</v>
      </c>
      <c r="E472" s="359" t="n">
        <v>3195.63</v>
      </c>
      <c r="F472" s="361" t="n">
        <v>0</v>
      </c>
      <c r="G472" s="68" t="n">
        <v>159</v>
      </c>
      <c r="H472" s="68" t="n">
        <v>0</v>
      </c>
      <c r="I472" s="68" t="n">
        <v>246</v>
      </c>
      <c r="J472" s="69" t="n">
        <v>4.3</v>
      </c>
      <c r="K472" s="69" t="inlineStr">
        <is>
          <t>https://amazon.com/dp/B01LTI9EZ8</t>
        </is>
      </c>
      <c r="L472" s="114">
        <f>HYPERLINK(Table1311[[#This Row],[Column1]])</f>
        <v/>
      </c>
    </row>
    <row r="473" ht="30" customHeight="1" s="314">
      <c r="A473" s="35" t="inlineStr">
        <is>
          <t>Autel Scanner MaxiIM KM100 OBD2 Diagnostic Scan Tool, Lifetime Free Update 2026 OBD Learning for 95% Vehicles Covered, 10+ Service, 2+64G, 10X Fast Hardware, No IP Limit</t>
        </is>
      </c>
      <c r="B473" s="35" t="inlineStr">
        <is>
          <t>B0FXDM2MHW</t>
        </is>
      </c>
      <c r="C473" s="35" t="inlineStr">
        <is>
          <t>Tablet</t>
        </is>
      </c>
      <c r="D473" s="359" t="n">
        <v>544.7123076923077</v>
      </c>
      <c r="E473" s="359" t="n">
        <v>14518.85</v>
      </c>
      <c r="F473" s="361" t="n">
        <v>0</v>
      </c>
      <c r="G473" s="68" t="n">
        <v>27</v>
      </c>
      <c r="H473" s="68" t="n">
        <v>0</v>
      </c>
      <c r="I473" s="68" t="n">
        <v>5</v>
      </c>
      <c r="J473" s="69" t="n">
        <v>5</v>
      </c>
      <c r="K473" s="69" t="inlineStr">
        <is>
          <t>https://amazon.com/dp/B0FXDM2MHW</t>
        </is>
      </c>
      <c r="L473" s="114">
        <f>HYPERLINK(Table1311[[#This Row],[Column1]])</f>
        <v/>
      </c>
    </row>
    <row r="474" ht="17" customHeight="1" s="314">
      <c r="A474" s="35" t="inlineStr">
        <is>
          <t>Autel Scanner MaxiiM KM100 OBD2 Diagnostic Tool, 2026 KM100E OBDII Scan Tool with Lifetime Free Updates, OBD-Learn on 95% Car, 2GB &amp; 64GB Android 9.0, for Home Mechanics &amp; DIYers</t>
        </is>
      </c>
      <c r="B474" s="35" t="inlineStr">
        <is>
          <t>B0FX9QY4JQ</t>
        </is>
      </c>
      <c r="C474" s="35" t="inlineStr">
        <is>
          <t>Tablet</t>
        </is>
      </c>
      <c r="D474" s="359" t="n">
        <v>516.24</v>
      </c>
      <c r="E474" s="359" t="n">
        <v>11964.59</v>
      </c>
      <c r="F474" s="361" t="n">
        <v>0</v>
      </c>
      <c r="G474" s="68" t="n">
        <v>23</v>
      </c>
      <c r="H474" s="68" t="n">
        <v>0</v>
      </c>
      <c r="I474" s="68" t="n">
        <v>3</v>
      </c>
      <c r="J474" s="69" t="n">
        <v>5</v>
      </c>
      <c r="K474" s="69" t="inlineStr">
        <is>
          <t>https://amazon.com/dp/B0FX9QY4JQ</t>
        </is>
      </c>
      <c r="L474" s="114">
        <f>HYPERLINK(Table1311[[#This Row],[Column1]])</f>
        <v/>
      </c>
    </row>
    <row r="475" ht="17" customHeight="1" s="314">
      <c r="A475" s="35" t="inlineStr">
        <is>
          <t>Autel AutoLink AL329 OBD2 Scanner, Upgrade of AL319 &amp; MS309 Code Reader, OBDII Reader with Auto VIN, Live Data, DTC Lookup, Emission Monitor Test, I/M Readiness Smog Check CAN Diagnostic Scan Tool</t>
        </is>
      </c>
      <c r="B475" s="35" t="inlineStr">
        <is>
          <t>B0C3BZSPT9</t>
        </is>
      </c>
      <c r="C475" s="35" t="inlineStr">
        <is>
          <t>Handheld</t>
        </is>
      </c>
      <c r="D475" s="359" t="n">
        <v>48.95692307692308</v>
      </c>
      <c r="E475" s="359" t="n">
        <v>17426.06</v>
      </c>
      <c r="F475" s="361" t="n">
        <v>0</v>
      </c>
      <c r="G475" s="68" t="n">
        <v>394</v>
      </c>
      <c r="H475" s="68" t="n">
        <v>0</v>
      </c>
      <c r="I475" s="68" t="n">
        <v>321</v>
      </c>
      <c r="J475" s="69" t="n">
        <v>4.5</v>
      </c>
      <c r="K475" s="69" t="inlineStr">
        <is>
          <t>https://amazon.com/dp/B0C3BZSPT9</t>
        </is>
      </c>
      <c r="L475" s="114">
        <f>HYPERLINK(Table1311[[#This Row],[Column1]])</f>
        <v/>
      </c>
    </row>
    <row r="476" ht="60" customHeight="1" s="314">
      <c r="A476" s="35" t="inlineStr">
        <is>
          <t>Autel OBD2 12+8 Adapter for Chrysler: OBD II Bypa3s FCA SGW Cable for 2018+ Chrysler, Dodge, Je*p, Fiat, or Alfa R0meo SGW Cars, Work w/All Scanners MK808S MK900BT MX900 MS906 Pro Elite II Pro KM100</t>
        </is>
      </c>
      <c r="B476" s="35" t="inlineStr">
        <is>
          <t>B0FQPHDQSH</t>
        </is>
      </c>
      <c r="C476" s="35" t="inlineStr">
        <is>
          <t>Cable/Adapter</t>
        </is>
      </c>
      <c r="D476" s="359" t="n">
        <v>26.170625</v>
      </c>
      <c r="E476" s="359" t="n">
        <v>1385.7</v>
      </c>
      <c r="F476" s="361" t="n">
        <v>0</v>
      </c>
      <c r="G476" s="68" t="n">
        <v>53</v>
      </c>
      <c r="H476" s="68" t="n">
        <v>0</v>
      </c>
      <c r="I476" s="68" t="n">
        <v>12</v>
      </c>
      <c r="J476" s="69" t="n">
        <v>4.5</v>
      </c>
      <c r="K476" s="69" t="inlineStr">
        <is>
          <t>https://amazon.com/dp/B0FQPHDQSH</t>
        </is>
      </c>
      <c r="L476" s="114">
        <f>HYPERLINK(Table1311[[#This Row],[Column1]])</f>
        <v/>
      </c>
    </row>
    <row r="477" ht="30" customHeight="1" s="314">
      <c r="A477" s="35" t="inlineStr">
        <is>
          <t>Autel MaxiCheck MX900 with MV108 Bidirectional OBD2 Scanner Updated of MK900 MK808 MK808S MK808BT Android 11, 40+ Service Functions 8 inch All System Diagnostics Scan Tool</t>
        </is>
      </c>
      <c r="B477" s="35" t="inlineStr">
        <is>
          <t>B0CZ314PLQ</t>
        </is>
      </c>
      <c r="C477" s="35" t="inlineStr">
        <is>
          <t>Tablet</t>
        </is>
      </c>
      <c r="D477" s="359" t="n">
        <v>589</v>
      </c>
      <c r="E477" s="359" t="n">
        <v>4613.81</v>
      </c>
      <c r="F477" s="361" t="n">
        <v>0</v>
      </c>
      <c r="G477" s="68" t="n">
        <v>8</v>
      </c>
      <c r="H477" s="68" t="n">
        <v>0</v>
      </c>
      <c r="I477" s="68" t="n">
        <v>4</v>
      </c>
      <c r="J477" s="69" t="n">
        <v>5</v>
      </c>
      <c r="K477" s="69" t="inlineStr">
        <is>
          <t>https://amazon.com/dp/B0CZ314PLQ</t>
        </is>
      </c>
      <c r="L477" s="114">
        <f>HYPERLINK(Table1311[[#This Row],[Column1]])</f>
        <v/>
      </c>
    </row>
    <row r="478" ht="45" customHeight="1" s="314">
      <c r="A478" s="35" t="inlineStr">
        <is>
          <t>Autel Maxi-IM KM100(E) Diagnostic Tool, 2026 Car Scanner lite Ver.of IM508S IM608 PRO 2, Lifetime Free Updates,V200 Wireless BT Connection, 10X Faster Hardware, for Home Mechanics &amp; DIYers</t>
        </is>
      </c>
      <c r="B478" s="35" t="inlineStr">
        <is>
          <t>B0FMK83KGN</t>
        </is>
      </c>
      <c r="C478" s="35" t="inlineStr">
        <is>
          <t>Dongle</t>
        </is>
      </c>
      <c r="D478" s="359" t="n">
        <v>533.9461290322581</v>
      </c>
      <c r="E478" s="359" t="n">
        <v>51146.79</v>
      </c>
      <c r="F478" s="361" t="n">
        <v>0</v>
      </c>
      <c r="G478" s="68" t="n">
        <v>95</v>
      </c>
      <c r="H478" s="68" t="n">
        <v>0</v>
      </c>
      <c r="I478" s="68" t="n">
        <v>10</v>
      </c>
      <c r="J478" s="69" t="n">
        <v>4.4</v>
      </c>
      <c r="K478" s="69" t="inlineStr">
        <is>
          <t>https://amazon.com/dp/B0FMK83KGN</t>
        </is>
      </c>
      <c r="L478" s="114">
        <f>HYPERLINK(Table1311[[#This Row],[Column1]])</f>
        <v/>
      </c>
    </row>
    <row r="479" ht="60" customHeight="1" s="314">
      <c r="A479" s="35" t="inlineStr">
        <is>
          <t>2026 Autel MaxiDiag MD909 PRO OBD2 Scanner, MD909PRO Full Systems OBDII Diagnostic Tool, Wireless CAN FD Up of MaxiCOM MK808S MK808 MX808S, V2.0 of MD906PRO, 11 Services, Lifetime Free Updates, FCA</t>
        </is>
      </c>
      <c r="B479" s="35" t="inlineStr">
        <is>
          <t>B0FMRMXB7F</t>
        </is>
      </c>
      <c r="C479" s="35" t="inlineStr">
        <is>
          <t>Tablet</t>
        </is>
      </c>
      <c r="D479" s="359" t="n">
        <v>326.485</v>
      </c>
      <c r="E479" s="359" t="n">
        <v>14828.12</v>
      </c>
      <c r="F479" s="361" t="n">
        <v>0</v>
      </c>
      <c r="G479" s="68" t="n">
        <v>45</v>
      </c>
      <c r="H479" s="68" t="n">
        <v>0</v>
      </c>
      <c r="I479" s="68" t="n">
        <v>3</v>
      </c>
      <c r="J479" s="69" t="n">
        <v>3.8</v>
      </c>
      <c r="K479" s="69" t="inlineStr">
        <is>
          <t>https://amazon.com/dp/B0FMRMXB7F</t>
        </is>
      </c>
      <c r="L479" s="114">
        <f>HYPERLINK(Table1311[[#This Row],[Column1]])</f>
        <v/>
      </c>
    </row>
    <row r="480" ht="60" customHeight="1" s="314">
      <c r="A480" s="35" t="inlineStr">
        <is>
          <t>Autel Original OBD2 Diagnostic Adapter Compatible with BMW Motorcycles Year 1996 to 2016, 10Pin Connector to 16 Pin OBD II Female Cable, Work with Scan Tool and Code Reader</t>
        </is>
      </c>
      <c r="B480" s="35" t="inlineStr">
        <is>
          <t>B0DC6526D8</t>
        </is>
      </c>
      <c r="C480" s="35" t="inlineStr">
        <is>
          <t>Cable/Adapter</t>
        </is>
      </c>
      <c r="D480" s="359" t="n">
        <v>20.14473684210526</v>
      </c>
      <c r="E480" s="359" t="n">
        <v>4733.320000000001</v>
      </c>
      <c r="F480" s="361" t="n">
        <v>0</v>
      </c>
      <c r="G480" s="68" t="n">
        <v>236</v>
      </c>
      <c r="H480" s="68" t="n">
        <v>0</v>
      </c>
      <c r="I480" s="68" t="n">
        <v>19</v>
      </c>
      <c r="J480" s="69" t="n">
        <v>4.7</v>
      </c>
      <c r="K480" s="69" t="inlineStr">
        <is>
          <t>https://amazon.com/dp/B0DC6526D8</t>
        </is>
      </c>
      <c r="L480" s="114">
        <f>HYPERLINK(Table1311[[#This Row],[Column1]])</f>
        <v/>
      </c>
    </row>
    <row r="481" ht="45" customHeight="1" s="314">
      <c r="A481" s="35" t="inlineStr">
        <is>
          <t>Autel MaxiVCI V200 VCI200 Wireless OBD2 Connector Adapter, VCI 200 OBD2 Diagnostic Dongle, Work w/MaxiSys Scanner MS906 PRO MS906MAX MS906 PRO-TS KM100 BT608 BT609 ITS600 MK906 PRO TS</t>
        </is>
      </c>
      <c r="B481" s="35" t="inlineStr">
        <is>
          <t>B0FHLVKQ7J</t>
        </is>
      </c>
      <c r="C481" s="35" t="inlineStr">
        <is>
          <t>Dongle</t>
        </is>
      </c>
      <c r="D481" s="359" t="n">
        <v>231.245</v>
      </c>
      <c r="E481" s="359" t="n">
        <v>9377.84</v>
      </c>
      <c r="F481" s="361" t="n">
        <v>0</v>
      </c>
      <c r="G481" s="68" t="n">
        <v>42</v>
      </c>
      <c r="H481" s="68" t="n">
        <v>0</v>
      </c>
      <c r="I481" s="68" t="n">
        <v>8</v>
      </c>
      <c r="J481" s="69" t="n">
        <v>4.8</v>
      </c>
      <c r="K481" s="69" t="inlineStr">
        <is>
          <t>https://amazon.com/dp/B0FHLVKQ7J</t>
        </is>
      </c>
      <c r="L481" s="114">
        <f>HYPERLINK(Table1311[[#This Row],[Column1]])</f>
        <v/>
      </c>
    </row>
    <row r="482" ht="45" customHeight="1" s="314">
      <c r="A482" s="35" t="inlineStr">
        <is>
          <t>Autel MaxiCOM MK906 PRO 2026 Scanner, Same as MS906PRO Diagnostic Scan Tool, Upgade of MS906BT / MP900-BT, 3000+ Test, 40+ Services, FCA AutoAuth, AutoVIN, Guided Functions</t>
        </is>
      </c>
      <c r="B482" s="35" t="inlineStr">
        <is>
          <t>B09M48KH2B</t>
        </is>
      </c>
      <c r="C482" s="35" t="inlineStr">
        <is>
          <t>Tablet</t>
        </is>
      </c>
      <c r="D482" s="359" t="n">
        <v>1369</v>
      </c>
      <c r="E482" s="359" t="n">
        <v>7253.49</v>
      </c>
      <c r="F482" s="361" t="n">
        <v>0</v>
      </c>
      <c r="G482" s="68" t="n">
        <v>7</v>
      </c>
      <c r="H482" s="68" t="n">
        <v>0</v>
      </c>
      <c r="I482" s="68" t="n">
        <v>15</v>
      </c>
      <c r="J482" s="69" t="n">
        <v>4.5</v>
      </c>
      <c r="K482" s="69" t="inlineStr">
        <is>
          <t>https://amazon.com/dp/B09M48KH2B</t>
        </is>
      </c>
      <c r="L482" s="114">
        <f>HYPERLINK(Table1311[[#This Row],[Column1]])</f>
        <v/>
      </c>
    </row>
    <row r="483" ht="45" customHeight="1" s="314">
      <c r="A483" s="35" t="inlineStr">
        <is>
          <t>Autel Scanner MaxiSYS Ultra S2, 2026 UltraS2 AI Intelligent Scan Tool Up of MS919 S2 MS909S2 Ultra EV MSUltra, 6IN1 VCMI2, Topology 3.0 PID Analysis Multi-Point DVI, Motor TruSpeed EV Test 48 Reset</t>
        </is>
      </c>
      <c r="B483" s="35" t="inlineStr">
        <is>
          <t>B0F37T6R92</t>
        </is>
      </c>
      <c r="C483" s="35" t="inlineStr">
        <is>
          <t>Tablet</t>
        </is>
      </c>
      <c r="D483" s="359" t="n">
        <v>5681</v>
      </c>
      <c r="E483" s="359" t="n">
        <v>170632.22</v>
      </c>
      <c r="F483" s="361" t="n">
        <v>0</v>
      </c>
      <c r="G483" s="68" t="n">
        <v>29</v>
      </c>
      <c r="H483" s="68" t="n">
        <v>0</v>
      </c>
      <c r="I483" s="68" t="n">
        <v>2</v>
      </c>
      <c r="J483" s="69" t="n">
        <v>5</v>
      </c>
      <c r="K483" s="69" t="inlineStr">
        <is>
          <t>https://amazon.com/dp/B0F37T6R92</t>
        </is>
      </c>
      <c r="L483" s="114">
        <f>HYPERLINK(Table1311[[#This Row],[Column1]])</f>
        <v/>
      </c>
    </row>
    <row r="484" ht="60" customHeight="1" s="314">
      <c r="A484" s="35" t="inlineStr">
        <is>
          <t>Autel MaxiTPMS TS508WFK-4 TS508WF with 4pcs MX Sensor + 4pcs Metal Valves Upgrade of TS508K TS508 Read Activate Relearn All Known Sensors Detect &amp; Display TPMS System Faults Perform OBDII Relearns</t>
        </is>
      </c>
      <c r="B484" s="35" t="inlineStr">
        <is>
          <t>B0DB188CHQ</t>
        </is>
      </c>
      <c r="C484" s="35" t="inlineStr">
        <is>
          <t>Handheld</t>
        </is>
      </c>
      <c r="D484" s="359" t="n">
        <v>348</v>
      </c>
      <c r="E484" s="359" t="n">
        <v>164.06</v>
      </c>
      <c r="F484" s="361" t="n">
        <v>0</v>
      </c>
      <c r="G484" s="68" t="n">
        <v>1</v>
      </c>
      <c r="H484" s="68" t="n">
        <v>0</v>
      </c>
      <c r="I484" s="68" t="n">
        <v>3</v>
      </c>
      <c r="J484" s="69" t="n">
        <v>5</v>
      </c>
      <c r="K484" s="69" t="inlineStr">
        <is>
          <t>https://amazon.com/dp/B0DB188CHQ</t>
        </is>
      </c>
      <c r="L484" s="114">
        <f>HYPERLINK(Table1311[[#This Row],[Column1]])</f>
        <v/>
      </c>
    </row>
    <row r="485" ht="45" customHeight="1" s="314">
      <c r="A485" s="35" t="inlineStr">
        <is>
          <t>Autel Scanner MaxiDiag MD906 PRO, 2026 MD906PRO OBD2 Automotive Diagnostic Tool for Full System Same as MD909 PRO, Lite Ver. of MaxiCOM MK808S MK808S, CAN FD OBDII Scanner for All Car, 11 Services FCA</t>
        </is>
      </c>
      <c r="B485" s="35" t="inlineStr">
        <is>
          <t>B0FG78RPS2</t>
        </is>
      </c>
      <c r="C485" s="35" t="inlineStr">
        <is>
          <t>Tablet</t>
        </is>
      </c>
      <c r="D485" s="359" t="n">
        <v>279</v>
      </c>
      <c r="E485" s="359" t="n">
        <v>31067.09</v>
      </c>
      <c r="F485" s="361" t="n">
        <v>0</v>
      </c>
      <c r="G485" s="68" t="n">
        <v>106</v>
      </c>
      <c r="H485" s="68" t="n">
        <v>0</v>
      </c>
      <c r="I485" s="68" t="n">
        <v>32</v>
      </c>
      <c r="J485" s="69" t="n">
        <v>4.6</v>
      </c>
      <c r="K485" s="69" t="inlineStr">
        <is>
          <t>https://amazon.com/dp/B0FG78RPS2</t>
        </is>
      </c>
      <c r="L485" s="114">
        <f>HYPERLINK(Table1311[[#This Row],[Column1]])</f>
        <v/>
      </c>
    </row>
    <row r="486" ht="45" customHeight="1" s="314">
      <c r="A486" s="35" t="inlineStr">
        <is>
          <t>Autel XLink J2534 Pass-Thru Programmer, Expert-Driven Remote Car Diagnostic Tool, Enhanced VCI, Supports DoIP/CAN/CAN FD/D-PDU/J2534/RP1210, Work with PC/Autel MS909 MS919 Ultra/Smart Phone</t>
        </is>
      </c>
      <c r="B486" s="35" t="inlineStr">
        <is>
          <t>B0F2MJJPHS</t>
        </is>
      </c>
      <c r="C486" s="35" t="inlineStr">
        <is>
          <t>VCI</t>
        </is>
      </c>
      <c r="D486" s="359" t="n">
        <v>1295</v>
      </c>
      <c r="E486" s="359" t="n">
        <v>27537.07</v>
      </c>
      <c r="F486" s="361" t="n">
        <v>0</v>
      </c>
      <c r="G486" s="68" t="n">
        <v>22</v>
      </c>
      <c r="H486" s="68" t="n">
        <v>0</v>
      </c>
      <c r="I486" s="68" t="n">
        <v>1</v>
      </c>
      <c r="J486" s="69" t="n">
        <v>5</v>
      </c>
      <c r="K486" s="69" t="inlineStr">
        <is>
          <t>https://amazon.com/dp/B0F2MJJPHS</t>
        </is>
      </c>
      <c r="L486" s="114">
        <f>HYPERLINK(Table1311[[#This Row],[Column1]])</f>
        <v/>
      </c>
    </row>
    <row r="487" ht="45" customHeight="1" s="314">
      <c r="A487" s="35" t="inlineStr">
        <is>
          <t>2026 Autel Scanner MaxiDiag MD909 PRO, MD909PRO Full Systems OBDII Car Diagnostic Tool, Wireless CAN FD Up of MaxiCOM MK808S MK808 MX808S, V2.0 of MD906PRO, 11 Services, Lifetime Free Updates, FCA</t>
        </is>
      </c>
      <c r="B487" s="35" t="inlineStr">
        <is>
          <t>B0GTKPN1VG</t>
        </is>
      </c>
      <c r="C487" s="35" t="inlineStr">
        <is>
          <t>Tablet</t>
        </is>
      </c>
      <c r="D487" s="359" t="n">
        <v>329</v>
      </c>
      <c r="E487" s="359" t="n">
        <v>0</v>
      </c>
      <c r="F487" s="361" t="n">
        <v>0</v>
      </c>
      <c r="G487" s="68" t="n">
        <v>0</v>
      </c>
      <c r="H487" s="68" t="n">
        <v>0</v>
      </c>
      <c r="I487" s="68" t="n"/>
      <c r="J487" s="69" t="n"/>
      <c r="K487" s="69" t="inlineStr">
        <is>
          <t>https://amazon.com/dp/B0GTKPN1VG</t>
        </is>
      </c>
      <c r="L487" s="114">
        <f>HYPERLINK(Table1311[[#This Row],[Column1]])</f>
        <v/>
      </c>
    </row>
    <row r="488" ht="45" customHeight="1" s="314">
      <c r="A488" s="35" t="inlineStr">
        <is>
          <t>Autel MaxiCheck MX900 Scanner w/ MV108S - Up of MK808BT MX808S MX900 MK900 All System Diagnostic Scan Tool, 40+ Services, 3000+ Active Test, DoIP&amp;CAN FD, Auto VIN, Cloud Report</t>
        </is>
      </c>
      <c r="B488" s="35" t="inlineStr">
        <is>
          <t>B0CRQY8QBY</t>
        </is>
      </c>
      <c r="C488" s="35" t="inlineStr">
        <is>
          <t>Tablet</t>
        </is>
      </c>
      <c r="D488" s="359" t="n">
        <v>589</v>
      </c>
      <c r="E488" s="359" t="n">
        <v>20301.56</v>
      </c>
      <c r="F488" s="361" t="n">
        <v>0</v>
      </c>
      <c r="G488" s="68" t="n">
        <v>35</v>
      </c>
      <c r="H488" s="68" t="n">
        <v>0</v>
      </c>
      <c r="I488" s="68" t="n">
        <v>18</v>
      </c>
      <c r="J488" s="69" t="n">
        <v>4.4</v>
      </c>
      <c r="K488" s="69" t="inlineStr">
        <is>
          <t>https://amazon.com/dp/B0CRQY8QBY</t>
        </is>
      </c>
      <c r="L488" s="114">
        <f>HYPERLINK(Table1311[[#This Row],[Column1]])</f>
        <v/>
      </c>
    </row>
    <row r="489" ht="45" customHeight="1" s="314">
      <c r="A489" s="35" t="inlineStr">
        <is>
          <t>Autel Scan Tool MX900 MK900 OBD2 All System Diagnostic Scanner, Same as MK900BT, Upgraded MK808S MK808BT MX808 MX808S MK808Z, Bi Directional, 40+ Service, DoIP/CAN FD, 3000+ Active Tests, FCA SGW</t>
        </is>
      </c>
      <c r="B489" s="35" t="inlineStr">
        <is>
          <t>B0C4H7PJBN</t>
        </is>
      </c>
      <c r="C489" s="35" t="inlineStr">
        <is>
          <t>Tablet</t>
        </is>
      </c>
      <c r="D489" s="359" t="n">
        <v>559</v>
      </c>
      <c r="E489" s="359" t="n">
        <v>33308.56999999999</v>
      </c>
      <c r="F489" s="361" t="n">
        <v>0</v>
      </c>
      <c r="G489" s="68" t="n">
        <v>62</v>
      </c>
      <c r="H489" s="68" t="n">
        <v>0</v>
      </c>
      <c r="I489" s="68" t="n">
        <v>33</v>
      </c>
      <c r="J489" s="69" t="n">
        <v>4.3</v>
      </c>
      <c r="K489" s="69" t="inlineStr">
        <is>
          <t>https://amazon.com/dp/B0C4H7PJBN</t>
        </is>
      </c>
      <c r="L489" s="114">
        <f>HYPERLINK(Table1311[[#This Row],[Column1]])</f>
        <v/>
      </c>
    </row>
    <row r="490" ht="45" customHeight="1" s="314">
      <c r="A490" s="35" t="inlineStr">
        <is>
          <t>Autel Scanner MaxiCheck MX900TS, 2026 Same as MK900TS Up of MK808S-TS MX808S-TS MK900BT MK900 MX900, Top TPMS Function as MS906 PRO-TS MP900TS, Bidirectional All-Sys Diagnostic, 40+ Service, FCA SGW</t>
        </is>
      </c>
      <c r="B490" s="35" t="inlineStr">
        <is>
          <t>B08VRZWM26</t>
        </is>
      </c>
      <c r="C490" s="35" t="inlineStr">
        <is>
          <t>Tablet</t>
        </is>
      </c>
      <c r="D490" s="359" t="n">
        <v>879</v>
      </c>
      <c r="E490" s="359" t="n">
        <v>40813.54</v>
      </c>
      <c r="F490" s="361" t="n">
        <v>0</v>
      </c>
      <c r="G490" s="68" t="n">
        <v>47</v>
      </c>
      <c r="H490" s="68" t="n">
        <v>0</v>
      </c>
      <c r="I490" s="68" t="n">
        <v>38</v>
      </c>
      <c r="J490" s="69" t="n">
        <v>4.4</v>
      </c>
      <c r="K490" s="69" t="inlineStr">
        <is>
          <t>https://amazon.com/dp/B08VRZWM26</t>
        </is>
      </c>
      <c r="L490" s="114">
        <f>HYPERLINK(Table1311[[#This Row],[Column1]])</f>
        <v/>
      </c>
    </row>
    <row r="491" ht="45" customHeight="1" s="314">
      <c r="A491" s="35" t="inlineStr">
        <is>
          <t>Autel MaxiSYS Pro OBDII Replacement Cable</t>
        </is>
      </c>
      <c r="B491" s="35" t="inlineStr">
        <is>
          <t>B07V8L3W1S</t>
        </is>
      </c>
      <c r="C491" s="35" t="inlineStr">
        <is>
          <t>Cable/Adapter</t>
        </is>
      </c>
      <c r="D491" s="359" t="n">
        <v>47.98</v>
      </c>
      <c r="E491" s="359" t="n">
        <v>2144.26</v>
      </c>
      <c r="F491" s="361" t="n">
        <v>0</v>
      </c>
      <c r="G491" s="68" t="n">
        <v>40</v>
      </c>
      <c r="H491" s="68" t="n">
        <v>0</v>
      </c>
      <c r="I491" s="68" t="n">
        <v>1</v>
      </c>
      <c r="J491" s="69" t="n">
        <v>4</v>
      </c>
      <c r="K491" s="69" t="inlineStr">
        <is>
          <t>https://amazon.com/dp/B07V8L3W1S</t>
        </is>
      </c>
      <c r="L491" s="114">
        <f>HYPERLINK(Table1311[[#This Row],[Column1]])</f>
        <v/>
      </c>
    </row>
    <row r="492" ht="17" customHeight="1" s="314">
      <c r="A492" s="35" t="inlineStr">
        <is>
          <t>Autel Scanner MaxiSYS MS908S PRO II w/ $60 MV108S | 2026 Same as MS Ultra Elite II Pro, J2534 ECU Pr0gramming Scan Tool Up of MaxiCOM MK908 Pro II Elite MS906 PRO/MAX, 4K+ Tests, 38+ Resets, 4/128G</t>
        </is>
      </c>
      <c r="B492" s="35" t="inlineStr">
        <is>
          <t>B0894F6H61</t>
        </is>
      </c>
      <c r="C492" s="35" t="inlineStr">
        <is>
          <t>Tablet</t>
        </is>
      </c>
      <c r="D492" s="359" t="n">
        <v>1999</v>
      </c>
      <c r="E492" s="359" t="n">
        <v>61550.99</v>
      </c>
      <c r="F492" s="361" t="n">
        <v>0</v>
      </c>
      <c r="G492" s="68" t="n">
        <v>31</v>
      </c>
      <c r="H492" s="68" t="n">
        <v>0</v>
      </c>
      <c r="I492" s="68" t="n">
        <v>37</v>
      </c>
      <c r="J492" s="69" t="n">
        <v>4.6</v>
      </c>
      <c r="K492" s="69" t="inlineStr">
        <is>
          <t>https://amazon.com/dp/B0894F6H61</t>
        </is>
      </c>
      <c r="L492" s="114">
        <f>HYPERLINK(Table1311[[#This Row],[Column1]])</f>
        <v/>
      </c>
    </row>
    <row r="493" ht="17" customHeight="1" s="314">
      <c r="A493" s="35" t="inlineStr">
        <is>
          <t>Autel MaxiCOM MK808S Bidirectional Scanner: 2026 Same as MaxiCheck MX808S MX900 MK900BT MK808BT Pro, 3000+ Active Test, 28+ Service for 200+ Brands, OBD2 All System Diagnose, FCA Autoauth &amp; SGW, OS 11</t>
        </is>
      </c>
      <c r="B493" s="35" t="inlineStr">
        <is>
          <t>B0GX1WPD31</t>
        </is>
      </c>
      <c r="C493" s="35" t="inlineStr">
        <is>
          <t>Tablet</t>
        </is>
      </c>
      <c r="D493" s="359" t="n">
        <v>479</v>
      </c>
      <c r="E493" s="359" t="n">
        <v>0</v>
      </c>
      <c r="F493" s="361" t="n">
        <v>0</v>
      </c>
      <c r="G493" s="68" t="n">
        <v>0</v>
      </c>
      <c r="H493" s="68" t="n">
        <v>0</v>
      </c>
      <c r="I493" s="68" t="n"/>
      <c r="J493" s="69" t="n"/>
      <c r="K493" s="69" t="inlineStr">
        <is>
          <t>https://amazon.com/dp/B0GX1WPD31</t>
        </is>
      </c>
      <c r="L493" s="114">
        <f>HYPERLINK(Table1311[[#This Row],[Column1]])</f>
        <v/>
      </c>
    </row>
    <row r="494" ht="30" customHeight="1" s="314">
      <c r="A494" s="35" t="inlineStr">
        <is>
          <t>Autel VCI MaxiFlash Xlink J2534 Reprogramming Tool Expert-Driven Remote Diagnostic Tool Supports DoIP/CAN/CAN FD/D-PDU/J2534/RP1210 Work with Autel MaxiSYS Ultra MS919 MS909 PC and Mobile Phone</t>
        </is>
      </c>
      <c r="B494" s="35" t="inlineStr">
        <is>
          <t>B0C6LFN1PN</t>
        </is>
      </c>
      <c r="C494" s="35" t="inlineStr">
        <is>
          <t>VCI</t>
        </is>
      </c>
      <c r="D494" s="359" t="n">
        <v>1295</v>
      </c>
      <c r="E494" s="359" t="n">
        <v>21934.04</v>
      </c>
      <c r="F494" s="361" t="n">
        <v>0</v>
      </c>
      <c r="G494" s="68" t="n">
        <v>18</v>
      </c>
      <c r="H494" s="68" t="n">
        <v>0</v>
      </c>
      <c r="I494" s="68" t="n">
        <v>7</v>
      </c>
      <c r="J494" s="69" t="n">
        <v>2.9</v>
      </c>
      <c r="K494" s="69" t="inlineStr">
        <is>
          <t>https://amazon.com/dp/B0C6LFN1PN</t>
        </is>
      </c>
      <c r="L494" s="114">
        <f>HYPERLINK(Table1311[[#This Row],[Column1]])</f>
        <v/>
      </c>
    </row>
    <row r="495" ht="30" customHeight="1" s="314">
      <c r="A495" s="35" t="inlineStr">
        <is>
          <t>Autel MaxiCOM MK808Z-BT OBD2 Scanner, 2026 Bidirectional Diagnostic Tool, Up of MK808S MX808S MK808Z MK808BT, 28+ Service, OE All System Diagnostic, 3000+ Active Test, FCA, Alternative of MK900 MX900</t>
        </is>
      </c>
      <c r="B495" s="35" t="inlineStr">
        <is>
          <t>B0D1QVSF5F</t>
        </is>
      </c>
      <c r="C495" s="35" t="inlineStr">
        <is>
          <t>Tablet</t>
        </is>
      </c>
      <c r="D495" s="359" t="n">
        <v>549</v>
      </c>
      <c r="E495" s="359" t="n">
        <v>5036.24</v>
      </c>
      <c r="F495" s="361" t="n">
        <v>0</v>
      </c>
      <c r="G495" s="68" t="n">
        <v>9</v>
      </c>
      <c r="H495" s="68" t="n">
        <v>0</v>
      </c>
      <c r="I495" s="68" t="n">
        <v>3</v>
      </c>
      <c r="J495" s="69" t="n">
        <v>5</v>
      </c>
      <c r="K495" s="69" t="inlineStr">
        <is>
          <t>https://amazon.com/dp/B0D1QVSF5F</t>
        </is>
      </c>
      <c r="L495" s="114">
        <f>HYPERLINK(Table1311[[#This Row],[Column1]])</f>
        <v/>
      </c>
    </row>
    <row r="496" ht="17" customHeight="1" s="314">
      <c r="A496" s="35" t="inlineStr">
        <is>
          <t>Autel MaxiIM IM608S II 2026 Automotive Diagnostic Scan Tool | Global Ver. of IM608 PRO 2 w/ XP400 PRO GBOX3 APB112 [$1300], OE Full Sys ECU Function as Elite II Pro 4K+ Test 40+ Reset OS10 DoIP CAN FD</t>
        </is>
      </c>
      <c r="B496" s="35" t="inlineStr">
        <is>
          <t>B08DLGD6FD</t>
        </is>
      </c>
      <c r="C496" s="35" t="inlineStr">
        <is>
          <t>Tablet</t>
        </is>
      </c>
      <c r="D496" s="359" t="n">
        <v>3199</v>
      </c>
      <c r="E496" s="359" t="n">
        <v>156925.11</v>
      </c>
      <c r="F496" s="361" t="n">
        <v>0</v>
      </c>
      <c r="G496" s="68" t="n">
        <v>49</v>
      </c>
      <c r="H496" s="68" t="n">
        <v>0</v>
      </c>
      <c r="I496" s="68" t="n">
        <v>36</v>
      </c>
      <c r="J496" s="69" t="n">
        <v>4.3</v>
      </c>
      <c r="K496" s="69" t="inlineStr">
        <is>
          <t>https://amazon.com/dp/B08DLGD6FD</t>
        </is>
      </c>
      <c r="L496" s="114">
        <f>HYPERLINK(Table1311[[#This Row],[Column1]])</f>
        <v/>
      </c>
    </row>
    <row r="497" ht="17" customHeight="1" s="314">
      <c r="A497" s="35" t="inlineStr">
        <is>
          <t>Autel TS508WFK-1 TPMS Tool Kit — Includes TS508WF Tool, 8 Programmable 1-Sensors, Model# 700020</t>
        </is>
      </c>
      <c r="B497" s="35" t="inlineStr">
        <is>
          <t>B07RZHCBH5</t>
        </is>
      </c>
      <c r="C497" s="35" t="inlineStr">
        <is>
          <t>Handheld</t>
        </is>
      </c>
      <c r="D497" s="359" t="n">
        <v>419.95</v>
      </c>
      <c r="E497" s="359" t="n">
        <v>16714.56</v>
      </c>
      <c r="F497" s="361" t="n">
        <v>0</v>
      </c>
      <c r="G497" s="68" t="n">
        <v>46</v>
      </c>
      <c r="H497" s="68" t="n">
        <v>0</v>
      </c>
      <c r="I497" s="68" t="n">
        <v>3</v>
      </c>
      <c r="J497" s="69" t="n">
        <v>4.6</v>
      </c>
      <c r="K497" s="69" t="inlineStr">
        <is>
          <t>https://amazon.com/dp/B07RZHCBH5</t>
        </is>
      </c>
      <c r="L497" s="114">
        <f>HYPERLINK(Table1311[[#This Row],[Column1]])</f>
        <v/>
      </c>
    </row>
    <row r="498" ht="45" customHeight="1" s="314">
      <c r="A498" s="35" t="inlineStr">
        <is>
          <t>Autel MS908-1YRUPDATE Scan Tool</t>
        </is>
      </c>
      <c r="B498" s="35" t="inlineStr">
        <is>
          <t>B00S8R7ZZ0</t>
        </is>
      </c>
      <c r="C498" s="35" t="inlineStr">
        <is>
          <t>Other</t>
        </is>
      </c>
      <c r="D498" s="359" t="n">
        <v>650</v>
      </c>
      <c r="E498" s="359" t="n">
        <v>16418.37</v>
      </c>
      <c r="F498" s="361" t="n">
        <v>0</v>
      </c>
      <c r="G498" s="68" t="n">
        <v>32</v>
      </c>
      <c r="H498" s="68" t="n">
        <v>0</v>
      </c>
      <c r="I498" s="68" t="n">
        <v>25</v>
      </c>
      <c r="J498" s="69" t="n">
        <v>4.7</v>
      </c>
      <c r="K498" s="69" t="inlineStr">
        <is>
          <t>https://amazon.com/dp/B00S8R7ZZ0</t>
        </is>
      </c>
      <c r="L498" s="114">
        <f>HYPERLINK(Table1311[[#This Row],[Column1]])</f>
        <v/>
      </c>
    </row>
    <row r="499" ht="45" customHeight="1" s="314">
      <c r="A499" s="35" t="inlineStr">
        <is>
          <t>Autel Scan Tool MS906 PRO-TS, Better MaxiSYS MS906TS MS906Pro MS906BT MK906Pro MP900TS, All System Diagnostic, Full TPMS, ECU Coding, CAN FD&amp;DoIP, 3000+ Active Test, 36+ Service, Auto Scan, WiFi Print</t>
        </is>
      </c>
      <c r="B499" s="35" t="inlineStr">
        <is>
          <t>B0BHNTBHLV</t>
        </is>
      </c>
      <c r="C499" s="35" t="inlineStr">
        <is>
          <t>Tablet</t>
        </is>
      </c>
      <c r="D499" s="359" t="n">
        <v>1569</v>
      </c>
      <c r="E499" s="359" t="n">
        <v>29133.22</v>
      </c>
      <c r="F499" s="361" t="n">
        <v>0</v>
      </c>
      <c r="G499" s="68" t="n">
        <v>19</v>
      </c>
      <c r="H499" s="68" t="n">
        <v>0</v>
      </c>
      <c r="I499" s="68" t="n">
        <v>8</v>
      </c>
      <c r="J499" s="69" t="n">
        <v>4.6</v>
      </c>
      <c r="K499" s="69" t="inlineStr">
        <is>
          <t>https://amazon.com/dp/B0BHNTBHLV</t>
        </is>
      </c>
      <c r="L499" s="114">
        <f>HYPERLINK(Table1311[[#This Row],[Column1]])</f>
        <v/>
      </c>
    </row>
    <row r="500" ht="17" customHeight="1" s="314">
      <c r="A500" s="35" t="inlineStr">
        <is>
          <t>Autel TPMS Programming Tool TS508WF KIT, with $180 4PCS 315+433Mhz MX Sensors &amp; 4PCS Metal Valves, Upgrade of MaxiTPMS TS601/ TS508 Tire Sensor Programmer, TPMS Diagnostic/Activate/Relearn Tool</t>
        </is>
      </c>
      <c r="B500" s="35" t="inlineStr">
        <is>
          <t>B0DB1TGM5F</t>
        </is>
      </c>
      <c r="C500" s="35" t="inlineStr">
        <is>
          <t>Handheld</t>
        </is>
      </c>
      <c r="D500" s="359" t="n">
        <v>318</v>
      </c>
      <c r="E500" s="359" t="n">
        <v>13163.68</v>
      </c>
      <c r="F500" s="361" t="n">
        <v>0</v>
      </c>
      <c r="G500" s="68" t="n">
        <v>41</v>
      </c>
      <c r="H500" s="68" t="n">
        <v>0</v>
      </c>
      <c r="I500" s="68" t="n">
        <v>7</v>
      </c>
      <c r="J500" s="69" t="n">
        <v>5</v>
      </c>
      <c r="K500" s="69" t="inlineStr">
        <is>
          <t>https://amazon.com/dp/B0DB1TGM5F</t>
        </is>
      </c>
      <c r="L500" s="114">
        <f>HYPERLINK(Table1311[[#This Row],[Column1]])</f>
        <v/>
      </c>
    </row>
    <row r="501" ht="45" customHeight="1" s="314">
      <c r="A501" s="35" t="inlineStr">
        <is>
          <t>Autel AL529HD Heavy Duty Vehicle Code Reader</t>
        </is>
      </c>
      <c r="B501" s="35" t="inlineStr">
        <is>
          <t>B073FJ9SY5</t>
        </is>
      </c>
      <c r="C501" s="35" t="inlineStr">
        <is>
          <t>Handheld</t>
        </is>
      </c>
      <c r="D501" s="359" t="n">
        <v>110.81</v>
      </c>
      <c r="E501" s="359" t="n">
        <v>1603.88</v>
      </c>
      <c r="F501" s="361" t="n">
        <v>0</v>
      </c>
      <c r="G501" s="68" t="n">
        <v>17</v>
      </c>
      <c r="H501" s="68" t="n">
        <v>0</v>
      </c>
      <c r="I501" s="68" t="n">
        <v>42</v>
      </c>
      <c r="J501" s="69" t="n">
        <v>4</v>
      </c>
      <c r="K501" s="69" t="inlineStr">
        <is>
          <t>https://amazon.com/dp/B073FJ9SY5</t>
        </is>
      </c>
      <c r="L501" s="114">
        <f>HYPERLINK(Table1311[[#This Row],[Column1]])</f>
        <v/>
      </c>
    </row>
    <row r="502" ht="45" customHeight="1" s="314">
      <c r="A502" s="35" t="inlineStr">
        <is>
          <t>Autel MS906-1YRUpdate MS906 One Year Total Care Program Card</t>
        </is>
      </c>
      <c r="B502" s="35" t="inlineStr">
        <is>
          <t>B0756XN3C5</t>
        </is>
      </c>
      <c r="C502" s="35" t="inlineStr">
        <is>
          <t>Other</t>
        </is>
      </c>
      <c r="D502" s="359" t="n">
        <v>290.81</v>
      </c>
      <c r="E502" s="359" t="n">
        <v>17150.44</v>
      </c>
      <c r="F502" s="361" t="n">
        <v>0</v>
      </c>
      <c r="G502" s="68" t="n">
        <v>63</v>
      </c>
      <c r="H502" s="68" t="n">
        <v>0</v>
      </c>
      <c r="I502" s="68" t="n">
        <v>8</v>
      </c>
      <c r="J502" s="69" t="n">
        <v>3.9</v>
      </c>
      <c r="K502" s="69" t="inlineStr">
        <is>
          <t>https://amazon.com/dp/B0756XN3C5</t>
        </is>
      </c>
      <c r="L502" s="114">
        <f>HYPERLINK(Table1311[[#This Row],[Column1]])</f>
        <v/>
      </c>
    </row>
    <row r="503" ht="17" customHeight="1" s="314">
      <c r="A503" s="35" t="inlineStr">
        <is>
          <t>Autel MaxiSys Elite 2 PRO Scanner: 2026 Elite II Pro Top Car Diagnostic Scan Tool as MSUltra, 2-Year Free Update [$2590], Newer of MS919 MS909 MK908P, Motor TruSpeed, 40+ Service, 3K+ Test, CANFD DoIP</t>
        </is>
      </c>
      <c r="B503" s="35" t="inlineStr">
        <is>
          <t>B0BZS4PQ3P</t>
        </is>
      </c>
      <c r="C503" s="35" t="inlineStr">
        <is>
          <t>Tablet</t>
        </is>
      </c>
      <c r="D503" s="359" t="n">
        <v>2369</v>
      </c>
      <c r="E503" s="359" t="n">
        <v>0</v>
      </c>
      <c r="F503" s="361" t="n">
        <v>0</v>
      </c>
      <c r="G503" s="68" t="n">
        <v>0</v>
      </c>
      <c r="H503" s="68" t="n">
        <v>0</v>
      </c>
      <c r="I503" s="68" t="n">
        <v>4</v>
      </c>
      <c r="J503" s="69" t="n">
        <v>5</v>
      </c>
      <c r="K503" s="69" t="inlineStr">
        <is>
          <t>https://amazon.com/dp/B0BZS4PQ3P</t>
        </is>
      </c>
      <c r="L503" s="114">
        <f>HYPERLINK(Table1311[[#This Row],[Column1]])</f>
        <v/>
      </c>
    </row>
    <row r="504" ht="45" customHeight="1" s="314">
      <c r="A504" s="35" t="inlineStr">
        <is>
          <t>Autel MaxiSys MS906 Pro TS Professional OBD2 Scanner with TPMS Programming ECU Coding 36+ Service Functions, Full System Diagnostic Tool for 80+ Vehicle Brands, Android 10, 8" Touchscreen</t>
        </is>
      </c>
      <c r="B504" s="35" t="inlineStr">
        <is>
          <t>B0D1QRKDYD</t>
        </is>
      </c>
      <c r="C504" s="35" t="inlineStr">
        <is>
          <t>Tablet</t>
        </is>
      </c>
      <c r="D504" s="359" t="n">
        <v>1569</v>
      </c>
      <c r="E504" s="359" t="n">
        <v>150830.38</v>
      </c>
      <c r="F504" s="361" t="n">
        <v>0</v>
      </c>
      <c r="G504" s="68" t="n">
        <v>96</v>
      </c>
      <c r="H504" s="68" t="n">
        <v>0</v>
      </c>
      <c r="I504" s="68" t="n">
        <v>11</v>
      </c>
      <c r="J504" s="69" t="n">
        <v>5</v>
      </c>
      <c r="K504" s="69" t="inlineStr">
        <is>
          <t>https://amazon.com/dp/B0D1QRKDYD</t>
        </is>
      </c>
      <c r="L504" s="114">
        <f>HYPERLINK(Table1311[[#This Row],[Column1]])</f>
        <v/>
      </c>
    </row>
    <row r="505" ht="45" customHeight="1" s="314">
      <c r="A505" s="35" t="inlineStr">
        <is>
          <t>Autel MaxiTPMS ITS600Pro TPMS Programming Tool with Full TPMS, Upgraded Version of TS508 TS608 MK808TS ITS600 Complete TPMS Functions, 36+ Services, All System Diagnostics Free Lifetime TPMS Updates</t>
        </is>
      </c>
      <c r="B505" s="35" t="inlineStr">
        <is>
          <t>B0BTSXJ61Y</t>
        </is>
      </c>
      <c r="C505" s="35" t="inlineStr">
        <is>
          <t>Handheld</t>
        </is>
      </c>
      <c r="D505" s="359" t="n">
        <v>663</v>
      </c>
      <c r="E505" s="359" t="n">
        <v>12613.89</v>
      </c>
      <c r="F505" s="361" t="n">
        <v>0</v>
      </c>
      <c r="G505" s="68" t="n">
        <v>20</v>
      </c>
      <c r="H505" s="68" t="n">
        <v>0</v>
      </c>
      <c r="I505" s="68" t="n">
        <v>12</v>
      </c>
      <c r="J505" s="69" t="n">
        <v>4.4</v>
      </c>
      <c r="K505" s="69" t="inlineStr">
        <is>
          <t>https://amazon.com/dp/B0BTSXJ61Y</t>
        </is>
      </c>
      <c r="L505" s="114">
        <f>HYPERLINK(Table1311[[#This Row],[Column1]])</f>
        <v/>
      </c>
    </row>
    <row r="506" ht="45" customHeight="1" s="314">
      <c r="A506" s="35" t="inlineStr">
        <is>
          <t>Autel Memory Saver for Car Battery, MaxiBAS BTMS OBDII Battery Tester, Preserves Vehicle Codes, Electronic Presets, Provides Power, Maintain Data Surge Protection, Attaches to 12 Volt Backup Battery</t>
        </is>
      </c>
      <c r="B506" s="35" t="inlineStr">
        <is>
          <t>B0BWDLM32C</t>
        </is>
      </c>
      <c r="C506" s="35" t="inlineStr">
        <is>
          <t>Other</t>
        </is>
      </c>
      <c r="D506" s="359" t="n">
        <v>45.99</v>
      </c>
      <c r="E506" s="359" t="n">
        <v>3363.42</v>
      </c>
      <c r="F506" s="361" t="n">
        <v>0</v>
      </c>
      <c r="G506" s="68" t="n">
        <v>75</v>
      </c>
      <c r="H506" s="68" t="n">
        <v>0</v>
      </c>
      <c r="I506" s="68" t="n">
        <v>32</v>
      </c>
      <c r="J506" s="69" t="n">
        <v>4.6</v>
      </c>
      <c r="K506" s="69" t="inlineStr">
        <is>
          <t>https://amazon.com/dp/B0BWDLM32C</t>
        </is>
      </c>
      <c r="L506" s="114">
        <f>HYPERLINK(Table1311[[#This Row],[Column1]])</f>
        <v/>
      </c>
    </row>
    <row r="507" ht="45" customHeight="1" s="314">
      <c r="A507" s="35" t="inlineStr">
        <is>
          <t>Autel PS100 Powerscan Automotive Circuit Tester</t>
        </is>
      </c>
      <c r="B507" s="35" t="inlineStr">
        <is>
          <t>B00G9076ES</t>
        </is>
      </c>
      <c r="C507" s="35" t="inlineStr">
        <is>
          <t>Probe</t>
        </is>
      </c>
      <c r="D507" s="359" t="n">
        <v>99.98999999999999</v>
      </c>
      <c r="E507" s="359" t="n">
        <v>864.05</v>
      </c>
      <c r="F507" s="361" t="n">
        <v>0</v>
      </c>
      <c r="G507" s="68" t="n">
        <v>9</v>
      </c>
      <c r="H507" s="68" t="n">
        <v>0</v>
      </c>
      <c r="I507" s="68" t="n">
        <v>1</v>
      </c>
      <c r="J507" s="69" t="n">
        <v>5</v>
      </c>
      <c r="K507" s="69" t="inlineStr">
        <is>
          <t>https://amazon.com/dp/B00G9076ES</t>
        </is>
      </c>
      <c r="L507" s="114">
        <f>HYPERLINK(Table1311[[#This Row],[Column1]])</f>
        <v/>
      </c>
    </row>
    <row r="508" ht="45" customHeight="1" s="314">
      <c r="A508" s="35" t="inlineStr">
        <is>
          <t>Autel MS906BT1YRUPDATE 1 Year Software Subscription &amp; Warranty</t>
        </is>
      </c>
      <c r="B508" s="35" t="inlineStr">
        <is>
          <t>B07CZRRRWV</t>
        </is>
      </c>
      <c r="C508" s="35" t="inlineStr">
        <is>
          <t>Other</t>
        </is>
      </c>
      <c r="D508" s="359" t="n">
        <v>533.1799999999999</v>
      </c>
      <c r="E508" s="359" t="n">
        <v>13673.322</v>
      </c>
      <c r="F508" s="361" t="n">
        <v>0</v>
      </c>
      <c r="G508" s="68" t="n">
        <v>27</v>
      </c>
      <c r="H508" s="68" t="n">
        <v>0</v>
      </c>
      <c r="I508" s="68" t="n">
        <v>32</v>
      </c>
      <c r="J508" s="69" t="n">
        <v>4.6</v>
      </c>
      <c r="K508" s="69" t="inlineStr">
        <is>
          <t>https://amazon.com/dp/B07CZRRRWV</t>
        </is>
      </c>
      <c r="L508" s="114">
        <f>HYPERLINK(Table1311[[#This Row],[Column1]])</f>
        <v/>
      </c>
    </row>
    <row r="509" ht="60" customHeight="1" s="314">
      <c r="A509" s="35" t="inlineStr">
        <is>
          <t>Autel MaxiSys MS919 J2534 Prog,ram, D-PDU RP1210, ECU C0.ding, 40+ Hot Services, Topology, AutoScan 2.0, Intelligent All System Autel Scanner, 99% Coverage, CANFD DOIP, Same as MS Ultra</t>
        </is>
      </c>
      <c r="B509" s="35" t="inlineStr">
        <is>
          <t>B0FFZ94MYM</t>
        </is>
      </c>
      <c r="C509" s="35" t="inlineStr">
        <is>
          <t>Tablet</t>
        </is>
      </c>
      <c r="D509" s="359" t="n">
        <v>3799</v>
      </c>
      <c r="E509" s="359" t="n">
        <v>16140.73</v>
      </c>
      <c r="F509" s="361" t="n">
        <v>0</v>
      </c>
      <c r="G509" s="68" t="n">
        <v>4</v>
      </c>
      <c r="H509" s="68" t="n">
        <v>0</v>
      </c>
      <c r="I509" s="68" t="n">
        <v>3</v>
      </c>
      <c r="J509" s="69" t="n">
        <v>4.3</v>
      </c>
      <c r="K509" s="69" t="inlineStr">
        <is>
          <t>https://amazon.com/dp/B0FFZ94MYM</t>
        </is>
      </c>
      <c r="L509" s="114">
        <f>HYPERLINK(Table1311[[#This Row],[Column1]])</f>
        <v/>
      </c>
    </row>
    <row r="510" ht="45" customHeight="1" s="314">
      <c r="A510" s="35" t="inlineStr">
        <is>
          <t>Autel Scanner MaxiTPMS TS900 TPMS Programming Tool, 2025 Level-Up of MK808S-TS MK900 MX900 MK808S Same as MX900TS MK900TS, Full TPMS Function, 3000+ Active Test, 40+ Service, All System Diagnostic</t>
        </is>
      </c>
      <c r="B510" s="35" t="inlineStr">
        <is>
          <t>B07H172WBS</t>
        </is>
      </c>
      <c r="C510" s="35" t="inlineStr">
        <is>
          <t>Tablet</t>
        </is>
      </c>
      <c r="D510" s="359" t="n">
        <v>799</v>
      </c>
      <c r="E510" s="359" t="n">
        <v>5820.75</v>
      </c>
      <c r="F510" s="361" t="n">
        <v>0</v>
      </c>
      <c r="G510" s="68" t="n">
        <v>7</v>
      </c>
      <c r="H510" s="68" t="n">
        <v>0</v>
      </c>
      <c r="I510" s="68" t="n">
        <v>18</v>
      </c>
      <c r="J510" s="69" t="n">
        <v>3.7</v>
      </c>
      <c r="K510" s="69" t="inlineStr">
        <is>
          <t>https://amazon.com/dp/B07H172WBS</t>
        </is>
      </c>
      <c r="L510" s="114">
        <f>HYPERLINK(Table1311[[#This Row],[Column1]])</f>
        <v/>
      </c>
    </row>
    <row r="511" ht="45" customHeight="1" s="314">
      <c r="A511" s="35" t="inlineStr">
        <is>
          <t>Autel MaxiSys Ultra EV Scanner, 2026 Top EV Intelligent Scan Diagnostic Tool, with 5-in-1 VCMI &amp; EVDiag KIT, High-Voltage System &amp; Battery Pack Analysis, Up of Ultra/ MS919/ MS909 EV, E-C*U Program</t>
        </is>
      </c>
      <c r="B511" s="35" t="inlineStr">
        <is>
          <t>B0BM3D2K2J</t>
        </is>
      </c>
      <c r="C511" s="35" t="inlineStr">
        <is>
          <t>Tablet</t>
        </is>
      </c>
      <c r="D511" s="359" t="n">
        <v>4995</v>
      </c>
      <c r="E511" s="359" t="n">
        <v>122981.44</v>
      </c>
      <c r="F511" s="361" t="n">
        <v>0</v>
      </c>
      <c r="G511" s="68" t="n">
        <v>25</v>
      </c>
      <c r="H511" s="68" t="n">
        <v>0</v>
      </c>
      <c r="I511" s="68" t="n">
        <v>9</v>
      </c>
      <c r="J511" s="69" t="n">
        <v>3.4</v>
      </c>
      <c r="K511" s="69" t="inlineStr">
        <is>
          <t>https://amazon.com/dp/B0BM3D2K2J</t>
        </is>
      </c>
      <c r="L511" s="114">
        <f>HYPERLINK(Table1311[[#This Row],[Column1]])</f>
        <v/>
      </c>
    </row>
    <row r="512" ht="17" customHeight="1" s="314">
      <c r="A512" s="35" t="inlineStr">
        <is>
          <t>Autel MaxiSys MS906MAX Scan Tool, Upgraded MS906 PRO/ MK906 PRO/ MS906BT/ MK906BT/ MK908/ MP900BT Scanner, ECU Coding, 40+ Services, 3000+ Active Tests, All System Diagnostic Tool, VAG Guided, FCA SGW</t>
        </is>
      </c>
      <c r="B512" s="35" t="inlineStr">
        <is>
          <t>B0DLN9QCNX</t>
        </is>
      </c>
      <c r="C512" s="35" t="inlineStr">
        <is>
          <t>Tablet</t>
        </is>
      </c>
      <c r="D512" s="359" t="n">
        <v>1569</v>
      </c>
      <c r="E512" s="359" t="n">
        <v>71590.2</v>
      </c>
      <c r="F512" s="361" t="n">
        <v>0</v>
      </c>
      <c r="G512" s="68" t="n">
        <v>47</v>
      </c>
      <c r="H512" s="68" t="n">
        <v>0</v>
      </c>
      <c r="I512" s="68" t="n">
        <v>6</v>
      </c>
      <c r="J512" s="69" t="n">
        <v>5</v>
      </c>
      <c r="K512" s="69" t="inlineStr">
        <is>
          <t>https://amazon.com/dp/B0DLN9QCNX</t>
        </is>
      </c>
      <c r="L512" s="114">
        <f>HYPERLINK(Table1311[[#This Row],[Column1]])</f>
        <v/>
      </c>
    </row>
    <row r="513" ht="45" customHeight="1" s="314">
      <c r="A513" s="35" t="inlineStr">
        <is>
          <t>Autel MaxiCOM MK808Z-BT Diagnostic Scanner - Bidirectional Scan Tool Work as MK900BT, Up of MK808S MX808S MK808Z, 28+ Services, Works w/ BT506/MV108S, Android 11, 150+ Brands, FCA</t>
        </is>
      </c>
      <c r="B513" s="35" t="inlineStr">
        <is>
          <t>B0FJXY9426</t>
        </is>
      </c>
      <c r="C513" s="35" t="inlineStr">
        <is>
          <t>Tablet</t>
        </is>
      </c>
      <c r="D513" s="359" t="n">
        <v>519</v>
      </c>
      <c r="E513" s="359" t="n">
        <v>4293.14</v>
      </c>
      <c r="F513" s="361" t="n">
        <v>0</v>
      </c>
      <c r="G513" s="68" t="n">
        <v>9</v>
      </c>
      <c r="H513" s="68" t="n">
        <v>0</v>
      </c>
      <c r="I513" s="68" t="n">
        <v>1</v>
      </c>
      <c r="J513" s="69" t="n">
        <v>5</v>
      </c>
      <c r="K513" s="69" t="inlineStr">
        <is>
          <t>https://amazon.com/dp/B0FJXY9426</t>
        </is>
      </c>
      <c r="L513" s="114">
        <f>HYPERLINK(Table1311[[#This Row],[Column1]])</f>
        <v/>
      </c>
    </row>
    <row r="514" ht="45" customHeight="1" s="314">
      <c r="A514" s="35" t="inlineStr">
        <is>
          <t>Autel MaxiCOM MK906Pro OBD2 Scanner Up of MS906BT MP900BT MS908S Bidirectional Control 36+ Services OE-Level Full System Diagnosis 8" in CAN FD DoIP FCA Autoauth Support</t>
        </is>
      </c>
      <c r="B514" s="35" t="inlineStr">
        <is>
          <t>B0GFJ65MTR</t>
        </is>
      </c>
      <c r="C514" s="35" t="inlineStr">
        <is>
          <t>Tablet</t>
        </is>
      </c>
      <c r="D514" s="359" t="n">
        <v>1369</v>
      </c>
      <c r="E514" s="359" t="n">
        <v>0</v>
      </c>
      <c r="F514" s="361" t="n">
        <v>0</v>
      </c>
      <c r="G514" s="68" t="n">
        <v>0</v>
      </c>
      <c r="H514" s="68" t="n">
        <v>0</v>
      </c>
      <c r="I514" s="68" t="n"/>
      <c r="J514" s="69" t="n"/>
      <c r="K514" s="69" t="inlineStr">
        <is>
          <t>https://amazon.com/dp/B0GFJ65MTR</t>
        </is>
      </c>
      <c r="L514" s="114">
        <f>HYPERLINK(Table1311[[#This Row],[Column1]])</f>
        <v/>
      </c>
    </row>
    <row r="515" ht="45" customHeight="1" s="314">
      <c r="A515" s="35" t="inlineStr">
        <is>
          <t>Autel MaxiCOM MK808Z, Autel Scanner, 2025 Bi-Directional Tool, OBD2 Scanner for All Vehicles All System Diagnostic Tool Bi-Directional Control Same as MaxiCOM MK808 Lite MX900</t>
        </is>
      </c>
      <c r="B515" s="35" t="inlineStr">
        <is>
          <t>B0B8RDH4C7</t>
        </is>
      </c>
      <c r="C515" s="35" t="inlineStr">
        <is>
          <t>Tablet</t>
        </is>
      </c>
      <c r="D515" s="359" t="n">
        <v>449</v>
      </c>
      <c r="E515" s="359" t="n">
        <v>1056.01</v>
      </c>
      <c r="F515" s="361" t="n">
        <v>0</v>
      </c>
      <c r="G515" s="68" t="n">
        <v>2</v>
      </c>
      <c r="H515" s="68" t="n">
        <v>0</v>
      </c>
      <c r="I515" s="68" t="n">
        <v>22</v>
      </c>
      <c r="J515" s="69" t="n">
        <v>4.8</v>
      </c>
      <c r="K515" s="69" t="inlineStr">
        <is>
          <t>https://amazon.com/dp/B0B8RDH4C7</t>
        </is>
      </c>
      <c r="L515" s="114">
        <f>HYPERLINK(Table1311[[#This Row],[Column1]])</f>
        <v/>
      </c>
    </row>
    <row r="516" ht="45" customHeight="1" s="314">
      <c r="A516" s="35" t="inlineStr">
        <is>
          <t>Autel VCI V100 MaxiSYS VCI100 Compact Bluetooth-Compatible Vehicle Communication Interface Wireless Interface Vehicle Diagnostic Connector for MS906BT MS906TS Bluetooth Adapter</t>
        </is>
      </c>
      <c r="B516" s="35" t="inlineStr">
        <is>
          <t>B0B878SZZP</t>
        </is>
      </c>
      <c r="C516" s="35" t="inlineStr">
        <is>
          <t>Dongle</t>
        </is>
      </c>
      <c r="D516" s="359" t="n">
        <v>199</v>
      </c>
      <c r="E516" s="359" t="n">
        <v>4136.539999999999</v>
      </c>
      <c r="F516" s="361" t="n">
        <v>0</v>
      </c>
      <c r="G516" s="68" t="n">
        <v>20</v>
      </c>
      <c r="H516" s="68" t="n">
        <v>0</v>
      </c>
      <c r="I516" s="68" t="n">
        <v>8</v>
      </c>
      <c r="J516" s="69" t="n">
        <v>5</v>
      </c>
      <c r="K516" s="69" t="inlineStr">
        <is>
          <t>https://amazon.com/dp/B0B878SZZP</t>
        </is>
      </c>
      <c r="L516" s="114">
        <f>HYPERLINK(Table1311[[#This Row],[Column1]])</f>
        <v/>
      </c>
    </row>
    <row r="517" ht="17" customHeight="1" s="314">
      <c r="A517" s="35" t="inlineStr">
        <is>
          <t>Autel - Mx-Sensor 1-Sensor Press-in Metal Valve Stem (1-SENSORM)</t>
        </is>
      </c>
      <c r="B517" s="35" t="inlineStr">
        <is>
          <t>B075RG8G7Y</t>
        </is>
      </c>
      <c r="C517" s="35" t="inlineStr">
        <is>
          <t>Other</t>
        </is>
      </c>
      <c r="D517" s="359" t="n">
        <v>44.99</v>
      </c>
      <c r="E517" s="359" t="n">
        <v>0</v>
      </c>
      <c r="F517" s="361" t="n">
        <v>0</v>
      </c>
      <c r="G517" s="68" t="n">
        <v>0</v>
      </c>
      <c r="H517" s="68" t="n">
        <v>0</v>
      </c>
      <c r="I517" s="68" t="n">
        <v>23</v>
      </c>
      <c r="J517" s="69" t="n">
        <v>4.7</v>
      </c>
      <c r="K517" s="69" t="inlineStr">
        <is>
          <t>https://amazon.com/dp/B075RG8G7Y</t>
        </is>
      </c>
      <c r="L517" s="114">
        <f>HYPERLINK(Table1311[[#This Row],[Column1]])</f>
        <v/>
      </c>
    </row>
    <row r="518" ht="45" customHeight="1" s="314">
      <c r="A518" s="35" t="inlineStr">
        <is>
          <t>Autel MaxiCheck MX900 Scanner Function as MK900 MK900BT Better Than MX808 MX808S MK808 MK808S MK808BT MS906 for 10000+ Vehicles 40+ Services as MP900 All System Diagnostic Scan Tool</t>
        </is>
      </c>
      <c r="B518" s="35" t="inlineStr">
        <is>
          <t>B0C65JVRQM</t>
        </is>
      </c>
      <c r="C518" s="35" t="inlineStr">
        <is>
          <t>Tablet</t>
        </is>
      </c>
      <c r="D518" s="359" t="n">
        <v>559</v>
      </c>
      <c r="E518" s="359" t="n">
        <v>19710.85</v>
      </c>
      <c r="F518" s="361" t="n">
        <v>0</v>
      </c>
      <c r="G518" s="68" t="n">
        <v>39</v>
      </c>
      <c r="H518" s="68" t="n">
        <v>0</v>
      </c>
      <c r="I518" s="68" t="n">
        <v>14</v>
      </c>
      <c r="J518" s="69" t="n">
        <v>5</v>
      </c>
      <c r="K518" s="69" t="inlineStr">
        <is>
          <t>https://amazon.com/dp/B0C65JVRQM</t>
        </is>
      </c>
      <c r="L518" s="114">
        <f>HYPERLINK(Table1311[[#This Row],[Column1]])</f>
        <v/>
      </c>
    </row>
    <row r="519" ht="45" customHeight="1" s="314">
      <c r="A519" s="35" t="inlineStr">
        <is>
          <t>Autel Scanner MaxiCheck MX900, 2026 Bidirectional Scan Tool Same as MK900 MK900BT, All System Diagnostic, Updated of MK808S MK808BT Pro MX808S, 3000+ Active Test, 40+ Service, CAN-FD&amp;DoIP, FCA SGW</t>
        </is>
      </c>
      <c r="B519" s="35" t="inlineStr">
        <is>
          <t>B0C65N1BG4</t>
        </is>
      </c>
      <c r="C519" s="35" t="inlineStr">
        <is>
          <t>Tablet</t>
        </is>
      </c>
      <c r="D519" s="359" t="n">
        <v>559</v>
      </c>
      <c r="E519" s="359" t="n">
        <v>24423.14</v>
      </c>
      <c r="F519" s="361" t="n">
        <v>0</v>
      </c>
      <c r="G519" s="68" t="n">
        <v>48</v>
      </c>
      <c r="H519" s="68" t="n">
        <v>0</v>
      </c>
      <c r="I519" s="68" t="n">
        <v>27</v>
      </c>
      <c r="J519" s="69" t="n">
        <v>4.7</v>
      </c>
      <c r="K519" s="69" t="inlineStr">
        <is>
          <t>https://amazon.com/dp/B0C65N1BG4</t>
        </is>
      </c>
      <c r="L519" s="114">
        <f>HYPERLINK(Table1311[[#This Row],[Column1]])</f>
        <v/>
      </c>
    </row>
    <row r="520" ht="60" customHeight="1" s="314">
      <c r="A520" s="35" t="inlineStr">
        <is>
          <t>Autel Scanner MaxiPro MP900-TS, TPMS Version of MP900 &amp; MP900BT Bidirectional Scan Tool, ECU Coding Tool Same As MaxiSYS MS906BT MS906 Pro,40+ Services, All System OBD2 Scanner, CAN FD/DoIP</t>
        </is>
      </c>
      <c r="B520" s="35" t="inlineStr">
        <is>
          <t>B0CCJN81JY</t>
        </is>
      </c>
      <c r="C520" s="35" t="inlineStr">
        <is>
          <t>Tablet</t>
        </is>
      </c>
      <c r="D520" s="359" t="n">
        <v>1099</v>
      </c>
      <c r="E520" s="359" t="n">
        <v>10826.95</v>
      </c>
      <c r="F520" s="361" t="n">
        <v>0</v>
      </c>
      <c r="G520" s="68" t="n">
        <v>11</v>
      </c>
      <c r="H520" s="68" t="n">
        <v>0</v>
      </c>
      <c r="I520" s="68" t="n">
        <v>34</v>
      </c>
      <c r="J520" s="69" t="n">
        <v>4.4</v>
      </c>
      <c r="K520" s="69" t="inlineStr">
        <is>
          <t>https://amazon.com/dp/B0CCJN81JY</t>
        </is>
      </c>
      <c r="L520" s="114">
        <f>HYPERLINK(Table1311[[#This Row],[Column1]])</f>
        <v/>
      </c>
    </row>
    <row r="521" ht="60" customHeight="1" s="314">
      <c r="A521" s="35" t="inlineStr">
        <is>
          <t>Autel Scanner MaxiPro MP808Z-TS with 2 Year Updates: Upgrade Version of MK900BT &amp; MP808BT Bidirectional Scan Tool, ECU Coding Same As MP900BT &amp; MP900-TS, Full System Diagnostic Tool with 31+ Services</t>
        </is>
      </c>
      <c r="B521" s="35" t="inlineStr">
        <is>
          <t>B0BLNM89HH</t>
        </is>
      </c>
      <c r="C521" s="35" t="inlineStr">
        <is>
          <t>Tablet</t>
        </is>
      </c>
      <c r="D521" s="359" t="n">
        <v>899</v>
      </c>
      <c r="E521" s="359" t="n">
        <v>18299.74</v>
      </c>
      <c r="F521" s="361" t="n">
        <v>0</v>
      </c>
      <c r="G521" s="68" t="n">
        <v>21</v>
      </c>
      <c r="H521" s="68" t="n">
        <v>0</v>
      </c>
      <c r="I521" s="68" t="n">
        <v>34</v>
      </c>
      <c r="J521" s="69" t="n">
        <v>4.4</v>
      </c>
      <c r="K521" s="69" t="inlineStr">
        <is>
          <t>https://amazon.com/dp/B0BLNM89HH</t>
        </is>
      </c>
      <c r="L521" s="114">
        <f>HYPERLINK(Table1311[[#This Row],[Column1]])</f>
        <v/>
      </c>
    </row>
    <row r="522" ht="45" customHeight="1" s="314">
      <c r="A522" s="35" t="inlineStr">
        <is>
          <t>Autel MaxiSys MS906 Pro-TS Diagnostic Scanner, 2026 Top Bidirectional Scan Tool with Full TPMS Function, Up of MP900TS MS906PRO MS906 MK900, ECU Coding, 3000+ Active Test, 36+ Service, CAN FD&amp;DoIP</t>
        </is>
      </c>
      <c r="B522" s="35" t="inlineStr">
        <is>
          <t>B0B9S3WPRZ</t>
        </is>
      </c>
      <c r="C522" s="35" t="inlineStr">
        <is>
          <t>Tablet</t>
        </is>
      </c>
      <c r="D522" s="359" t="n">
        <v>1569</v>
      </c>
      <c r="E522" s="359" t="n">
        <v>30123.56</v>
      </c>
      <c r="F522" s="361" t="n">
        <v>0</v>
      </c>
      <c r="G522" s="68" t="n">
        <v>19</v>
      </c>
      <c r="H522" s="68" t="n">
        <v>0</v>
      </c>
      <c r="I522" s="68" t="n">
        <v>13</v>
      </c>
      <c r="J522" s="69" t="n">
        <v>4.5</v>
      </c>
      <c r="K522" s="69" t="inlineStr">
        <is>
          <t>https://amazon.com/dp/B0B9S3WPRZ</t>
        </is>
      </c>
      <c r="L522" s="114">
        <f>HYPERLINK(Table1311[[#This Row],[Column1]])</f>
        <v/>
      </c>
    </row>
    <row r="523" ht="45" customHeight="1" s="314">
      <c r="A523" s="35" t="inlineStr">
        <is>
          <t>Autel MaxiBAS BT608 12v Car Bettery Tester Automotive Electrical System Tester Adaptive Conductance All System Diagnostic AutoScan VIN scan Read/Clear Code Upgraded BT508 BT506</t>
        </is>
      </c>
      <c r="B523" s="35" t="inlineStr">
        <is>
          <t>B08T84XL2N</t>
        </is>
      </c>
      <c r="C523" s="35" t="inlineStr">
        <is>
          <t>Handheld</t>
        </is>
      </c>
      <c r="D523" s="359" t="n">
        <v>449</v>
      </c>
      <c r="E523" s="359" t="n">
        <v>3474.97</v>
      </c>
      <c r="F523" s="361" t="n">
        <v>0</v>
      </c>
      <c r="G523" s="68" t="n">
        <v>8</v>
      </c>
      <c r="H523" s="68" t="n">
        <v>0</v>
      </c>
      <c r="I523" s="68" t="n">
        <v>11</v>
      </c>
      <c r="J523" s="69" t="n">
        <v>5</v>
      </c>
      <c r="K523" s="69" t="inlineStr">
        <is>
          <t>https://amazon.com/dp/B08T84XL2N</t>
        </is>
      </c>
      <c r="L523" s="114">
        <f>HYPERLINK(Table1311[[#This Row],[Column1]])</f>
        <v/>
      </c>
    </row>
    <row r="524" ht="17" customHeight="1" s="314">
      <c r="A524" s="35" t="inlineStr">
        <is>
          <t>Autel MaxiSYS Ultra Scanner, 2026 MSUltra Top Intelligent Scan Tool, Topology, 5IN1 VCMI, ECU Function, 3K+ Bidirectional Diagnostic, 40+ Reset Up of Ultra Lite MS919 MS909 Elite 2 Pro, Motor TruSpeed</t>
        </is>
      </c>
      <c r="B524" s="35" t="inlineStr">
        <is>
          <t>B0971ZJ32Q</t>
        </is>
      </c>
      <c r="C524" s="35" t="inlineStr">
        <is>
          <t>Tablet</t>
        </is>
      </c>
      <c r="D524" s="359" t="n">
        <v>3999</v>
      </c>
      <c r="E524" s="359" t="n">
        <v>116167.2</v>
      </c>
      <c r="F524" s="361" t="n">
        <v>0</v>
      </c>
      <c r="G524" s="68" t="n">
        <v>28</v>
      </c>
      <c r="H524" s="68" t="n">
        <v>0</v>
      </c>
      <c r="I524" s="68" t="n">
        <v>30</v>
      </c>
      <c r="J524" s="69" t="n">
        <v>4.7</v>
      </c>
      <c r="K524" s="69" t="inlineStr">
        <is>
          <t>https://amazon.com/dp/B0971ZJ32Q</t>
        </is>
      </c>
      <c r="L524" s="114">
        <f>HYPERLINK(Table1311[[#This Row],[Column1]])</f>
        <v/>
      </c>
    </row>
    <row r="525" ht="60" customHeight="1" s="314">
      <c r="A525" s="35" t="inlineStr">
        <is>
          <t>Autel Original Tesla Diagnostic Cables Set for Tesla S &amp; Tesla X, Tesla OBD2 Diagnostic Tools Adapter for Autel MaxiSYS 909/919/908SPro/Elite/Elite II/Ultra Tablets</t>
        </is>
      </c>
      <c r="B525" s="35" t="inlineStr">
        <is>
          <t>B09XQMLWTY</t>
        </is>
      </c>
      <c r="C525" s="35" t="inlineStr">
        <is>
          <t>Cable/Adapter</t>
        </is>
      </c>
      <c r="D525" s="359" t="n">
        <v>54.56</v>
      </c>
      <c r="E525" s="359" t="n">
        <v>3479.639999999999</v>
      </c>
      <c r="F525" s="361" t="n">
        <v>0</v>
      </c>
      <c r="G525" s="68" t="n">
        <v>63</v>
      </c>
      <c r="H525" s="68" t="n">
        <v>0</v>
      </c>
      <c r="I525" s="68" t="n">
        <v>20</v>
      </c>
      <c r="J525" s="69" t="n">
        <v>4</v>
      </c>
      <c r="K525" s="69" t="inlineStr">
        <is>
          <t>https://amazon.com/dp/B09XQMLWTY</t>
        </is>
      </c>
      <c r="L525" s="114">
        <f>HYPERLINK(Table1311[[#This Row],[Column1]])</f>
        <v/>
      </c>
    </row>
    <row r="526" ht="45" customHeight="1" s="314">
      <c r="A526" s="35" t="inlineStr">
        <is>
          <t>Autel MaxiTPMS TS608 1-Year Update Service, Total Care Program (TCP) Card, One Year Software Subscription &amp; Warranty for Complete TPMS &amp; All System Service Tablet Tool</t>
        </is>
      </c>
      <c r="B526" s="35" t="inlineStr">
        <is>
          <t>B0CZ36BSQZ</t>
        </is>
      </c>
      <c r="C526" s="35" t="inlineStr">
        <is>
          <t>Other</t>
        </is>
      </c>
      <c r="D526" s="359" t="n">
        <v>219</v>
      </c>
      <c r="E526" s="359" t="n">
        <v>1865.79</v>
      </c>
      <c r="F526" s="361" t="n">
        <v>0</v>
      </c>
      <c r="G526" s="68" t="n">
        <v>9</v>
      </c>
      <c r="H526" s="68" t="n">
        <v>0</v>
      </c>
      <c r="I526" s="68" t="n"/>
      <c r="J526" s="69" t="n"/>
      <c r="K526" s="69" t="inlineStr">
        <is>
          <t>https://amazon.com/dp/B0CZ36BSQZ</t>
        </is>
      </c>
      <c r="L526" s="114">
        <f>HYPERLINK(Table1311[[#This Row],[Column1]])</f>
        <v/>
      </c>
    </row>
    <row r="527" ht="60" customHeight="1" s="314">
      <c r="A527" s="35" t="inlineStr">
        <is>
          <t>Autel MaxiSYS Ultra EV Scanner: 2026 Top EV Ver. of Ultra S2 MSUltra MS909 S2 Intelligen Scan Diagnostic, High-Voltage System Battery Pack Analyze, EVDiag KIT, 40 Service, Motor TruSpeed, Topology 2.0</t>
        </is>
      </c>
      <c r="B527" s="35" t="inlineStr">
        <is>
          <t>B0BPMJ41PY</t>
        </is>
      </c>
      <c r="C527" s="35" t="inlineStr">
        <is>
          <t>Tablet</t>
        </is>
      </c>
      <c r="D527" s="359" t="n">
        <v>4995</v>
      </c>
      <c r="E527" s="359" t="n">
        <v>68231.7</v>
      </c>
      <c r="F527" s="361" t="n">
        <v>0</v>
      </c>
      <c r="G527" s="68" t="n">
        <v>14</v>
      </c>
      <c r="H527" s="68" t="n">
        <v>0</v>
      </c>
      <c r="I527" s="68" t="n">
        <v>7</v>
      </c>
      <c r="J527" s="69" t="n">
        <v>4.3</v>
      </c>
      <c r="K527" s="69" t="inlineStr">
        <is>
          <t>https://amazon.com/dp/B0BPMJ41PY</t>
        </is>
      </c>
      <c r="L527" s="114">
        <f>HYPERLINK(Table1311[[#This Row],[Column1]])</f>
        <v/>
      </c>
    </row>
    <row r="528" ht="17" customHeight="1" s="314">
      <c r="A528" s="35" t="inlineStr">
        <is>
          <t>OBDII Main Test Cable OBD2 Main Diagnostic Cable for Autel MaxiSys MS908</t>
        </is>
      </c>
      <c r="B528" s="35" t="inlineStr">
        <is>
          <t>B01F8RIFEM</t>
        </is>
      </c>
      <c r="C528" s="35" t="inlineStr">
        <is>
          <t>Cable/Adapter</t>
        </is>
      </c>
      <c r="D528" s="359" t="n">
        <v>9.99</v>
      </c>
      <c r="E528" s="359" t="n">
        <v>37.4</v>
      </c>
      <c r="F528" s="361" t="n">
        <v>0</v>
      </c>
      <c r="G528" s="68" t="n">
        <v>4</v>
      </c>
      <c r="H528" s="68" t="n">
        <v>0</v>
      </c>
      <c r="I528" s="68" t="n">
        <v>90</v>
      </c>
      <c r="J528" s="69" t="n">
        <v>4.7</v>
      </c>
      <c r="K528" s="69" t="inlineStr">
        <is>
          <t>https://amazon.com/dp/B01F8RIFEM</t>
        </is>
      </c>
      <c r="L528" s="114">
        <f>HYPERLINK(Table1311[[#This Row],[Column1]])</f>
        <v/>
      </c>
    </row>
    <row r="529" ht="45" customHeight="1" s="314">
      <c r="A529" s="35" t="inlineStr">
        <is>
          <t>Autel MaxiSys Ultra EV 2025 UltraEV: Updated of MS Ultra Elite II Pro w/EVDiag Kit, High-Voltage System &amp; Battery Analysis, MaxiFlash VCMI, J2534 Programming, Motor TruSpeed Repair, Topology Map 2.0</t>
        </is>
      </c>
      <c r="B529" s="35" t="inlineStr">
        <is>
          <t>B077MJR54G</t>
        </is>
      </c>
      <c r="C529" s="35" t="inlineStr">
        <is>
          <t>Tablet</t>
        </is>
      </c>
      <c r="D529" s="359" t="n">
        <v>4995</v>
      </c>
      <c r="E529" s="359" t="n">
        <v>6684.02</v>
      </c>
      <c r="F529" s="361" t="n">
        <v>0</v>
      </c>
      <c r="G529" s="68" t="n">
        <v>1</v>
      </c>
      <c r="H529" s="68" t="n">
        <v>0</v>
      </c>
      <c r="I529" s="68" t="n">
        <v>12</v>
      </c>
      <c r="J529" s="69" t="n">
        <v>4.4</v>
      </c>
      <c r="K529" s="69" t="inlineStr">
        <is>
          <t>https://amazon.com/dp/B077MJR54G</t>
        </is>
      </c>
      <c r="L529" s="114">
        <f>HYPERLINK(Table1311[[#This Row],[Column1]])</f>
        <v/>
      </c>
    </row>
    <row r="530" ht="45" customHeight="1" s="314">
      <c r="A530" s="35" t="inlineStr">
        <is>
          <t>Autel MaxiTPMS ITS600 2026 Handy TPMS Tool, Wireless TPMS Tablet with Bluetooth VCI, Free Lifetime Oil Light Reset, Electronic Brake Service, Battery Registration, Steering Angle Reset 4 Service</t>
        </is>
      </c>
      <c r="B530" s="35" t="inlineStr">
        <is>
          <t>B094863K26</t>
        </is>
      </c>
      <c r="C530" s="35" t="inlineStr">
        <is>
          <t>Handheld</t>
        </is>
      </c>
      <c r="D530" s="359" t="n">
        <v>499</v>
      </c>
      <c r="E530" s="359" t="n">
        <v>3908.07</v>
      </c>
      <c r="F530" s="361" t="n">
        <v>0</v>
      </c>
      <c r="G530" s="68" t="n">
        <v>8</v>
      </c>
      <c r="H530" s="68" t="n">
        <v>0</v>
      </c>
      <c r="I530" s="68" t="n">
        <v>5</v>
      </c>
      <c r="J530" s="69" t="n">
        <v>3.6</v>
      </c>
      <c r="K530" s="69" t="inlineStr">
        <is>
          <t>https://amazon.com/dp/B094863K26</t>
        </is>
      </c>
      <c r="L530" s="114">
        <f>HYPERLINK(Table1311[[#This Row],[Column1]])</f>
        <v/>
      </c>
    </row>
    <row r="531" ht="45" customHeight="1" s="314">
      <c r="A531" s="35" t="inlineStr">
        <is>
          <t>Autel MaxiSYS Ultra EV Intelligent Scanner, 2026 EV Ver.of Ultra S2 MS909S2, Up of Ultra MS909 MS909EV MS919, with EVDiag Kit, High-Voltage System &amp; Battery Pack Analysis, 5-in-1 VCMI, Motor Truspeed</t>
        </is>
      </c>
      <c r="B531" s="35" t="inlineStr">
        <is>
          <t>B0BGSJYCTY</t>
        </is>
      </c>
      <c r="C531" s="35" t="inlineStr">
        <is>
          <t>Tablet</t>
        </is>
      </c>
      <c r="D531" s="359" t="n">
        <v>4995</v>
      </c>
      <c r="E531" s="359" t="n">
        <v>43952.92000000001</v>
      </c>
      <c r="F531" s="361" t="n">
        <v>0</v>
      </c>
      <c r="G531" s="68" t="n">
        <v>11</v>
      </c>
      <c r="H531" s="68" t="n">
        <v>0</v>
      </c>
      <c r="I531" s="68" t="n">
        <v>2</v>
      </c>
      <c r="J531" s="69" t="n">
        <v>5</v>
      </c>
      <c r="K531" s="69" t="inlineStr">
        <is>
          <t>https://amazon.com/dp/B0BGSJYCTY</t>
        </is>
      </c>
      <c r="L531" s="114">
        <f>HYPERLINK(Table1311[[#This Row],[Column1]])</f>
        <v/>
      </c>
    </row>
    <row r="532" ht="45" customHeight="1" s="314">
      <c r="A532" s="35" t="inlineStr">
        <is>
          <t>Autel MaxiCheck MX900 Same MK900 OBD2 Scan Tool Updated of MK808 MK808S MK808BT Android 11 40+ Service Functions 8 inch All System Diagnostics Scanner</t>
        </is>
      </c>
      <c r="B532" s="35" t="inlineStr">
        <is>
          <t>B0CY28XF7G</t>
        </is>
      </c>
      <c r="C532" s="35" t="inlineStr">
        <is>
          <t>Tablet</t>
        </is>
      </c>
      <c r="D532" s="359" t="n">
        <v>559</v>
      </c>
      <c r="E532" s="359" t="n">
        <v>5357.84</v>
      </c>
      <c r="F532" s="361" t="n">
        <v>0</v>
      </c>
      <c r="G532" s="68" t="n">
        <v>10</v>
      </c>
      <c r="H532" s="68" t="n">
        <v>0</v>
      </c>
      <c r="I532" s="68" t="n">
        <v>8</v>
      </c>
      <c r="J532" s="69" t="n">
        <v>4.5</v>
      </c>
      <c r="K532" s="69" t="inlineStr">
        <is>
          <t>https://amazon.com/dp/B0CY28XF7G</t>
        </is>
      </c>
      <c r="L532" s="114">
        <f>HYPERLINK(Table1311[[#This Row],[Column1]])</f>
        <v/>
      </c>
    </row>
    <row r="533" ht="60" customHeight="1" s="314">
      <c r="A533" s="35" t="inlineStr">
        <is>
          <t>Autel MaxiSys Ultra 1-Year Update Service, Total Care Program (TCP) Card, One Year Software Subscription &amp; Warranty for OBD2/CAN Bi-Directional Dual Wi-Fi Diagnostic Scanner and VCMI</t>
        </is>
      </c>
      <c r="B533" s="35" t="inlineStr">
        <is>
          <t>B0CZ3QNHXQ</t>
        </is>
      </c>
      <c r="C533" s="35" t="inlineStr">
        <is>
          <t>Other</t>
        </is>
      </c>
      <c r="D533" s="359" t="n">
        <v>1299</v>
      </c>
      <c r="E533" s="359" t="n">
        <v>21223.1</v>
      </c>
      <c r="F533" s="361" t="n">
        <v>0</v>
      </c>
      <c r="G533" s="68" t="n">
        <v>16</v>
      </c>
      <c r="H533" s="68" t="n">
        <v>0</v>
      </c>
      <c r="I533" s="68" t="n"/>
      <c r="J533" s="69" t="n"/>
      <c r="K533" s="69" t="inlineStr">
        <is>
          <t>https://amazon.com/dp/B0CZ3QNHXQ</t>
        </is>
      </c>
      <c r="L533" s="114">
        <f>HYPERLINK(Table1311[[#This Row],[Column1]])</f>
        <v/>
      </c>
    </row>
    <row r="534" ht="45" customHeight="1" s="314">
      <c r="A534" s="35" t="inlineStr">
        <is>
          <t>Autel MaxiCheck MX900 Include MV108S Function as MK900 MK900BT Upgrade of MX808 MK808S MD808 MS906 OBD2 Scanner All System Diagnostic Scan Tool</t>
        </is>
      </c>
      <c r="B534" s="35" t="inlineStr">
        <is>
          <t>B09MRZH3SY</t>
        </is>
      </c>
      <c r="C534" s="35" t="inlineStr">
        <is>
          <t>Tablet</t>
        </is>
      </c>
      <c r="D534" s="359" t="n">
        <v>589</v>
      </c>
      <c r="E534" s="359" t="n">
        <v>2627.05</v>
      </c>
      <c r="F534" s="361" t="n">
        <v>0</v>
      </c>
      <c r="G534" s="68" t="n">
        <v>4</v>
      </c>
      <c r="H534" s="68" t="n">
        <v>0</v>
      </c>
      <c r="I534" s="68" t="n">
        <v>4</v>
      </c>
      <c r="J534" s="69" t="n">
        <v>5</v>
      </c>
      <c r="K534" s="69" t="inlineStr">
        <is>
          <t>https://amazon.com/dp/B09MRZH3SY</t>
        </is>
      </c>
      <c r="L534" s="114">
        <f>HYPERLINK(Table1311[[#This Row],[Column1]])</f>
        <v/>
      </c>
    </row>
    <row r="535" ht="45" customHeight="1" s="314">
      <c r="A535" s="35" t="inlineStr">
        <is>
          <t>Autel J2534 MaxiFlash VCI Kit, 2025 Bluetooth Vehicle Communication Interface J2534, ECU Programming, DoIP/CAN FD/ J2534/ D-PDU 4 Channels, Work with MaxiSYS MS909 MS909EV MS909CV MaxiCOM Ultra Lite</t>
        </is>
      </c>
      <c r="B535" s="35" t="inlineStr">
        <is>
          <t>B0B1TCK59R</t>
        </is>
      </c>
      <c r="C535" s="35" t="inlineStr">
        <is>
          <t>VCI</t>
        </is>
      </c>
      <c r="D535" s="359" t="n">
        <v>999</v>
      </c>
      <c r="E535" s="359" t="n">
        <v>13554.92</v>
      </c>
      <c r="F535" s="361" t="n">
        <v>0</v>
      </c>
      <c r="G535" s="68" t="n">
        <v>14</v>
      </c>
      <c r="H535" s="68" t="n">
        <v>0</v>
      </c>
      <c r="I535" s="68" t="n">
        <v>10</v>
      </c>
      <c r="J535" s="69" t="n">
        <v>4.4</v>
      </c>
      <c r="K535" s="69" t="inlineStr">
        <is>
          <t>https://amazon.com/dp/B0B1TCK59R</t>
        </is>
      </c>
      <c r="L535" s="114">
        <f>HYPERLINK(Table1311[[#This Row],[Column1]])</f>
        <v/>
      </c>
    </row>
    <row r="536" ht="45" customHeight="1" s="314">
      <c r="A536" s="35" t="inlineStr">
        <is>
          <t>Autel MaxiTPMS TBE200 with Screen Wiper Autel Tire Brake Examiner Tire Tread Depth &amp; Brake Disc Wear Examiner Touchscreen Real-time Tire Health Tire ID Scan Reports &amp; Repair Tips On ITS600</t>
        </is>
      </c>
      <c r="B536" s="35" t="inlineStr">
        <is>
          <t>B0BDRDXPBT</t>
        </is>
      </c>
      <c r="C536" s="35" t="inlineStr">
        <is>
          <t>Other</t>
        </is>
      </c>
      <c r="D536" s="359" t="n">
        <v>569.5</v>
      </c>
      <c r="E536" s="359" t="n">
        <v>3088.88</v>
      </c>
      <c r="F536" s="361" t="n">
        <v>0</v>
      </c>
      <c r="G536" s="68" t="n">
        <v>7</v>
      </c>
      <c r="H536" s="68" t="n">
        <v>0</v>
      </c>
      <c r="I536" s="68" t="n">
        <v>2</v>
      </c>
      <c r="J536" s="69" t="n">
        <v>3.9</v>
      </c>
      <c r="K536" s="69" t="inlineStr">
        <is>
          <t>https://amazon.com/dp/B0BDRDXPBT</t>
        </is>
      </c>
      <c r="L536" s="114">
        <f>HYPERLINK(Table1311[[#This Row],[Column1]])</f>
        <v/>
      </c>
    </row>
    <row r="537" ht="60" customHeight="1" s="314">
      <c r="A537" s="35" t="inlineStr">
        <is>
          <t>Autel MaxiSys MS909 S2 Scanner: 2026 Top AI Intelligen Scan Diagnostic as Ultra S2 MS919S2, Up of Ultra MS919 MS909, 3.0 Topology, Enhanced PID Analysis, Motor Truspeed, 48+ Service, JVCI2 Pr0gramming</t>
        </is>
      </c>
      <c r="B537" s="35" t="inlineStr">
        <is>
          <t>B0FXMRS5FR</t>
        </is>
      </c>
      <c r="C537" s="35" t="inlineStr">
        <is>
          <t>Tablet</t>
        </is>
      </c>
      <c r="D537" s="359" t="n">
        <v>3599</v>
      </c>
      <c r="E537" s="359" t="n">
        <v>18149.52</v>
      </c>
      <c r="F537" s="361" t="n">
        <v>0</v>
      </c>
      <c r="G537" s="68" t="n">
        <v>5</v>
      </c>
      <c r="H537" s="68" t="n">
        <v>0</v>
      </c>
      <c r="I537" s="68" t="n">
        <v>1</v>
      </c>
      <c r="J537" s="69" t="n">
        <v>5</v>
      </c>
      <c r="K537" s="69" t="inlineStr">
        <is>
          <t>https://amazon.com/dp/B0FXMRS5FR</t>
        </is>
      </c>
      <c r="L537" s="114">
        <f>HYPERLINK(Table1311[[#This Row],[Column1]])</f>
        <v/>
      </c>
    </row>
    <row r="538" ht="17" customHeight="1" s="314">
      <c r="A538" s="35" t="inlineStr">
        <is>
          <t>Autel MaxiSys Ultra EV 1-Year Update Service, Total Care Program (TCP) Card, One Year Software Subscription &amp; Warranty</t>
        </is>
      </c>
      <c r="B538" s="35" t="inlineStr">
        <is>
          <t>B0FR8VJPF6</t>
        </is>
      </c>
      <c r="C538" s="35" t="inlineStr">
        <is>
          <t>Tablet</t>
        </is>
      </c>
      <c r="D538" s="359" t="n">
        <v>1299</v>
      </c>
      <c r="E538" s="359" t="n">
        <v>0</v>
      </c>
      <c r="F538" s="361" t="n">
        <v>0</v>
      </c>
      <c r="G538" s="68" t="n">
        <v>0</v>
      </c>
      <c r="H538" s="68" t="n">
        <v>0</v>
      </c>
      <c r="I538" s="68" t="n"/>
      <c r="J538" s="69" t="n"/>
      <c r="K538" s="69" t="inlineStr">
        <is>
          <t>https://amazon.com/dp/B0FR8VJPF6</t>
        </is>
      </c>
      <c r="L538" s="114">
        <f>HYPERLINK(Table1311[[#This Row],[Column1]])</f>
        <v/>
      </c>
    </row>
    <row r="539" ht="17" customHeight="1" s="314">
      <c r="A539" s="35" t="inlineStr">
        <is>
          <t>Autel MaxiSys MS909 Scanner: 2026 MS909 Scan Tool Same as MS919 Ultra, Up of MS908S PRO II Elite II, Intelligent Diagnostics, Topology 2.0, 40+ Services, Active Test</t>
        </is>
      </c>
      <c r="B539" s="35" t="inlineStr">
        <is>
          <t>B07NYQL1WV</t>
        </is>
      </c>
      <c r="C539" s="35" t="inlineStr">
        <is>
          <t>Tablet</t>
        </is>
      </c>
      <c r="D539" s="359" t="n">
        <v>2999</v>
      </c>
      <c r="E539" s="359" t="n">
        <v>24534.84</v>
      </c>
      <c r="F539" s="361" t="n">
        <v>0</v>
      </c>
      <c r="G539" s="68" t="n">
        <v>7</v>
      </c>
      <c r="H539" s="68" t="n">
        <v>0</v>
      </c>
      <c r="I539" s="68" t="n">
        <v>9</v>
      </c>
      <c r="J539" s="69" t="n">
        <v>4.6</v>
      </c>
      <c r="K539" s="69" t="inlineStr">
        <is>
          <t>https://amazon.com/dp/B07NYQL1WV</t>
        </is>
      </c>
      <c r="L539" s="114">
        <f>HYPERLINK(Table1311[[#This Row],[Column1]])</f>
        <v/>
      </c>
    </row>
    <row r="540" ht="60" customHeight="1" s="314">
      <c r="A540" s="35" t="inlineStr">
        <is>
          <t>Autel MaxiTPMS ITS600CV Commercial Vehicle TPMS Tool, for Trucks Trailers Buses, Activate/Read/Program CVS-A01 Sensors, Bluetooth VCI, Bendix/WABCO Support, Includes 6/9-Pin UNI-4 DLC Adapters</t>
        </is>
      </c>
      <c r="B540" s="35" t="inlineStr">
        <is>
          <t>B0FN75BVGG</t>
        </is>
      </c>
      <c r="C540" s="35" t="inlineStr">
        <is>
          <t>Handheld</t>
        </is>
      </c>
      <c r="D540" s="359" t="n">
        <v>699</v>
      </c>
      <c r="E540" s="359" t="n">
        <v>3572.35</v>
      </c>
      <c r="F540" s="361" t="n">
        <v>0</v>
      </c>
      <c r="G540" s="68" t="n">
        <v>5</v>
      </c>
      <c r="H540" s="68" t="n">
        <v>0</v>
      </c>
      <c r="I540" s="68" t="n">
        <v>1</v>
      </c>
      <c r="J540" s="69" t="n">
        <v>5</v>
      </c>
      <c r="K540" s="69" t="inlineStr">
        <is>
          <t>https://amazon.com/dp/B0FN75BVGG</t>
        </is>
      </c>
      <c r="L540" s="114">
        <f>HYPERLINK(Table1311[[#This Row],[Column1]])</f>
        <v/>
      </c>
    </row>
    <row r="541" ht="17" customHeight="1" s="314">
      <c r="A541" s="35" t="inlineStr">
        <is>
          <t>Autel MaxiTPMS TS900 TPMS Tool Programming Same as MX900TS Upgrade of MS906TS TS608 MK808 MK808S Programming Relearn Reset Full TPMS Functions DoIP&amp;CAN FD</t>
        </is>
      </c>
      <c r="B541" s="35" t="inlineStr">
        <is>
          <t>B0CZN1DQWC</t>
        </is>
      </c>
      <c r="C541" s="35" t="inlineStr">
        <is>
          <t>Tablet</t>
        </is>
      </c>
      <c r="D541" s="359" t="n">
        <v>849</v>
      </c>
      <c r="E541" s="359" t="n">
        <v>8703.23</v>
      </c>
      <c r="F541" s="361" t="n">
        <v>0</v>
      </c>
      <c r="G541" s="68" t="n">
        <v>11</v>
      </c>
      <c r="H541" s="68" t="n">
        <v>0</v>
      </c>
      <c r="I541" s="68" t="n">
        <v>7</v>
      </c>
      <c r="J541" s="69" t="n">
        <v>5</v>
      </c>
      <c r="K541" s="69" t="inlineStr">
        <is>
          <t>https://amazon.com/dp/B0CZN1DQWC</t>
        </is>
      </c>
      <c r="L541" s="114">
        <f>HYPERLINK(Table1311[[#This Row],[Column1]])</f>
        <v/>
      </c>
    </row>
    <row r="542" ht="45" customHeight="1" s="314">
      <c r="A542" s="35" t="inlineStr">
        <is>
          <t>Autel MaxiCom Ultra Lite Scanner 2026: 2-Year Update Same as Maxisys Ultra Motor TruSpeed Repair, New Topology 2.0, 3000+ Test, 40+ Service, Level Up of MS919/Elite II Pro</t>
        </is>
      </c>
      <c r="B542" s="35" t="inlineStr">
        <is>
          <t>B0DK3J7LD8</t>
        </is>
      </c>
      <c r="C542" s="35" t="inlineStr">
        <is>
          <t>Tablet</t>
        </is>
      </c>
      <c r="D542" s="359" t="n">
        <v>2969</v>
      </c>
      <c r="E542" s="359" t="n">
        <v>27067.18</v>
      </c>
      <c r="F542" s="361" t="n">
        <v>0</v>
      </c>
      <c r="G542" s="68" t="n">
        <v>9</v>
      </c>
      <c r="H542" s="68" t="n">
        <v>0</v>
      </c>
      <c r="I542" s="68" t="n">
        <v>3</v>
      </c>
      <c r="J542" s="69" t="n">
        <v>5</v>
      </c>
      <c r="K542" s="69" t="inlineStr">
        <is>
          <t>https://amazon.com/dp/B0DK3J7LD8</t>
        </is>
      </c>
      <c r="L542" s="114">
        <f>HYPERLINK(Table1311[[#This Row],[Column1]])</f>
        <v/>
      </c>
    </row>
    <row r="543" ht="30" customHeight="1" s="314">
      <c r="A543" s="35" t="inlineStr">
        <is>
          <t>Autel MaxiSys MS909CV Truck Scanner: 2026 Top Intelligent Heavy Duty Truck Diagnostic, Motor TruSpeed, Topology 2.0, Up of MS908CV II MS908CV, 64+ Resets 3K+ Bidirectional Tool</t>
        </is>
      </c>
      <c r="B543" s="35" t="inlineStr">
        <is>
          <t>B0G577RSP1</t>
        </is>
      </c>
      <c r="C543" s="35" t="inlineStr">
        <is>
          <t>Tablet</t>
        </is>
      </c>
      <c r="D543" s="359" t="n">
        <v>4495</v>
      </c>
      <c r="E543" s="359" t="n">
        <v>14947.1</v>
      </c>
      <c r="F543" s="361" t="n">
        <v>0</v>
      </c>
      <c r="G543" s="68" t="n">
        <v>3</v>
      </c>
      <c r="H543" s="68" t="n">
        <v>0</v>
      </c>
      <c r="I543" s="68" t="n">
        <v>4</v>
      </c>
      <c r="J543" s="69" t="n">
        <v>4.7</v>
      </c>
      <c r="K543" s="69" t="inlineStr">
        <is>
          <t>https://amazon.com/dp/B0G577RSP1</t>
        </is>
      </c>
      <c r="L543" s="114">
        <f>HYPERLINK(Table1311[[#This Row],[Column1]])</f>
        <v/>
      </c>
    </row>
    <row r="544" ht="60" customHeight="1" s="314">
      <c r="A544" s="35" t="inlineStr">
        <is>
          <t>Autel MaxiIM IM608 II Tool, Same as IM608 PRO II with XP400 PRO GBOX3 APB112 IMKPA[Valued $1316], Upgrade of IM608 PRO/IM608/IM508, ECU Coding, 40+ Service, Full Bidirectional Tool, CAN FD&amp; DOIP</t>
        </is>
      </c>
      <c r="B544" s="35" t="inlineStr">
        <is>
          <t>B0BQDT2KWF</t>
        </is>
      </c>
      <c r="C544" s="35" t="inlineStr">
        <is>
          <t>Tablet</t>
        </is>
      </c>
      <c r="D544" s="359" t="n">
        <v>3299</v>
      </c>
      <c r="E544" s="359" t="n">
        <v>25050.71</v>
      </c>
      <c r="F544" s="361" t="n">
        <v>0</v>
      </c>
      <c r="G544" s="68" t="n">
        <v>7</v>
      </c>
      <c r="H544" s="68" t="n">
        <v>0</v>
      </c>
      <c r="I544" s="68" t="n">
        <v>3</v>
      </c>
      <c r="J544" s="69" t="n">
        <v>2.6</v>
      </c>
      <c r="K544" s="69" t="inlineStr">
        <is>
          <t>https://amazon.com/dp/B0BQDT2KWF</t>
        </is>
      </c>
      <c r="L544" s="114">
        <f>HYPERLINK(Table1311[[#This Row],[Column1]])</f>
        <v/>
      </c>
    </row>
    <row r="545" ht="60" customHeight="1" s="314">
      <c r="A545" s="35" t="inlineStr">
        <is>
          <t>Autel Total Care Program — 1-Year Warranty Update for MS908CV, Model# MS908CV1YRUpdate</t>
        </is>
      </c>
      <c r="B545" s="35" t="inlineStr">
        <is>
          <t>B077TYVN8C</t>
        </is>
      </c>
      <c r="C545" s="35" t="inlineStr">
        <is>
          <t>Other</t>
        </is>
      </c>
      <c r="D545" s="359" t="n">
        <v>795.99</v>
      </c>
      <c r="E545" s="359" t="n">
        <v>23137.26</v>
      </c>
      <c r="F545" s="361" t="n">
        <v>0</v>
      </c>
      <c r="G545" s="68" t="n">
        <v>26</v>
      </c>
      <c r="H545" s="68" t="n">
        <v>0</v>
      </c>
      <c r="I545" s="68" t="n">
        <v>0</v>
      </c>
      <c r="J545" s="69" t="n"/>
      <c r="K545" s="69" t="inlineStr">
        <is>
          <t>https://amazon.com/dp/B077TYVN8C</t>
        </is>
      </c>
      <c r="L545" s="114">
        <f>HYPERLINK(Table1311[[#This Row],[Column1]])</f>
        <v/>
      </c>
    </row>
    <row r="546" ht="60" customHeight="1" s="314">
      <c r="A546" s="35" t="inlineStr">
        <is>
          <t>Autel PowerScan PS100 Automotive Relay Tester Circuit Probe Tool 12V 24V Car System Diagnostic Scan Tool with 20ft Extension Cable Read AC DC Resistance Short/Open Circuit Test</t>
        </is>
      </c>
      <c r="B546" s="35" t="inlineStr">
        <is>
          <t>B0FH4S3KF4</t>
        </is>
      </c>
      <c r="C546" s="35" t="inlineStr">
        <is>
          <t>Probe</t>
        </is>
      </c>
      <c r="D546" s="359" t="n">
        <v>89.98999999999999</v>
      </c>
      <c r="E546" s="359" t="n">
        <v>1715.97</v>
      </c>
      <c r="F546" s="361" t="n">
        <v>0</v>
      </c>
      <c r="G546" s="68" t="n">
        <v>20</v>
      </c>
      <c r="H546" s="68" t="n">
        <v>0</v>
      </c>
      <c r="I546" s="68" t="n"/>
      <c r="J546" s="69" t="n"/>
      <c r="K546" s="69" t="inlineStr">
        <is>
          <t>https://amazon.com/dp/B0FH4S3KF4</t>
        </is>
      </c>
      <c r="L546" s="114">
        <f>HYPERLINK(Table1311[[#This Row],[Column1]])</f>
        <v/>
      </c>
    </row>
    <row r="547" ht="17" customHeight="1" s="314">
      <c r="A547" s="35" t="inlineStr">
        <is>
          <t>Autel OBD2 Scanner Maxilink ML529, 2026 Code Reader Full OBD2 Functions for Turning Off Engine Light O2 Sensor Test AutoVin DTC Lookup Free Online Update</t>
        </is>
      </c>
      <c r="B547" s="35" t="inlineStr">
        <is>
          <t>B07PR3BNX3</t>
        </is>
      </c>
      <c r="C547" s="35" t="inlineStr">
        <is>
          <t>Handheld</t>
        </is>
      </c>
      <c r="D547" s="359" t="n">
        <v>59</v>
      </c>
      <c r="E547" s="359" t="n">
        <v>1757.15</v>
      </c>
      <c r="F547" s="361" t="n">
        <v>0</v>
      </c>
      <c r="G547" s="68" t="n">
        <v>30</v>
      </c>
      <c r="H547" s="68" t="n">
        <v>0</v>
      </c>
      <c r="I547" s="68" t="n">
        <v>243</v>
      </c>
      <c r="J547" s="69" t="n">
        <v>4.6</v>
      </c>
      <c r="K547" s="69" t="inlineStr">
        <is>
          <t>https://amazon.com/dp/B07PR3BNX3</t>
        </is>
      </c>
      <c r="L547" s="114">
        <f>HYPERLINK(Table1311[[#This Row],[Column1]])</f>
        <v/>
      </c>
    </row>
    <row r="548" ht="45" customHeight="1" s="314">
      <c r="A548" s="35" t="inlineStr">
        <is>
          <t>Autel MaxiVCI VCI Mini Wireless Bluetooth Diagnostic Vehicle Communication Interface Connector Compact Auto OBD2 Scanner for MK808BT MK808TS MX808TS MP808TS TS608 MS906S Oil Reset EPB BMS SAS TPMS</t>
        </is>
      </c>
      <c r="B548" s="35" t="inlineStr">
        <is>
          <t>B0B87BDVZP</t>
        </is>
      </c>
      <c r="C548" s="35" t="inlineStr">
        <is>
          <t>Dongle</t>
        </is>
      </c>
      <c r="D548" s="359" t="n">
        <v>119</v>
      </c>
      <c r="E548" s="359" t="n">
        <v>2323.35</v>
      </c>
      <c r="F548" s="361" t="n">
        <v>0</v>
      </c>
      <c r="G548" s="68" t="n">
        <v>19</v>
      </c>
      <c r="H548" s="68" t="n">
        <v>0</v>
      </c>
      <c r="I548" s="68" t="n">
        <v>3</v>
      </c>
      <c r="J548" s="69" t="n">
        <v>5</v>
      </c>
      <c r="K548" s="69" t="inlineStr">
        <is>
          <t>https://amazon.com/dp/B0B87BDVZP</t>
        </is>
      </c>
      <c r="L548" s="114">
        <f>HYPERLINK(Table1311[[#This Row],[Column1]])</f>
        <v/>
      </c>
    </row>
    <row r="549" ht="45" customHeight="1" s="314">
      <c r="A549" s="35" t="inlineStr">
        <is>
          <t>Autel MaxiSys MS908CV II: 2026 Heavy Duty Truck Scanner Upgrade of MS908CV, Same as MS909CV, Semi Truck Tool with J2534 Tool, C0ding, Active Test, 64 Service, Diesel Diagnostic Tool</t>
        </is>
      </c>
      <c r="B549" s="35" t="inlineStr">
        <is>
          <t>B00E5YQZR4</t>
        </is>
      </c>
      <c r="C549" s="35" t="inlineStr">
        <is>
          <t>Tablet</t>
        </is>
      </c>
      <c r="D549" s="359" t="n">
        <v>2899</v>
      </c>
      <c r="E549" s="359" t="n">
        <v>12954.62</v>
      </c>
      <c r="F549" s="361" t="n">
        <v>0</v>
      </c>
      <c r="G549" s="68" t="n">
        <v>4</v>
      </c>
      <c r="H549" s="68" t="n">
        <v>0</v>
      </c>
      <c r="I549" s="68" t="n">
        <v>13</v>
      </c>
      <c r="J549" s="69" t="n">
        <v>4.2</v>
      </c>
      <c r="K549" s="69" t="inlineStr">
        <is>
          <t>https://amazon.com/dp/B00E5YQZR4</t>
        </is>
      </c>
      <c r="L549" s="114">
        <f>HYPERLINK(Table1311[[#This Row],[Column1]])</f>
        <v/>
      </c>
    </row>
    <row r="550" ht="45" customHeight="1" s="314">
      <c r="A550" s="35" t="inlineStr">
        <is>
          <t>Autel MS906BT1YRUPDATE, XNR-SS278</t>
        </is>
      </c>
      <c r="B550" s="35" t="inlineStr">
        <is>
          <t>B0CRCXZ7XJ</t>
        </is>
      </c>
      <c r="C550" s="35" t="inlineStr">
        <is>
          <t>Other</t>
        </is>
      </c>
      <c r="D550" s="359" t="n">
        <v>409</v>
      </c>
      <c r="E550" s="359" t="n">
        <v>10504.19</v>
      </c>
      <c r="F550" s="361" t="n">
        <v>0</v>
      </c>
      <c r="G550" s="68" t="n">
        <v>27</v>
      </c>
      <c r="H550" s="68" t="n">
        <v>0</v>
      </c>
      <c r="I550" s="68" t="n">
        <v>2</v>
      </c>
      <c r="J550" s="69" t="n">
        <v>4.5</v>
      </c>
      <c r="K550" s="69" t="inlineStr">
        <is>
          <t>https://amazon.com/dp/B0CRCXZ7XJ</t>
        </is>
      </c>
      <c r="L550" s="114">
        <f>HYPERLINK(Table1311[[#This Row],[Column1]])</f>
        <v/>
      </c>
    </row>
    <row r="551" ht="45" customHeight="1" s="314">
      <c r="A551" s="35" t="inlineStr">
        <is>
          <t>Autel AutoLink AL419 Vehicle OBDII/CAN Code Reader TFT Color Display Clears Codes and resets Monitors Views Freeze Frame Data DTC Definitions VIN</t>
        </is>
      </c>
      <c r="B551" s="35" t="inlineStr">
        <is>
          <t>B01M8N4YYX</t>
        </is>
      </c>
      <c r="C551" s="35" t="inlineStr">
        <is>
          <t>Handheld</t>
        </is>
      </c>
      <c r="D551" s="359" t="n">
        <v>59</v>
      </c>
      <c r="E551" s="359" t="n">
        <v>464</v>
      </c>
      <c r="F551" s="361" t="n">
        <v>0</v>
      </c>
      <c r="G551" s="68" t="n">
        <v>6</v>
      </c>
      <c r="H551" s="68" t="n">
        <v>0</v>
      </c>
      <c r="I551" s="68" t="n"/>
      <c r="J551" s="69" t="n"/>
      <c r="K551" s="69" t="inlineStr">
        <is>
          <t>https://amazon.com/dp/B01M8N4YYX</t>
        </is>
      </c>
      <c r="L551" s="114">
        <f>HYPERLINK(Table1311[[#This Row],[Column1]])</f>
        <v/>
      </c>
    </row>
    <row r="552" ht="45" customHeight="1" s="314">
      <c r="A552" s="35" t="inlineStr">
        <is>
          <t>Autel MaxiSys MS906Pro-TS 1-Year Update Service, Total Care Program (TCP) Card, One Year Software Subscription &amp; Warranty for MS906 Pro-TS Diagnostic Scanner Bi Directional Tool</t>
        </is>
      </c>
      <c r="B552" s="35" t="inlineStr">
        <is>
          <t>B0FFB26CYT</t>
        </is>
      </c>
      <c r="C552" s="35" t="inlineStr">
        <is>
          <t>Tablet</t>
        </is>
      </c>
      <c r="D552" s="359" t="n">
        <v>589</v>
      </c>
      <c r="E552" s="359" t="n">
        <v>1406.98</v>
      </c>
      <c r="F552" s="361" t="n">
        <v>0</v>
      </c>
      <c r="G552" s="68" t="n">
        <v>2</v>
      </c>
      <c r="H552" s="68" t="n">
        <v>0</v>
      </c>
      <c r="I552" s="68" t="n">
        <v>1</v>
      </c>
      <c r="J552" s="69" t="n">
        <v>5</v>
      </c>
      <c r="K552" s="69" t="inlineStr">
        <is>
          <t>https://amazon.com/dp/B0FFB26CYT</t>
        </is>
      </c>
      <c r="L552" s="114">
        <f>HYPERLINK(Table1311[[#This Row],[Column1]])</f>
        <v/>
      </c>
    </row>
    <row r="553" ht="45" customHeight="1" s="314">
      <c r="A553" s="35" t="inlineStr">
        <is>
          <t>Autel MaxiDiag MD808 Pro OBD2 Scanner Code Reader Level-up of MD808 MD806 MD802 Lifetime Upgrade All System Auto SCAN DTCs Detection Codes All 10 OBDII Test Modes OLS/EPB/SBC/SAS/BMS/DPF</t>
        </is>
      </c>
      <c r="B553" s="35" t="inlineStr">
        <is>
          <t>B0DBHJSSXG</t>
        </is>
      </c>
      <c r="C553" s="35" t="inlineStr">
        <is>
          <t>Handheld</t>
        </is>
      </c>
      <c r="D553" s="359" t="n">
        <v>259</v>
      </c>
      <c r="E553" s="359" t="n">
        <v>3955.5</v>
      </c>
      <c r="F553" s="361" t="n">
        <v>0</v>
      </c>
      <c r="G553" s="68" t="n">
        <v>15</v>
      </c>
      <c r="H553" s="68" t="n">
        <v>0</v>
      </c>
      <c r="I553" s="68" t="n">
        <v>6</v>
      </c>
      <c r="J553" s="69" t="n">
        <v>4.1</v>
      </c>
      <c r="K553" s="69" t="inlineStr">
        <is>
          <t>https://amazon.com/dp/B0DBHJSSXG</t>
        </is>
      </c>
      <c r="L553" s="114">
        <f>HYPERLINK(Table1311[[#This Row],[Column1]])</f>
        <v/>
      </c>
    </row>
    <row r="554" ht="45" customHeight="1" s="314">
      <c r="A554" s="35" t="inlineStr">
        <is>
          <t>2026 Autel Scanner MaxiCOM Ultra Lite, 2-Year Update, Same as MaxiSys Ultra Up of MS919 MS909 Elite 2 Pro, Intelligent Topology 2.0, Motor TruSpeed, 40+ Reset, 3K+ Bidirectional Diagnostic Scan Tool</t>
        </is>
      </c>
      <c r="B554" s="35" t="inlineStr">
        <is>
          <t>B09XGQJV13</t>
        </is>
      </c>
      <c r="C554" s="35" t="inlineStr">
        <is>
          <t>Tablet</t>
        </is>
      </c>
      <c r="D554" s="359" t="n">
        <v>2969</v>
      </c>
      <c r="E554" s="359" t="n">
        <v>45509.32</v>
      </c>
      <c r="F554" s="361" t="n">
        <v>0</v>
      </c>
      <c r="G554" s="68" t="n">
        <v>16</v>
      </c>
      <c r="H554" s="68" t="n">
        <v>0</v>
      </c>
      <c r="I554" s="68" t="n">
        <v>11</v>
      </c>
      <c r="J554" s="69" t="n">
        <v>4.8</v>
      </c>
      <c r="K554" s="69" t="inlineStr">
        <is>
          <t>https://amazon.com/dp/B09XGQJV13</t>
        </is>
      </c>
      <c r="L554" s="114">
        <f>HYPERLINK(Table1311[[#This Row],[Column1]])</f>
        <v/>
      </c>
    </row>
    <row r="555" ht="45" customHeight="1" s="314">
      <c r="A555" s="35" t="inlineStr">
        <is>
          <t>Autel MaxiFlash VCI Kit, J2534 Pass-Thru Programming Device, Compatible with MS909/MS909EV/MS909CV/Ultra Lite/Elite II Pro, Supports CAN FD, DoIP, RP1210, ECU Coding &amp; BMW Benz Programming</t>
        </is>
      </c>
      <c r="B555" s="35" t="inlineStr">
        <is>
          <t>B0BS2LXT6X</t>
        </is>
      </c>
      <c r="C555" s="35" t="inlineStr">
        <is>
          <t>VCI</t>
        </is>
      </c>
      <c r="D555" s="359" t="n">
        <v>899</v>
      </c>
      <c r="E555" s="359" t="n">
        <v>5257.73</v>
      </c>
      <c r="F555" s="361" t="n">
        <v>0</v>
      </c>
      <c r="G555" s="68" t="n">
        <v>6</v>
      </c>
      <c r="H555" s="68" t="n">
        <v>0</v>
      </c>
      <c r="I555" s="68" t="n">
        <v>5</v>
      </c>
      <c r="J555" s="69" t="n">
        <v>4.7</v>
      </c>
      <c r="K555" s="69" t="inlineStr">
        <is>
          <t>https://amazon.com/dp/B0BS2LXT6X</t>
        </is>
      </c>
      <c r="L555" s="114">
        <f>HYPERLINK(Table1311[[#This Row],[Column1]])</f>
        <v/>
      </c>
    </row>
    <row r="556" ht="45" customHeight="1" s="314">
      <c r="A556" s="35" t="inlineStr">
        <is>
          <t>Autel TESKIT3Y Tesla 3 and Y Model Vehicles Compatible Diagnostic Cable Adapter Compatible with Autel Ultra MS919 MS909 Elite II Ultra Enables to Read and Erase Codes 26Pin OBD1 to 16 Pin OBD2</t>
        </is>
      </c>
      <c r="B556" s="35" t="inlineStr">
        <is>
          <t>B0DDT7J8VH</t>
        </is>
      </c>
      <c r="C556" s="35" t="inlineStr">
        <is>
          <t>Cable/Adapter</t>
        </is>
      </c>
      <c r="D556" s="359" t="n">
        <v>49.99</v>
      </c>
      <c r="E556" s="359" t="n">
        <v>1616.15</v>
      </c>
      <c r="F556" s="361" t="n">
        <v>0</v>
      </c>
      <c r="G556" s="68" t="n">
        <v>34</v>
      </c>
      <c r="H556" s="68" t="n">
        <v>0</v>
      </c>
      <c r="I556" s="68" t="n"/>
      <c r="J556" s="69" t="n"/>
      <c r="K556" s="69" t="inlineStr">
        <is>
          <t>https://amazon.com/dp/B0DDT7J8VH</t>
        </is>
      </c>
      <c r="L556" s="114">
        <f>HYPERLINK(Table1311[[#This Row],[Column1]])</f>
        <v/>
      </c>
    </row>
    <row r="557" ht="30" customHeight="1" s="314">
      <c r="A557" s="35" t="inlineStr">
        <is>
          <t>Autel MaxiPRO MP900 Scanner, 2025 DoIP/CAN-FD MP900, Same as MP900BT, Upgraded of MP808BT PRO MS906BT MP808S DS808 MX900, Pro ECU Coding, 3000+Bidirectional, 40+ Services, Auto VIN, OS 11,FCA SGW</t>
        </is>
      </c>
      <c r="B557" s="35" t="inlineStr">
        <is>
          <t>B09LD27XKV</t>
        </is>
      </c>
      <c r="C557" s="35" t="inlineStr">
        <is>
          <t>Tablet</t>
        </is>
      </c>
      <c r="D557" s="359" t="n">
        <v>799</v>
      </c>
      <c r="E557" s="359" t="n">
        <v>3274.13</v>
      </c>
      <c r="F557" s="361" t="n">
        <v>0</v>
      </c>
      <c r="G557" s="68" t="n">
        <v>5</v>
      </c>
      <c r="H557" s="68" t="n">
        <v>0</v>
      </c>
      <c r="I557" s="68" t="n">
        <v>29</v>
      </c>
      <c r="J557" s="69" t="n">
        <v>4.1</v>
      </c>
      <c r="K557" s="69" t="inlineStr">
        <is>
          <t>https://amazon.com/dp/B09LD27XKV</t>
        </is>
      </c>
      <c r="L557" s="114">
        <f>HYPERLINK(Table1311[[#This Row],[Column1]])</f>
        <v/>
      </c>
    </row>
    <row r="558" ht="45" customHeight="1" s="314">
      <c r="A558" s="35" t="inlineStr">
        <is>
          <t>Autel Ultra EV Scanner, High Voltage Battery Pack Analysis, Diagnostic Scanner, with EVDiag Kit MaxiFlash VCMI, Bi Directional Control, ECU Coding, Programming Advanced Autel Ultra MS919 MS909</t>
        </is>
      </c>
      <c r="B558" s="35" t="inlineStr">
        <is>
          <t>B0BHYJZB2P</t>
        </is>
      </c>
      <c r="C558" s="35" t="inlineStr">
        <is>
          <t>Tablet</t>
        </is>
      </c>
      <c r="D558" s="359" t="n">
        <v>4995</v>
      </c>
      <c r="E558" s="359" t="n">
        <v>71821.13</v>
      </c>
      <c r="F558" s="361" t="n">
        <v>0</v>
      </c>
      <c r="G558" s="68" t="n">
        <v>14</v>
      </c>
      <c r="H558" s="68" t="n">
        <v>0</v>
      </c>
      <c r="I558" s="68" t="n">
        <v>14</v>
      </c>
      <c r="J558" s="69" t="n">
        <v>4.7</v>
      </c>
      <c r="K558" s="69" t="inlineStr">
        <is>
          <t>https://amazon.com/dp/B0BHYJZB2P</t>
        </is>
      </c>
      <c r="L558" s="114">
        <f>HYPERLINK(Table1311[[#This Row],[Column1]])</f>
        <v/>
      </c>
    </row>
    <row r="559" ht="45" customHeight="1" s="314">
      <c r="A559" s="35" t="inlineStr">
        <is>
          <t>2025 Autel Scanner MaxilM IM508S PRO OBD II Diagnostic Scan Tool, 2026 Same as IM608 PRO 2/ IM608S II, Enhanced of IM508S IM508</t>
        </is>
      </c>
      <c r="B559" s="35" t="inlineStr">
        <is>
          <t>B07PQ878S5</t>
        </is>
      </c>
      <c r="C559" s="35" t="inlineStr">
        <is>
          <t>Tablet</t>
        </is>
      </c>
      <c r="D559" s="359" t="n">
        <v>1599</v>
      </c>
      <c r="E559" s="359" t="n">
        <v>51729.57000000001</v>
      </c>
      <c r="F559" s="361" t="n">
        <v>0</v>
      </c>
      <c r="G559" s="68" t="n">
        <v>32</v>
      </c>
      <c r="H559" s="68" t="n">
        <v>0</v>
      </c>
      <c r="I559" s="68" t="n">
        <v>13</v>
      </c>
      <c r="J559" s="69" t="n">
        <v>4.3</v>
      </c>
      <c r="K559" s="69" t="inlineStr">
        <is>
          <t>https://amazon.com/dp/B07PQ878S5</t>
        </is>
      </c>
      <c r="L559" s="114">
        <f>HYPERLINK(Table1311[[#This Row],[Column1]])</f>
        <v/>
      </c>
    </row>
    <row r="560" ht="45" customHeight="1" s="314">
      <c r="A560" s="35" t="inlineStr">
        <is>
          <t>Autel MaxiSYS MS908S Pro II: J2534 Reprogramming Tool, 2026 Upgrade of MK908 Pro ECU Coding Tool, Bidirectional Scanner with 38+ Services, AutoScan 2.0, FCA AutoAuth, Alternative to MaxiSYS Elite II</t>
        </is>
      </c>
      <c r="B560" s="35" t="inlineStr">
        <is>
          <t>B00Y21BPCU</t>
        </is>
      </c>
      <c r="C560" s="35" t="inlineStr">
        <is>
          <t>Tablet</t>
        </is>
      </c>
      <c r="D560" s="359" t="n">
        <v>1969</v>
      </c>
      <c r="E560" s="359" t="n">
        <v>31750.38</v>
      </c>
      <c r="F560" s="361" t="n">
        <v>0</v>
      </c>
      <c r="G560" s="68" t="n">
        <v>16</v>
      </c>
      <c r="H560" s="68" t="n">
        <v>0</v>
      </c>
      <c r="I560" s="68" t="n">
        <v>3</v>
      </c>
      <c r="J560" s="69" t="n">
        <v>4.6</v>
      </c>
      <c r="K560" s="69" t="inlineStr">
        <is>
          <t>https://amazon.com/dp/B00Y21BPCU</t>
        </is>
      </c>
      <c r="L560" s="114">
        <f>HYPERLINK(Table1311[[#This Row],[Column1]])</f>
        <v/>
      </c>
    </row>
    <row r="561" ht="17" customHeight="1" s="314">
      <c r="A561" s="35" t="inlineStr">
        <is>
          <t>2026 Autel Scanner MaxiPRO MP900E KIT: Work as MP900-BT kit MS906 Pro MP808BT Pro w/ 11 Non-OBDII Adapter Kit, DoIP CAN-FD, 40+ Service, OE ECU Function, Bi-Directional Test, All System Scan, FCA SGWG</t>
        </is>
      </c>
      <c r="B561" s="35" t="inlineStr">
        <is>
          <t>B0924G1RDR</t>
        </is>
      </c>
      <c r="C561" s="35" t="inlineStr">
        <is>
          <t>Tablet</t>
        </is>
      </c>
      <c r="D561" s="359" t="n">
        <v>849</v>
      </c>
      <c r="E561" s="359" t="n">
        <v>14846.86</v>
      </c>
      <c r="F561" s="361" t="n">
        <v>0</v>
      </c>
      <c r="G561" s="68" t="n">
        <v>16</v>
      </c>
      <c r="H561" s="68" t="n">
        <v>0</v>
      </c>
      <c r="I561" s="68" t="n">
        <v>26</v>
      </c>
      <c r="J561" s="69" t="n">
        <v>4.5</v>
      </c>
      <c r="K561" s="69" t="inlineStr">
        <is>
          <t>https://amazon.com/dp/B0924G1RDR</t>
        </is>
      </c>
      <c r="L561" s="114">
        <f>HYPERLINK(Table1311[[#This Row],[Column1]])</f>
        <v/>
      </c>
    </row>
    <row r="562" ht="60" customHeight="1" s="314">
      <c r="A562" s="35" t="inlineStr">
        <is>
          <t>Autel MaxiSys MS906 Pro OBD2 Diagnostic Scanner, ECU Coding, 3000+ Active Test, 40+ Service, Bidirectional Scan Tool with CAN FD DoIP, Auto Scan 2.0, Upgrade of MS906S MX900 MK900 MP900BT, FCA SGW</t>
        </is>
      </c>
      <c r="B562" s="35" t="inlineStr">
        <is>
          <t>B0D93H3CZK</t>
        </is>
      </c>
      <c r="C562" s="35" t="inlineStr">
        <is>
          <t>Tablet</t>
        </is>
      </c>
      <c r="D562" s="359" t="n">
        <v>1369</v>
      </c>
      <c r="E562" s="359" t="n">
        <v>20663.95</v>
      </c>
      <c r="F562" s="361" t="n">
        <v>0</v>
      </c>
      <c r="G562" s="68" t="n">
        <v>15</v>
      </c>
      <c r="H562" s="68" t="n">
        <v>0</v>
      </c>
      <c r="I562" s="68" t="n">
        <v>3</v>
      </c>
      <c r="J562" s="69" t="n">
        <v>3.2</v>
      </c>
      <c r="K562" s="69" t="inlineStr">
        <is>
          <t>https://amazon.com/dp/B0D93H3CZK</t>
        </is>
      </c>
      <c r="L562" s="114">
        <f>HYPERLINK(Table1311[[#This Row],[Column1]])</f>
        <v/>
      </c>
    </row>
    <row r="563" ht="34" customHeight="1" s="314">
      <c r="A563" s="35" t="inlineStr">
        <is>
          <t>Autel MaxiLink ML529HD, OBD II/EOBD Code Reader, Latest Diagnostic DIY tools, Scan Tools For Heavy Duty Truck Diagnostic Verhicle J1939 J1708</t>
        </is>
      </c>
      <c r="B563" s="35" t="inlineStr">
        <is>
          <t>B0CC6H1C2K</t>
        </is>
      </c>
      <c r="C563" s="35" t="inlineStr">
        <is>
          <t>Handheld</t>
        </is>
      </c>
      <c r="D563" s="359" t="n">
        <v>125</v>
      </c>
      <c r="E563" s="359" t="n">
        <v>615.22</v>
      </c>
      <c r="F563" s="361" t="n">
        <v>0</v>
      </c>
      <c r="G563" s="68" t="n">
        <v>5</v>
      </c>
      <c r="H563" s="68" t="n">
        <v>0</v>
      </c>
      <c r="I563" s="68" t="n"/>
      <c r="J563" s="69" t="n"/>
      <c r="K563" s="69" t="inlineStr">
        <is>
          <t>https://amazon.com/dp/B0CC6H1C2K</t>
        </is>
      </c>
      <c r="L563" s="114">
        <f>HYPERLINK(Table1311[[#This Row],[Column1]])</f>
        <v/>
      </c>
    </row>
    <row r="564" ht="45" customHeight="1" s="314">
      <c r="A564" s="35" t="inlineStr">
        <is>
          <t>Autel MaxiTPMS TS900, Scanner &amp; TPMS Programming Tool 2-in-1, Upgrade of MK900BT, MK900TS, MS906TS, MX900, MK900, All System Diagnosis, 40+Services CAN FD/DoIP Program Autel MX Sensors</t>
        </is>
      </c>
      <c r="B564" s="35" t="inlineStr">
        <is>
          <t>B0CB6D1644</t>
        </is>
      </c>
      <c r="C564" s="35" t="inlineStr">
        <is>
          <t>Tablet</t>
        </is>
      </c>
      <c r="D564" s="359" t="n">
        <v>799</v>
      </c>
      <c r="E564" s="359" t="n">
        <v>16082.98</v>
      </c>
      <c r="F564" s="361" t="n">
        <v>0</v>
      </c>
      <c r="G564" s="68" t="n">
        <v>20</v>
      </c>
      <c r="H564" s="68" t="n">
        <v>0</v>
      </c>
      <c r="I564" s="68" t="n">
        <v>17</v>
      </c>
      <c r="J564" s="69" t="n">
        <v>4.6</v>
      </c>
      <c r="K564" s="69" t="inlineStr">
        <is>
          <t>https://amazon.com/dp/B0CB6D1644</t>
        </is>
      </c>
      <c r="L564" s="114">
        <f>HYPERLINK(Table1311[[#This Row],[Column1]])</f>
        <v/>
      </c>
    </row>
    <row r="565" ht="45" customHeight="1" s="314">
      <c r="A565" s="35" t="inlineStr">
        <is>
          <t>Autel MaxiBAS BT506 Battery Tester: New Version Multifunctional Car Battery Analyzer (6V 12V 100-2000 CCA), Adaptive Conductance Testing 12V-24V Cranking/Charging Systems, Work with Autel Scanner</t>
        </is>
      </c>
      <c r="B565" s="35" t="inlineStr">
        <is>
          <t>B0BLNTBY98</t>
        </is>
      </c>
      <c r="C565" s="35" t="inlineStr">
        <is>
          <t>Other</t>
        </is>
      </c>
      <c r="D565" s="359" t="n">
        <v>175</v>
      </c>
      <c r="E565" s="359" t="n">
        <v>981.63</v>
      </c>
      <c r="F565" s="361" t="n">
        <v>0</v>
      </c>
      <c r="G565" s="68" t="n">
        <v>5</v>
      </c>
      <c r="H565" s="68" t="n">
        <v>0</v>
      </c>
      <c r="I565" s="68" t="n">
        <v>6</v>
      </c>
      <c r="J565" s="69" t="n">
        <v>5</v>
      </c>
      <c r="K565" s="69" t="inlineStr">
        <is>
          <t>https://amazon.com/dp/B0BLNTBY98</t>
        </is>
      </c>
      <c r="L565" s="114">
        <f>HYPERLINK(Table1311[[#This Row],[Column1]])</f>
        <v/>
      </c>
    </row>
    <row r="566" ht="45" customHeight="1" s="314">
      <c r="A566" s="35" t="inlineStr">
        <is>
          <t>Autel MaxiCOM MK908 Pro II: 205 Same as MS908S PRO II OBD2 Car Diagnostic Scanner, 38+ Service, Active Test, All System Diagnose, Injector Coding, FCA Autoauth OS 11</t>
        </is>
      </c>
      <c r="B566" s="35" t="inlineStr">
        <is>
          <t>B07MX3BCFZ</t>
        </is>
      </c>
      <c r="C566" s="35" t="inlineStr">
        <is>
          <t>Tablet</t>
        </is>
      </c>
      <c r="D566" s="359" t="n">
        <v>1969</v>
      </c>
      <c r="E566" s="359" t="n">
        <v>5214.28</v>
      </c>
      <c r="F566" s="361" t="n">
        <v>0</v>
      </c>
      <c r="G566" s="68" t="n">
        <v>2</v>
      </c>
      <c r="H566" s="68" t="n">
        <v>0</v>
      </c>
      <c r="I566" s="68" t="n">
        <v>19</v>
      </c>
      <c r="J566" s="69" t="n">
        <v>4.2</v>
      </c>
      <c r="K566" s="69" t="inlineStr">
        <is>
          <t>https://amazon.com/dp/B07MX3BCFZ</t>
        </is>
      </c>
      <c r="L566" s="114">
        <f>HYPERLINK(Table1311[[#This Row],[Column1]])</f>
        <v/>
      </c>
    </row>
    <row r="567" ht="45" customHeight="1" s="314">
      <c r="A567" s="35" t="n"/>
      <c r="B567" s="35" t="n"/>
      <c r="C567" s="35" t="n"/>
      <c r="D567" s="359" t="n"/>
      <c r="E567" s="359" t="n"/>
      <c r="F567" s="361" t="n"/>
      <c r="G567" s="68" t="n"/>
      <c r="H567" s="68" t="n"/>
      <c r="I567" s="68" t="n"/>
      <c r="J567" s="69" t="n"/>
      <c r="K567" s="69" t="n"/>
      <c r="L567" s="114">
        <f>HYPERLINK(Table1311[[#This Row],[Column1]])</f>
        <v/>
      </c>
    </row>
    <row r="568" ht="45" customHeight="1" s="314">
      <c r="A568" s="35" t="n"/>
      <c r="B568" s="35" t="n"/>
      <c r="C568" s="35" t="n"/>
      <c r="D568" s="359" t="n"/>
      <c r="E568" s="359" t="n"/>
      <c r="F568" s="361" t="n"/>
      <c r="G568" s="68" t="n"/>
      <c r="H568" s="68" t="n"/>
      <c r="I568" s="68" t="n"/>
      <c r="J568" s="69" t="n"/>
      <c r="K568" s="69" t="n"/>
      <c r="L568" s="114">
        <f>HYPERLINK(Table1311[[#This Row],[Column1]])</f>
        <v/>
      </c>
    </row>
    <row r="569" ht="17" customHeight="1" s="314">
      <c r="A569" s="35" t="n"/>
      <c r="B569" s="35" t="n"/>
      <c r="C569" s="35" t="n"/>
      <c r="D569" s="359" t="n"/>
      <c r="E569" s="359" t="n"/>
      <c r="F569" s="361" t="n"/>
      <c r="G569" s="68" t="n"/>
      <c r="H569" s="68" t="n"/>
      <c r="I569" s="68" t="n"/>
      <c r="J569" s="69" t="n"/>
      <c r="K569" s="69" t="n"/>
      <c r="L569" s="114">
        <f>HYPERLINK(Table1311[[#This Row],[Column1]])</f>
        <v/>
      </c>
    </row>
    <row r="570" ht="45" customHeight="1" s="314">
      <c r="A570" s="35" t="n"/>
      <c r="B570" s="35" t="n"/>
      <c r="C570" s="35" t="n"/>
      <c r="D570" s="359" t="n"/>
      <c r="E570" s="359" t="n"/>
      <c r="F570" s="361" t="n"/>
      <c r="G570" s="68" t="n"/>
      <c r="H570" s="68" t="n"/>
      <c r="I570" s="68" t="n"/>
      <c r="J570" s="69" t="n"/>
      <c r="K570" s="69" t="n"/>
      <c r="L570" s="114">
        <f>HYPERLINK(Table1311[[#This Row],[Column1]])</f>
        <v/>
      </c>
    </row>
    <row r="571" ht="60" customHeight="1" s="314">
      <c r="A571" s="35" t="n"/>
      <c r="B571" s="35" t="n"/>
      <c r="C571" s="35" t="n"/>
      <c r="D571" s="359" t="n"/>
      <c r="E571" s="359" t="n"/>
      <c r="F571" s="361" t="n"/>
      <c r="G571" s="68" t="n"/>
      <c r="H571" s="68" t="n"/>
      <c r="I571" s="68" t="n"/>
      <c r="J571" s="69" t="n"/>
      <c r="K571" s="69" t="n"/>
      <c r="L571" s="114">
        <f>HYPERLINK(Table1311[[#This Row],[Column1]])</f>
        <v/>
      </c>
    </row>
    <row r="572" ht="45" customHeight="1" s="314">
      <c r="A572" s="35" t="n"/>
      <c r="B572" s="35" t="n"/>
      <c r="C572" s="35" t="n"/>
      <c r="D572" s="359" t="n"/>
      <c r="E572" s="359" t="n"/>
      <c r="F572" s="361" t="n"/>
      <c r="G572" s="68" t="n"/>
      <c r="H572" s="68" t="n"/>
      <c r="I572" s="68" t="n"/>
      <c r="J572" s="69" t="n"/>
      <c r="K572" s="69" t="n"/>
      <c r="L572" s="114">
        <f>HYPERLINK(Table1311[[#This Row],[Column1]])</f>
        <v/>
      </c>
    </row>
    <row r="573" ht="60" customHeight="1" s="314">
      <c r="A573" s="35" t="n"/>
      <c r="B573" s="35" t="n"/>
      <c r="C573" s="35" t="n"/>
      <c r="D573" s="359" t="n"/>
      <c r="E573" s="359" t="n"/>
      <c r="F573" s="361" t="n"/>
      <c r="G573" s="68" t="n"/>
      <c r="H573" s="68" t="n"/>
      <c r="I573" s="68" t="n"/>
      <c r="J573" s="69" t="n"/>
      <c r="K573" s="69" t="n"/>
      <c r="L573" s="114">
        <f>HYPERLINK(Table1311[[#This Row],[Column1]])</f>
        <v/>
      </c>
    </row>
    <row r="574" ht="45" customHeight="1" s="314">
      <c r="A574" s="35" t="n"/>
      <c r="B574" s="35" t="n"/>
      <c r="C574" s="35" t="n"/>
      <c r="D574" s="359" t="n"/>
      <c r="E574" s="359" t="n"/>
      <c r="F574" s="361" t="n"/>
      <c r="G574" s="68" t="n"/>
      <c r="H574" s="68" t="n"/>
      <c r="I574" s="68" t="n"/>
      <c r="J574" s="69" t="n"/>
      <c r="K574" s="69" t="n"/>
      <c r="L574" s="114">
        <f>HYPERLINK(Table1311[[#This Row],[Column1]])</f>
        <v/>
      </c>
    </row>
    <row r="575" ht="60" customHeight="1" s="314">
      <c r="A575" s="35" t="n"/>
      <c r="B575" s="35" t="n"/>
      <c r="C575" s="35" t="n"/>
      <c r="D575" s="359" t="n"/>
      <c r="E575" s="359" t="n"/>
      <c r="F575" s="361" t="n"/>
      <c r="G575" s="68" t="n"/>
      <c r="H575" s="68" t="n"/>
      <c r="I575" s="68" t="n"/>
      <c r="J575" s="69" t="n"/>
      <c r="K575" s="69" t="n"/>
      <c r="L575" s="114">
        <f>HYPERLINK(Table1311[[#This Row],[Column1]])</f>
        <v/>
      </c>
    </row>
    <row r="576" ht="17" customHeight="1" s="314">
      <c r="A576" s="41" t="inlineStr">
        <is>
          <t>Total</t>
        </is>
      </c>
      <c r="B576" s="40" t="n"/>
      <c r="C576" s="360" t="n"/>
      <c r="D576" s="360" t="n"/>
      <c r="E576" s="360">
        <f>SUM(E9:E575)</f>
        <v/>
      </c>
      <c r="F576" s="360">
        <f>SUM(F9:F575)</f>
        <v/>
      </c>
      <c r="I576" s="311" t="n"/>
      <c r="J576" s="312" t="n"/>
      <c r="K576" s="321" t="n"/>
    </row>
    <row r="579">
      <c r="A579" s="307" t="inlineStr">
        <is>
          <t>Rank by Units</t>
        </is>
      </c>
    </row>
    <row r="580" ht="17" customHeight="1" s="314">
      <c r="A580" s="46" t="inlineStr">
        <is>
          <t>Product Name</t>
        </is>
      </c>
      <c r="B580" s="47" t="inlineStr">
        <is>
          <t>ASIN</t>
        </is>
      </c>
      <c r="C580" s="47" t="inlineStr">
        <is>
          <t>Type</t>
        </is>
      </c>
      <c r="D580" s="345" t="inlineStr">
        <is>
          <t>Avg Price</t>
        </is>
      </c>
      <c r="E580" s="49" t="inlineStr">
        <is>
          <t>Estimated 12mo Revenue</t>
        </is>
      </c>
      <c r="F580" s="47" t="inlineStr">
        <is>
          <t>Monthly Rev</t>
        </is>
      </c>
      <c r="G580" s="51" t="inlineStr">
        <is>
          <t>Estimated 12mo Units</t>
        </is>
      </c>
      <c r="H580" s="54" t="inlineStr">
        <is>
          <t>Monthly Units</t>
        </is>
      </c>
      <c r="I580" s="51" t="inlineStr">
        <is>
          <t># of Reviews</t>
        </is>
      </c>
      <c r="J580" s="52" t="inlineStr">
        <is>
          <t xml:space="preserve">Tool Rating </t>
        </is>
      </c>
      <c r="K580" s="52" t="inlineStr">
        <is>
          <t>Column1</t>
        </is>
      </c>
      <c r="L580" s="346" t="inlineStr">
        <is>
          <t>Link</t>
        </is>
      </c>
    </row>
    <row r="581" ht="45" customHeight="1" s="314">
      <c r="A581" s="35" t="inlineStr">
        <is>
          <t>Autel Professional OBD2 Scanner AL319 Code Reader, Enhanced Check and Reset Engine Fault Code, Live Data, Freeze Frame, CAN Car Diagnostic Scan Tools for All OBDII Vehicles After 1996, 2026 Upgraded</t>
        </is>
      </c>
      <c r="B581" s="35" t="inlineStr">
        <is>
          <t>B007XE8C74</t>
        </is>
      </c>
      <c r="C581" s="35" t="inlineStr">
        <is>
          <t>Handheld</t>
        </is>
      </c>
      <c r="D581" s="359" t="n">
        <v>33.92090459901178</v>
      </c>
      <c r="E581" s="359" t="n">
        <v>1146321.48</v>
      </c>
      <c r="F581" s="359" t="n">
        <v>89245.89999999999</v>
      </c>
      <c r="G581" s="68" t="n">
        <v>34132</v>
      </c>
      <c r="H581" s="70" t="n">
        <v>2631</v>
      </c>
      <c r="I581" s="68" t="n">
        <v>25897</v>
      </c>
      <c r="J581" s="69" t="n">
        <v>4.6</v>
      </c>
      <c r="K581" s="69" t="inlineStr">
        <is>
          <t>https://amazon.com/dp/B007XE8C74</t>
        </is>
      </c>
      <c r="L581" s="114">
        <f>HYPERLINK(Table1410[[#This Row],[Column1]])</f>
        <v/>
      </c>
    </row>
    <row r="582" ht="45" customHeight="1" s="314">
      <c r="A582" s="35" t="inlineStr">
        <is>
          <t>Autel Scanner MaxiCOM MK808S: 2026 Bidirectional Tool as MX808S MK808BT Pro M808Z, Work as MaxiCheck MX900 MK900BT, 28+ Service, 3000+ Active Tests, All System OBD2 Diagnostics, OS 11, 10X Faster</t>
        </is>
      </c>
      <c r="B582" s="35" t="inlineStr">
        <is>
          <t>B0744B55QV</t>
        </is>
      </c>
      <c r="C582" s="35" t="inlineStr">
        <is>
          <t>Tablet</t>
        </is>
      </c>
      <c r="D582" s="359" t="n">
        <v>455.0867040358744</v>
      </c>
      <c r="E582" s="359" t="n">
        <v>7885233.039999999</v>
      </c>
      <c r="F582" s="359" t="n">
        <v>608906.01</v>
      </c>
      <c r="G582" s="68" t="n">
        <v>17363</v>
      </c>
      <c r="H582" s="70" t="n">
        <v>1338</v>
      </c>
      <c r="I582" s="68" t="n">
        <v>3847</v>
      </c>
      <c r="J582" s="69" t="n">
        <v>4.4</v>
      </c>
      <c r="K582" s="69" t="inlineStr">
        <is>
          <t>https://amazon.com/dp/B0744B55QV</t>
        </is>
      </c>
      <c r="L582" s="114">
        <f>HYPERLINK(Table1410[[#This Row],[Column1]])</f>
        <v/>
      </c>
    </row>
    <row r="583" ht="45" customHeight="1" s="314">
      <c r="A583" s="35" t="inlineStr">
        <is>
          <t>Autel OBD2 Scanner MS309 Universal Car Engine Fault Code Reader, Check Engine Light and Emission Monitor Status, OBDII CAN Diagnostic Scan Tool</t>
        </is>
      </c>
      <c r="B583" s="35" t="inlineStr">
        <is>
          <t>B07Q5H7M5S</t>
        </is>
      </c>
      <c r="C583" s="35" t="inlineStr">
        <is>
          <t>Handheld</t>
        </is>
      </c>
      <c r="D583" s="359" t="n">
        <v>22.98575278810409</v>
      </c>
      <c r="E583" s="359" t="n">
        <v>376205.9</v>
      </c>
      <c r="F583" s="359" t="n">
        <v>24732.67</v>
      </c>
      <c r="G583" s="68" t="n">
        <v>16814</v>
      </c>
      <c r="H583" s="70" t="n">
        <v>1076</v>
      </c>
      <c r="I583" s="68" t="n">
        <v>17084</v>
      </c>
      <c r="J583" s="69" t="n">
        <v>4.6</v>
      </c>
      <c r="K583" s="69" t="inlineStr">
        <is>
          <t>https://amazon.com/dp/B07Q5H7M5S</t>
        </is>
      </c>
      <c r="L583" s="114">
        <f>HYPERLINK(Table1410[[#This Row],[Column1]])</f>
        <v/>
      </c>
    </row>
    <row r="584" ht="45" customHeight="1" s="314">
      <c r="A584" s="35" t="inlineStr">
        <is>
          <t>Autel Scanner MaxiCOM MK900BT, 2026 MK900-BT V2.0 Bidirectional Diagnostic Tool, 8in Up of MK900 MX900 MK808S MK808BT MX808S MK808Z, 3000+ Active Tests, 40+ Service, CAN-FD&amp;DOIP, All System, FCA 11 OS</t>
        </is>
      </c>
      <c r="B584" s="35" t="inlineStr">
        <is>
          <t>B098PYB8XG</t>
        </is>
      </c>
      <c r="C584" s="35" t="inlineStr">
        <is>
          <t>Tablet</t>
        </is>
      </c>
      <c r="D584" s="359" t="n">
        <v>658.7687378640776</v>
      </c>
      <c r="E584" s="359" t="n">
        <v>6159075.856923075</v>
      </c>
      <c r="F584" s="359" t="n">
        <v>542825.4399999999</v>
      </c>
      <c r="G584" s="68" t="n">
        <v>8585</v>
      </c>
      <c r="H584" s="70" t="n">
        <v>824</v>
      </c>
      <c r="I584" s="68" t="n">
        <v>708</v>
      </c>
      <c r="J584" s="69" t="n">
        <v>4.5</v>
      </c>
      <c r="K584" s="69" t="inlineStr">
        <is>
          <t>https://amazon.com/dp/B098PYB8XG</t>
        </is>
      </c>
      <c r="L584" s="114">
        <f>HYPERLINK(Table1410[[#This Row],[Column1]])</f>
        <v/>
      </c>
    </row>
    <row r="585" ht="60" customHeight="1" s="314">
      <c r="A585" s="35" t="inlineStr">
        <is>
          <t>OBD2 12+8 Adapter for Chrysler, 12 8 OBD II Security Gateway Bypass Cable, OBD2 12&amp;8 Connector for FCA SGW Car SGM, Work for All OBD 2 Scanner, for Dodge, for Jeep, for Ram, for Fiat Year 2018+</t>
        </is>
      </c>
      <c r="B585" s="35" t="inlineStr">
        <is>
          <t>B0BJQKK2TJ</t>
        </is>
      </c>
      <c r="C585" s="35" t="inlineStr">
        <is>
          <t>Cable/Adapter</t>
        </is>
      </c>
      <c r="D585" s="359" t="n">
        <v>25.9953947368421</v>
      </c>
      <c r="E585" s="359" t="n">
        <v>237733.66</v>
      </c>
      <c r="F585" s="359" t="n">
        <v>19756.5</v>
      </c>
      <c r="G585" s="68" t="n">
        <v>9339</v>
      </c>
      <c r="H585" s="70" t="n">
        <v>760</v>
      </c>
      <c r="I585" s="68" t="n">
        <v>517</v>
      </c>
      <c r="J585" s="69" t="n">
        <v>4.7</v>
      </c>
      <c r="K585" s="69" t="inlineStr">
        <is>
          <t>https://amazon.com/dp/B0BJQKK2TJ</t>
        </is>
      </c>
      <c r="L585" s="114">
        <f>HYPERLINK(Table1410[[#This Row],[Column1]])</f>
        <v/>
      </c>
    </row>
    <row r="586" ht="45" customHeight="1" s="314">
      <c r="A586" s="35" t="inlineStr">
        <is>
          <t>Autel MaxiAP AP200 OBD2 Scanner Bluetooth Wireless OBDII Auto Diagnostic Tool with Full System Diagnostic, 19 Reset Functions, AutoVIN, Check Engine Light Code Reader for iPhone Android</t>
        </is>
      </c>
      <c r="B586" s="35" t="inlineStr">
        <is>
          <t>B07QD4GZW4</t>
        </is>
      </c>
      <c r="C586" s="35" t="inlineStr">
        <is>
          <t>Dongle</t>
        </is>
      </c>
      <c r="D586" s="359" t="n">
        <v>62.67936608557845</v>
      </c>
      <c r="E586" s="359" t="n">
        <v>548747.09</v>
      </c>
      <c r="F586" s="359" t="n">
        <v>39550.68</v>
      </c>
      <c r="G586" s="68" t="n">
        <v>8571</v>
      </c>
      <c r="H586" s="70" t="n">
        <v>631</v>
      </c>
      <c r="I586" s="68" t="n">
        <v>3186</v>
      </c>
      <c r="J586" s="69" t="n">
        <v>4.1</v>
      </c>
      <c r="K586" s="69" t="inlineStr">
        <is>
          <t>https://amazon.com/dp/B07QD4GZW4</t>
        </is>
      </c>
      <c r="L586" s="114">
        <f>HYPERLINK(Table1410[[#This Row],[Column1]])</f>
        <v/>
      </c>
    </row>
    <row r="587" ht="45" customHeight="1" s="314">
      <c r="A587" s="35" t="inlineStr">
        <is>
          <t>Autel PowerScan PS100 Automotive Circuit Tester 2.0, 12-24V Power Circuit Probe Tool, Electrical Short Open Circuit Finder, AC/DC/Resistance/Component/Signal/Test Light Automotive, 20ft Extension Cord</t>
        </is>
      </c>
      <c r="B587" s="35" t="inlineStr">
        <is>
          <t>B0BW48DKFG</t>
        </is>
      </c>
      <c r="C587" s="35" t="inlineStr">
        <is>
          <t>Probe</t>
        </is>
      </c>
      <c r="D587" s="359" t="n">
        <v>89.97608286252354</v>
      </c>
      <c r="E587" s="359" t="n">
        <v>509231.6592307692</v>
      </c>
      <c r="F587" s="359" t="n">
        <v>47777.3</v>
      </c>
      <c r="G587" s="68" t="n">
        <v>4189</v>
      </c>
      <c r="H587" s="70" t="n">
        <v>531</v>
      </c>
      <c r="I587" s="68" t="n">
        <v>366</v>
      </c>
      <c r="J587" s="69" t="n">
        <v>4.7</v>
      </c>
      <c r="K587" s="69" t="inlineStr">
        <is>
          <t>https://amazon.com/dp/B0BW48DKFG</t>
        </is>
      </c>
      <c r="L587" s="114">
        <f>HYPERLINK(Table1410[[#This Row],[Column1]])</f>
        <v/>
      </c>
    </row>
    <row r="588" ht="60" customHeight="1" s="314">
      <c r="A588" s="35" t="inlineStr">
        <is>
          <t>Autel OBD2 Scanner AutoLink AL549(Upgraded Ver. of AL519)Code Reader with AutoVin, Read/Erase DTCs for ABS, Universal Car Battery Test,OBD2 Scan with Live Data,Check Engine Fault OBD2 Diagnostic Tool</t>
        </is>
      </c>
      <c r="B588" s="35" t="inlineStr">
        <is>
          <t>B0CZ8TZCQS</t>
        </is>
      </c>
      <c r="C588" s="35" t="inlineStr">
        <is>
          <t>Handheld</t>
        </is>
      </c>
      <c r="D588" s="359" t="n">
        <v>64.31249500998004</v>
      </c>
      <c r="E588" s="359" t="n">
        <v>249406.0753846154</v>
      </c>
      <c r="F588" s="359" t="n">
        <v>32220.56</v>
      </c>
      <c r="G588" s="68" t="n">
        <v>3383</v>
      </c>
      <c r="H588" s="70" t="n">
        <v>501</v>
      </c>
      <c r="I588" s="68" t="n">
        <v>571</v>
      </c>
      <c r="J588" s="69" t="n">
        <v>4.4</v>
      </c>
      <c r="K588" s="69" t="inlineStr">
        <is>
          <t>https://amazon.com/dp/B0CZ8TZCQS</t>
        </is>
      </c>
      <c r="L588" s="114">
        <f>HYPERLINK(Table1410[[#This Row],[Column1]])</f>
        <v/>
      </c>
    </row>
    <row r="589" ht="45" customHeight="1" s="314">
      <c r="A589" s="35" t="inlineStr">
        <is>
          <t>Autel Scanner MaxiCheck MX808S, 2026 US Ver. of MaxiCOM MK808S MK808Z, Bidirectional 3000+ Active Test 11OS as MK900 MK900BT MX900, 28+ Service, OE All Systems OBD2 Diagnostic Tool, FCA, 10X Faster</t>
        </is>
      </c>
      <c r="B589" s="35" t="inlineStr">
        <is>
          <t>B08ML7T7KZ</t>
        </is>
      </c>
      <c r="C589" s="35" t="inlineStr">
        <is>
          <t>Tablet</t>
        </is>
      </c>
      <c r="D589" s="359" t="n">
        <v>430.9935983263599</v>
      </c>
      <c r="E589" s="359" t="n">
        <v>3546450.44</v>
      </c>
      <c r="F589" s="359" t="n">
        <v>206014.94</v>
      </c>
      <c r="G589" s="68" t="n">
        <v>8226</v>
      </c>
      <c r="H589" s="70" t="n">
        <v>478</v>
      </c>
      <c r="I589" s="68" t="n">
        <v>711</v>
      </c>
      <c r="J589" s="69" t="n">
        <v>4.7</v>
      </c>
      <c r="K589" s="69" t="inlineStr">
        <is>
          <t>https://amazon.com/dp/B08ML7T7KZ</t>
        </is>
      </c>
      <c r="L589" s="114">
        <f>HYPERLINK(Table1410[[#This Row],[Column1]])</f>
        <v/>
      </c>
    </row>
    <row r="590" ht="45" customHeight="1" s="314">
      <c r="A590" s="35" t="inlineStr">
        <is>
          <t>Autel OBD2 Scanner AL329, Upgraded AutoLink AL319, Auto VIN, Check-Engine-Light Code Reader, MIL Reset, One-Click I/M Readiness, CAN Car Diagnostic Scan Tool, for All OBD II Vehicles After 1996</t>
        </is>
      </c>
      <c r="B590" s="35" t="inlineStr">
        <is>
          <t>B0BHNRPZXR</t>
        </is>
      </c>
      <c r="C590" s="35" t="inlineStr">
        <is>
          <t>Handheld</t>
        </is>
      </c>
      <c r="D590" s="359" t="n">
        <v>34.95733050847458</v>
      </c>
      <c r="E590" s="359" t="n">
        <v>129034.19</v>
      </c>
      <c r="F590" s="359" t="n">
        <v>16499.86</v>
      </c>
      <c r="G590" s="68" t="n">
        <v>3727</v>
      </c>
      <c r="H590" s="70" t="n">
        <v>472</v>
      </c>
      <c r="I590" s="68" t="n">
        <v>140</v>
      </c>
      <c r="J590" s="69" t="n">
        <v>4.6</v>
      </c>
      <c r="K590" s="69" t="inlineStr">
        <is>
          <t>https://amazon.com/dp/B0BHNRPZXR</t>
        </is>
      </c>
      <c r="L590" s="114">
        <f>HYPERLINK(Table1410[[#This Row],[Column1]])</f>
        <v/>
      </c>
    </row>
    <row r="591" ht="45" customHeight="1" s="314">
      <c r="A591" s="35" t="inlineStr">
        <is>
          <t>Autel 7 Pin OBD1 to OBD2 Adapter Cable for Ford, 7Pin OBD1 to 16 Pin OBD2 Diagnostic Cable, Fit for Ford Vehicles with 7Pin Port, Work with Scan Tool and Code Reader</t>
        </is>
      </c>
      <c r="B591" s="35" t="inlineStr">
        <is>
          <t>B0DCFRHNF5</t>
        </is>
      </c>
      <c r="C591" s="35" t="inlineStr">
        <is>
          <t>Cable/Adapter</t>
        </is>
      </c>
      <c r="D591" s="359" t="n">
        <v>19.96475155279503</v>
      </c>
      <c r="E591" s="359" t="n">
        <v>60947.33</v>
      </c>
      <c r="F591" s="359" t="n">
        <v>6428.65</v>
      </c>
      <c r="G591" s="68" t="n">
        <v>3055</v>
      </c>
      <c r="H591" s="70" t="n">
        <v>322</v>
      </c>
      <c r="I591" s="68" t="n">
        <v>119</v>
      </c>
      <c r="J591" s="69" t="n">
        <v>3.8</v>
      </c>
      <c r="K591" s="69" t="inlineStr">
        <is>
          <t>https://amazon.com/dp/B0DCFRHNF5</t>
        </is>
      </c>
      <c r="L591" s="114">
        <f>HYPERLINK(Table1410[[#This Row],[Column1]])</f>
        <v/>
      </c>
    </row>
    <row r="592" ht="60" customHeight="1" s="314">
      <c r="A592" s="35" t="inlineStr">
        <is>
          <t>Autel Original OBD2 16 Pin OBDII Y Splitter Extension Adapter Cable, 16Pin 1x Male to 2X Female Extension Y Connector, Fits for All Standard OBD II Scanners (1FT/30CM)</t>
        </is>
      </c>
      <c r="B592" s="35" t="inlineStr">
        <is>
          <t>B0DF2WK54W</t>
        </is>
      </c>
      <c r="C592" s="35" t="inlineStr">
        <is>
          <t>Cable/Adapter</t>
        </is>
      </c>
      <c r="D592" s="359" t="n">
        <v>19.96224299065421</v>
      </c>
      <c r="E592" s="359" t="n">
        <v>52025.41</v>
      </c>
      <c r="F592" s="359" t="n">
        <v>6407.88</v>
      </c>
      <c r="G592" s="68" t="n">
        <v>2606</v>
      </c>
      <c r="H592" s="70" t="n">
        <v>321</v>
      </c>
      <c r="I592" s="68" t="n">
        <v>76</v>
      </c>
      <c r="J592" s="69" t="n">
        <v>4.5</v>
      </c>
      <c r="K592" s="69" t="inlineStr">
        <is>
          <t>https://amazon.com/dp/B0DF2WK54W</t>
        </is>
      </c>
      <c r="L592" s="114">
        <f>HYPERLINK(Table1410[[#This Row],[Column1]])</f>
        <v/>
      </c>
    </row>
    <row r="593" ht="45" customHeight="1" s="314">
      <c r="A593" s="35" t="inlineStr">
        <is>
          <t>Autel Scanner MaxiCOM MK900: 2026 Updated as MK900BT MK900-BT MX900 Bidirectional Diagnostic Tool, 8in Up of MK808S MK808BT Pro MX808S 808Z, 3K+ Active Tests, 40+ Service, CAN-FD&amp;DOIP, All System, FCA</t>
        </is>
      </c>
      <c r="B593" s="35" t="inlineStr">
        <is>
          <t>B073CQMF25</t>
        </is>
      </c>
      <c r="C593" s="35" t="inlineStr">
        <is>
          <t>Tablet</t>
        </is>
      </c>
      <c r="D593" s="359" t="n">
        <v>559.1208823529412</v>
      </c>
      <c r="E593" s="359" t="n">
        <v>2154287.09</v>
      </c>
      <c r="F593" s="359" t="n">
        <v>171090.99</v>
      </c>
      <c r="G593" s="68" t="n">
        <v>3794</v>
      </c>
      <c r="H593" s="70" t="n">
        <v>306</v>
      </c>
      <c r="I593" s="68" t="n">
        <v>371</v>
      </c>
      <c r="J593" s="69" t="n">
        <v>4.4</v>
      </c>
      <c r="K593" s="69" t="inlineStr">
        <is>
          <t>https://amazon.com/dp/B073CQMF25</t>
        </is>
      </c>
      <c r="L593" s="114">
        <f>HYPERLINK(Table1410[[#This Row],[Column1]])</f>
        <v/>
      </c>
    </row>
    <row r="594" ht="45" customHeight="1" s="314">
      <c r="A594" s="35" t="inlineStr">
        <is>
          <t>Autel Scanner MaxiCOM MK900BT, 2026 MK900-BT Bidirectional Diagnostic Scan Tool, 2.0 BT Ver. of MK900 MX900, 8in Up of MK808S MK808BT PRO MX808S MK808Z, 40+ Reset, 3K+ Active Tests, CAN FD &amp; DoIP, FCA</t>
        </is>
      </c>
      <c r="B594" s="35" t="inlineStr">
        <is>
          <t>B09712X5CW</t>
        </is>
      </c>
      <c r="C594" s="35" t="inlineStr">
        <is>
          <t>Tablet</t>
        </is>
      </c>
      <c r="D594" s="359" t="n">
        <v>658.3624742268041</v>
      </c>
      <c r="E594" s="359" t="n">
        <v>1561721.28</v>
      </c>
      <c r="F594" s="359" t="n">
        <v>191583.48</v>
      </c>
      <c r="G594" s="68" t="n">
        <v>2370</v>
      </c>
      <c r="H594" s="70" t="n">
        <v>291</v>
      </c>
      <c r="I594" s="68" t="n">
        <v>208</v>
      </c>
      <c r="J594" s="69" t="n">
        <v>4.6</v>
      </c>
      <c r="K594" s="69" t="inlineStr">
        <is>
          <t>https://amazon.com/dp/B09712X5CW</t>
        </is>
      </c>
      <c r="L594" s="114">
        <f>HYPERLINK(Table1410[[#This Row],[Column1]])</f>
        <v/>
      </c>
    </row>
    <row r="595" ht="45" customHeight="1" s="314">
      <c r="A595" s="35" t="inlineStr">
        <is>
          <t>Autel MS300 OBD2 Scanner Code Reader, Turn Off Check Engine Light, Read &amp; Erase Fault Codes, Check Emission Monitor Status CAN Diagnostic Scan Tool</t>
        </is>
      </c>
      <c r="B595" s="35" t="inlineStr">
        <is>
          <t>B001LHVOVK</t>
        </is>
      </c>
      <c r="C595" s="35" t="inlineStr">
        <is>
          <t>Handheld</t>
        </is>
      </c>
      <c r="D595" s="359" t="n">
        <v>19.95560975609756</v>
      </c>
      <c r="E595" s="359" t="n">
        <v>84315.16307692308</v>
      </c>
      <c r="F595" s="359" t="n">
        <v>5727.26</v>
      </c>
      <c r="G595" s="68" t="n">
        <v>3744</v>
      </c>
      <c r="H595" s="70" t="n">
        <v>287</v>
      </c>
      <c r="I595" s="68" t="n">
        <v>20230</v>
      </c>
      <c r="J595" s="69" t="n">
        <v>4.4</v>
      </c>
      <c r="K595" s="69" t="inlineStr">
        <is>
          <t>https://amazon.com/dp/B001LHVOVK</t>
        </is>
      </c>
      <c r="L595" s="114">
        <f>HYPERLINK(Table1410[[#This Row],[Column1]])</f>
        <v/>
      </c>
    </row>
    <row r="596" ht="45" customHeight="1" s="314">
      <c r="A596" s="35" t="inlineStr">
        <is>
          <t>Autel Enet OBD 2 Cable for BMW F G Series Coding, Ethernet to OBD II OBDII Interface Cable, Compatible with BMW Software E-SYS ICOM ISTA+, Programming/Refresh Hidden Function, High Speed, 6.6ft/ 2M</t>
        </is>
      </c>
      <c r="B596" s="35" t="inlineStr">
        <is>
          <t>B0D4MCRF6P</t>
        </is>
      </c>
      <c r="C596" s="35" t="inlineStr">
        <is>
          <t>Cable/Adapter</t>
        </is>
      </c>
      <c r="D596" s="359" t="n">
        <v>19.94462406015038</v>
      </c>
      <c r="E596" s="359" t="n">
        <v>29956.23</v>
      </c>
      <c r="F596" s="359" t="n">
        <v>5305.27</v>
      </c>
      <c r="G596" s="68" t="n">
        <v>1501</v>
      </c>
      <c r="H596" s="70" t="n">
        <v>266</v>
      </c>
      <c r="I596" s="68" t="n">
        <v>66</v>
      </c>
      <c r="J596" s="69" t="n">
        <v>4.6</v>
      </c>
      <c r="K596" s="69" t="inlineStr">
        <is>
          <t>https://amazon.com/dp/B0D4MCRF6P</t>
        </is>
      </c>
      <c r="L596" s="114">
        <f>HYPERLINK(Table1410[[#This Row],[Column1]])</f>
        <v/>
      </c>
    </row>
    <row r="597" ht="45" customHeight="1" s="314">
      <c r="A597" s="35" t="inlineStr">
        <is>
          <t>Autel Original OBD2 Main Test Cable - 16 Pin 3 Rows OBDII Diagnostic Test Connector, Only for MaxiSys MS908P, MS908S PRO II, MK908 Pro II, MS908CV II, Elite II, MS909, MS919, Ultra Lite, Ultra</t>
        </is>
      </c>
      <c r="B597" s="35" t="inlineStr">
        <is>
          <t>B0F7LX9SKK</t>
        </is>
      </c>
      <c r="C597" s="35" t="inlineStr">
        <is>
          <t>Cable/Adapter</t>
        </is>
      </c>
      <c r="D597" s="359" t="n">
        <v>25.94552123552124</v>
      </c>
      <c r="E597" s="359" t="n">
        <v>57287.94615384615</v>
      </c>
      <c r="F597" s="359" t="n">
        <v>6719.89</v>
      </c>
      <c r="G597" s="68" t="n">
        <v>1490</v>
      </c>
      <c r="H597" s="70" t="n">
        <v>259</v>
      </c>
      <c r="I597" s="68" t="n">
        <v>29</v>
      </c>
      <c r="J597" s="69" t="n">
        <v>4.7</v>
      </c>
      <c r="K597" s="69" t="inlineStr">
        <is>
          <t>https://amazon.com/dp/B0F7LX9SKK</t>
        </is>
      </c>
      <c r="L597" s="114">
        <f>HYPERLINK(Table1410[[#This Row],[Column1]])</f>
        <v/>
      </c>
    </row>
    <row r="598" ht="60" customHeight="1" s="314">
      <c r="A598" s="35" t="inlineStr">
        <is>
          <t>Autel Scanner MaxiCOM MK808BT PRO, 2026 Bidirectional Tool as MK900BT, Up Ver. of MK900 MaxiCheck MX900 MK808S MX808S, 3000+ Test, 28+ Service, All System Diagnostic, Injector Coding, FCA Android 11</t>
        </is>
      </c>
      <c r="B598" s="35" t="inlineStr">
        <is>
          <t>B07MBSZH48</t>
        </is>
      </c>
      <c r="C598" s="35" t="inlineStr">
        <is>
          <t>Tablet</t>
        </is>
      </c>
      <c r="D598" s="359" t="n">
        <v>548.6857421875</v>
      </c>
      <c r="E598" s="359" t="n">
        <v>1830531.78</v>
      </c>
      <c r="F598" s="359" t="n">
        <v>140463.55</v>
      </c>
      <c r="G598" s="68" t="n">
        <v>3407</v>
      </c>
      <c r="H598" s="70" t="n">
        <v>256</v>
      </c>
      <c r="I598" s="68" t="n">
        <v>1785</v>
      </c>
      <c r="J598" s="69" t="n">
        <v>4.6</v>
      </c>
      <c r="K598" s="69" t="inlineStr">
        <is>
          <t>https://amazon.com/dp/B07MBSZH48</t>
        </is>
      </c>
      <c r="L598" s="114">
        <f>HYPERLINK(Table1410[[#This Row],[Column1]])</f>
        <v/>
      </c>
    </row>
    <row r="599" ht="45" customHeight="1" s="314">
      <c r="A599" s="35" t="inlineStr">
        <is>
          <t>Autel Scanner MaxiCOM MK900BT: 2026 8in MK900-BT V2.0 Bidirectional Scan Tool, 33ft BT Ver. of MK900 MX900 MK808S MK808BT PRO MX808S MK808Z, 40+ Service, 3K+ Active Tests, DOIP CANFD, All System, FCA</t>
        </is>
      </c>
      <c r="B599" s="35" t="inlineStr">
        <is>
          <t>B07PGYY8SS</t>
        </is>
      </c>
      <c r="C599" s="35" t="inlineStr">
        <is>
          <t>Tablet</t>
        </is>
      </c>
      <c r="D599" s="359" t="n">
        <v>658.3173469387755</v>
      </c>
      <c r="E599" s="359" t="n">
        <v>1188045.54</v>
      </c>
      <c r="F599" s="359" t="n">
        <v>161287.75</v>
      </c>
      <c r="G599" s="68" t="n">
        <v>1578</v>
      </c>
      <c r="H599" s="70" t="n">
        <v>245</v>
      </c>
      <c r="I599" s="68" t="n">
        <v>173</v>
      </c>
      <c r="J599" s="69" t="n">
        <v>4.5</v>
      </c>
      <c r="K599" s="69" t="inlineStr">
        <is>
          <t>https://amazon.com/dp/B07PGYY8SS</t>
        </is>
      </c>
      <c r="L599" s="114">
        <f>HYPERLINK(Table1410[[#This Row],[Column1]])</f>
        <v/>
      </c>
    </row>
    <row r="600" ht="30" customHeight="1" s="314">
      <c r="A600" s="35" t="inlineStr">
        <is>
          <t>Autel Original OBD2 Main Test Cable, 5.6ft 1.7M, 16 Pin OBDII Diagnostic Test Cable, Work with Scanner MK808 MK808S MK808Z MX808 MX808S MP808 MP808S MP808K DS708 DS808 MS906 MS908, IM508 IM508S</t>
        </is>
      </c>
      <c r="B600" s="35" t="inlineStr">
        <is>
          <t>B0DCZCNGFM</t>
        </is>
      </c>
      <c r="C600" s="35" t="inlineStr">
        <is>
          <t>Cable/Adapter</t>
        </is>
      </c>
      <c r="D600" s="359" t="n">
        <v>22.99435146443514</v>
      </c>
      <c r="E600" s="359" t="n">
        <v>39888.93000000001</v>
      </c>
      <c r="F600" s="359" t="n">
        <v>5495.65</v>
      </c>
      <c r="G600" s="68" t="n">
        <v>1737</v>
      </c>
      <c r="H600" s="70" t="n">
        <v>239</v>
      </c>
      <c r="I600" s="68" t="n">
        <v>61</v>
      </c>
      <c r="J600" s="69" t="n">
        <v>4.5</v>
      </c>
      <c r="K600" s="69" t="inlineStr">
        <is>
          <t>https://amazon.com/dp/B0DCZCNGFM</t>
        </is>
      </c>
      <c r="L600" s="114">
        <f>HYPERLINK(Table1410[[#This Row],[Column1]])</f>
        <v/>
      </c>
    </row>
    <row r="601" ht="60" customHeight="1" s="314">
      <c r="A601" s="35" t="inlineStr">
        <is>
          <t>Autel MaxiCOM MK900 Bidirectional Scanner: 2026 Up of MaxiCheck MX808S MK808S, Work as MK900-BT MK900BT MX900 OBD2 Diagnostic Tool w/ 3000+ Active Test, 40+ Service, CAN-FD&amp;DOIP, All System, FCA 11 OS</t>
        </is>
      </c>
      <c r="B601" s="35" t="inlineStr">
        <is>
          <t>B0GDY7WJB7</t>
        </is>
      </c>
      <c r="C601" s="35" t="inlineStr">
        <is>
          <t>Tablet</t>
        </is>
      </c>
      <c r="D601" s="359" t="n">
        <v>589.6067948717948</v>
      </c>
      <c r="E601" s="359" t="n">
        <v>1403053.259230769</v>
      </c>
      <c r="F601" s="359" t="n">
        <v>137967.99</v>
      </c>
      <c r="G601" s="68" t="n">
        <v>435</v>
      </c>
      <c r="H601" s="70" t="n">
        <v>234</v>
      </c>
      <c r="I601" s="68" t="n">
        <v>23</v>
      </c>
      <c r="J601" s="69" t="n">
        <v>5</v>
      </c>
      <c r="K601" s="69" t="inlineStr">
        <is>
          <t>https://amazon.com/dp/B0GDY7WJB7</t>
        </is>
      </c>
      <c r="L601" s="114">
        <f>HYPERLINK(Table1410[[#This Row],[Column1]])</f>
        <v/>
      </c>
    </row>
    <row r="602" ht="60" customHeight="1" s="314">
      <c r="A602" s="35" t="inlineStr">
        <is>
          <t>Autel AutoLink AL519 OBD2 Scanner Enhanced Mode 6 Car Diagnostic Tool Check Engine Code Reader CAN Scan Tool, Advanced Ver. of AL319</t>
        </is>
      </c>
      <c r="B602" s="35" t="inlineStr">
        <is>
          <t>B07PQH6HSQ</t>
        </is>
      </c>
      <c r="C602" s="35" t="inlineStr">
        <is>
          <t>Handheld</t>
        </is>
      </c>
      <c r="D602" s="359" t="n">
        <v>60.02823275862069</v>
      </c>
      <c r="E602" s="359" t="n">
        <v>205997.48</v>
      </c>
      <c r="F602" s="359" t="n">
        <v>13926.55</v>
      </c>
      <c r="G602" s="68" t="n">
        <v>3517</v>
      </c>
      <c r="H602" s="70" t="n">
        <v>232</v>
      </c>
      <c r="I602" s="68" t="n">
        <v>2619</v>
      </c>
      <c r="J602" s="69" t="n">
        <v>4.5</v>
      </c>
      <c r="K602" s="69" t="inlineStr">
        <is>
          <t>https://amazon.com/dp/B07PQH6HSQ</t>
        </is>
      </c>
      <c r="L602" s="114">
        <f>HYPERLINK(Table1410[[#This Row],[Column1]])</f>
        <v/>
      </c>
    </row>
    <row r="603" ht="45" customHeight="1" s="314">
      <c r="A603" s="35" t="inlineStr">
        <is>
          <t>Autel AL519 OBD2 Scanner, 2026 Newer Professional Mechanic OBDII &amp; CAN Car Diagnostic Code Reader Tool for Check Engine Light, One-Click Smog Check, DTCs Lookup, Upgraded Ver. of AL319/ MS309</t>
        </is>
      </c>
      <c r="B603" s="35" t="inlineStr">
        <is>
          <t>B07CJHWHNX</t>
        </is>
      </c>
      <c r="C603" s="35" t="inlineStr">
        <is>
          <t>Handheld</t>
        </is>
      </c>
      <c r="D603" s="359" t="n">
        <v>59.88119617224881</v>
      </c>
      <c r="E603" s="359" t="n">
        <v>164078.7746153846</v>
      </c>
      <c r="F603" s="359" t="n">
        <v>12515.17</v>
      </c>
      <c r="G603" s="68" t="n">
        <v>2579</v>
      </c>
      <c r="H603" s="70" t="n">
        <v>209</v>
      </c>
      <c r="I603" s="68" t="n">
        <v>1105</v>
      </c>
      <c r="J603" s="69" t="n">
        <v>4.5</v>
      </c>
      <c r="K603" s="69" t="inlineStr">
        <is>
          <t>https://amazon.com/dp/B07CJHWHNX</t>
        </is>
      </c>
      <c r="L603" s="114">
        <f>HYPERLINK(Table1410[[#This Row],[Column1]])</f>
        <v/>
      </c>
    </row>
    <row r="604" ht="45" customHeight="1" s="314">
      <c r="A604" s="35" t="inlineStr">
        <is>
          <t>Autel AP200(HT200) Bluetooth OBD2 Scanner, Code Reader with Full Systems Diagnoses and 19 Service Functions, Mini Size Version of MK808 Diagnostic, Vehicle Scan Tool for iPhone &amp; Android Devices</t>
        </is>
      </c>
      <c r="B604" s="35" t="inlineStr">
        <is>
          <t>B07Y8K6XZF</t>
        </is>
      </c>
      <c r="C604" s="35" t="inlineStr">
        <is>
          <t>Dongle</t>
        </is>
      </c>
      <c r="D604" s="359" t="n">
        <v>58.90209756097561</v>
      </c>
      <c r="E604" s="359" t="n">
        <v>76767.88</v>
      </c>
      <c r="F604" s="359" t="n">
        <v>12074.93</v>
      </c>
      <c r="G604" s="68" t="n">
        <v>1287</v>
      </c>
      <c r="H604" s="70" t="n">
        <v>205</v>
      </c>
      <c r="I604" s="68" t="n">
        <v>793</v>
      </c>
      <c r="J604" s="69" t="n">
        <v>4</v>
      </c>
      <c r="K604" s="69" t="inlineStr">
        <is>
          <t>https://amazon.com/dp/B07Y8K6XZF</t>
        </is>
      </c>
      <c r="L604" s="114">
        <f>HYPERLINK(Table1410[[#This Row],[Column1]])</f>
        <v/>
      </c>
    </row>
    <row r="605" ht="45" customHeight="1" s="314">
      <c r="A605" s="35" t="inlineStr">
        <is>
          <t>Autel MaxiCheck MX900 Scanner, 2026 Bidirectional Scan Tool with 3000+ Active Test, DoIP&amp;CAN FD, 40+ Service, US Ver. of MaxiCOM MK900 MK900BT, Up of MK808BT MK808S MX808S, All-Sys Diagnose, FCA 11OS</t>
        </is>
      </c>
      <c r="B605" s="35" t="inlineStr">
        <is>
          <t>B09JFXPYKL</t>
        </is>
      </c>
      <c r="C605" s="35" t="inlineStr">
        <is>
          <t>Tablet</t>
        </is>
      </c>
      <c r="D605" s="359" t="n">
        <v>559.3285572139304</v>
      </c>
      <c r="E605" s="359" t="n">
        <v>712617.9700000001</v>
      </c>
      <c r="F605" s="359" t="n">
        <v>112425.04</v>
      </c>
      <c r="G605" s="68" t="n">
        <v>1274</v>
      </c>
      <c r="H605" s="70" t="n">
        <v>201</v>
      </c>
      <c r="I605" s="68" t="n">
        <v>117</v>
      </c>
      <c r="J605" s="69" t="n">
        <v>4.6</v>
      </c>
      <c r="K605" s="69" t="inlineStr">
        <is>
          <t>https://amazon.com/dp/B09JFXPYKL</t>
        </is>
      </c>
      <c r="L605" s="114">
        <f>HYPERLINK(Table1410[[#This Row],[Column1]])</f>
        <v/>
      </c>
    </row>
    <row r="606" ht="60" customHeight="1" s="314">
      <c r="A606" s="35" t="inlineStr">
        <is>
          <t>12+8 Cable for Chrysler, 12 8 Pin Connector to OBD2 Adapter 2.6ft/ 0.8M, OBDII Security Gateway Bypass Cable for FCA SGW Vehicles, for Dodge, for Ram, for Chrysler, for Fiat, Fit All Auto Scanners</t>
        </is>
      </c>
      <c r="B606" s="35" t="inlineStr">
        <is>
          <t>B0D7VMLVNW</t>
        </is>
      </c>
      <c r="C606" s="35" t="inlineStr">
        <is>
          <t>Cable/Adapter</t>
        </is>
      </c>
      <c r="D606" s="359" t="n">
        <v>27.01031914893617</v>
      </c>
      <c r="E606" s="359" t="n">
        <v>92867.17</v>
      </c>
      <c r="F606" s="359" t="n">
        <v>5077.94</v>
      </c>
      <c r="G606" s="68" t="n">
        <v>3466</v>
      </c>
      <c r="H606" s="70" t="n">
        <v>188</v>
      </c>
      <c r="I606" s="68" t="n">
        <v>124</v>
      </c>
      <c r="J606" s="69" t="n">
        <v>4.7</v>
      </c>
      <c r="K606" s="69" t="inlineStr">
        <is>
          <t>https://amazon.com/dp/B0D7VMLVNW</t>
        </is>
      </c>
      <c r="L606" s="114">
        <f>HYPERLINK(Table1410[[#This Row],[Column1]])</f>
        <v/>
      </c>
    </row>
    <row r="607" ht="30" customHeight="1" s="314">
      <c r="A607" s="35" t="inlineStr">
        <is>
          <t>Autel AutoLink AL619 Scanner, 2026 ABS SRS Airbag Warning Light Diagnostic Scan Tool, Up of AL519 ML519 ML619, 10 OBDII Test Modes, DTCs Lookup, Live Data, Turn Off Check Engine Light OBD2 Code Reader</t>
        </is>
      </c>
      <c r="B607" s="35" t="inlineStr">
        <is>
          <t>B0925G7QY1</t>
        </is>
      </c>
      <c r="C607" s="35" t="inlineStr">
        <is>
          <t>Handheld</t>
        </is>
      </c>
      <c r="D607" s="359" t="n">
        <v>99.98058823529412</v>
      </c>
      <c r="E607" s="359" t="n">
        <v>205865.65</v>
      </c>
      <c r="F607" s="359" t="n">
        <v>16996.7</v>
      </c>
      <c r="G607" s="68" t="n">
        <v>2097</v>
      </c>
      <c r="H607" s="70" t="n">
        <v>170</v>
      </c>
      <c r="I607" s="68" t="n">
        <v>563</v>
      </c>
      <c r="J607" s="69" t="n">
        <v>4.3</v>
      </c>
      <c r="K607" s="69" t="inlineStr">
        <is>
          <t>https://amazon.com/dp/B0925G7QY1</t>
        </is>
      </c>
      <c r="L607" s="114">
        <f>HYPERLINK(Table1410[[#This Row],[Column1]])</f>
        <v/>
      </c>
    </row>
    <row r="608" ht="60" customHeight="1" s="314">
      <c r="A608" s="35" t="inlineStr">
        <is>
          <t>Autel Scanner MaxiCheck MX808S, 2026 US Ver of MaxiCOM MK808S MK808Z, Full Bidirectional Diagnostic Scan Tool as MK900 MX900 MK900BT MK808BT PRO, 3K+ Active Test, 28+ Service, OE All System, OS11, FCA</t>
        </is>
      </c>
      <c r="B608" s="35" t="inlineStr">
        <is>
          <t>B08TWMTD35</t>
        </is>
      </c>
      <c r="C608" s="35" t="inlineStr">
        <is>
          <t>Tablet</t>
        </is>
      </c>
      <c r="D608" s="359" t="n">
        <v>448.3831764705882</v>
      </c>
      <c r="E608" s="359" t="n">
        <v>598786.13</v>
      </c>
      <c r="F608" s="359" t="n">
        <v>76225.14</v>
      </c>
      <c r="G608" s="68" t="n">
        <v>1331</v>
      </c>
      <c r="H608" s="70" t="n">
        <v>170</v>
      </c>
      <c r="I608" s="68" t="n">
        <v>587</v>
      </c>
      <c r="J608" s="69" t="n">
        <v>4.6</v>
      </c>
      <c r="K608" s="69" t="inlineStr">
        <is>
          <t>https://amazon.com/dp/B08TWMTD35</t>
        </is>
      </c>
      <c r="L608" s="114">
        <f>HYPERLINK(Table1410[[#This Row],[Column1]])</f>
        <v/>
      </c>
    </row>
    <row r="609" ht="45" customHeight="1" s="314">
      <c r="A609" s="35" t="inlineStr">
        <is>
          <t>Autel Scanner MaxiIM KM100 (X), Lifetime Free Updates, 2026 New Automotive Diagnostic OBD2 Scan Tool, V200 Wireless BT Connection, Auto Scan &amp; Auto VIN, Android 9.0, 2GB &amp; 64GB, 5.5in 1280 * 720</t>
        </is>
      </c>
      <c r="B609" s="35" t="inlineStr">
        <is>
          <t>B0FLKG4BTQ</t>
        </is>
      </c>
      <c r="C609" s="35" t="inlineStr">
        <is>
          <t>Tablet</t>
        </is>
      </c>
      <c r="D609" s="359" t="n">
        <v>520.1753703703704</v>
      </c>
      <c r="E609" s="359" t="n">
        <v>670104.6876923076</v>
      </c>
      <c r="F609" s="359" t="n">
        <v>84268.41</v>
      </c>
      <c r="G609" s="68" t="n">
        <v>384</v>
      </c>
      <c r="H609" s="70" t="n">
        <v>162</v>
      </c>
      <c r="I609" s="68" t="n">
        <v>19</v>
      </c>
      <c r="J609" s="69" t="n">
        <v>4.2</v>
      </c>
      <c r="K609" s="69" t="inlineStr">
        <is>
          <t>https://amazon.com/dp/B0FLKG4BTQ</t>
        </is>
      </c>
      <c r="L609" s="114">
        <f>HYPERLINK(Table1410[[#This Row],[Column1]])</f>
        <v/>
      </c>
    </row>
    <row r="610" ht="45" customHeight="1" s="314">
      <c r="A610" s="35" t="inlineStr">
        <is>
          <t>Autel Scanner MaxiCOM MK808BT PRO, 2026 Bidirectional Diagnostic Scan Tool as MK900BT, 2.0 BT Ver. of MK808S MX808S MX900 MK900, 3000+ Active Tests, 28+ Reset, Injector Coding, All Systems, FCA, OS 11</t>
        </is>
      </c>
      <c r="B610" s="35" t="inlineStr">
        <is>
          <t>B07FFT8SCC</t>
        </is>
      </c>
      <c r="C610" s="35" t="inlineStr">
        <is>
          <t>Tablet</t>
        </is>
      </c>
      <c r="D610" s="359" t="n">
        <v>550.0850943396226</v>
      </c>
      <c r="E610" s="359" t="n">
        <v>631410.39</v>
      </c>
      <c r="F610" s="359" t="n">
        <v>87463.53</v>
      </c>
      <c r="G610" s="68" t="n">
        <v>1148</v>
      </c>
      <c r="H610" s="70" t="n">
        <v>159</v>
      </c>
      <c r="I610" s="68" t="n">
        <v>663</v>
      </c>
      <c r="J610" s="69" t="n">
        <v>4.5</v>
      </c>
      <c r="K610" s="69" t="inlineStr">
        <is>
          <t>https://amazon.com/dp/B07FFT8SCC</t>
        </is>
      </c>
      <c r="L610" s="114">
        <f>HYPERLINK(Table1410[[#This Row],[Column1]])</f>
        <v/>
      </c>
    </row>
    <row r="611" ht="45" customHeight="1" s="314">
      <c r="A611" s="35" t="inlineStr">
        <is>
          <t>Autel Original OBD1 to OBD2 GM Adapter Cable, 12 Pin Male to 16 Pin Female Extension, OBD II Connector Replacement for GM Diagnostic Tool</t>
        </is>
      </c>
      <c r="B611" s="35" t="inlineStr">
        <is>
          <t>B0FNDB1JPY</t>
        </is>
      </c>
      <c r="C611" s="35" t="inlineStr">
        <is>
          <t>OBD1</t>
        </is>
      </c>
      <c r="D611" s="359" t="n">
        <v>16.97183544303797</v>
      </c>
      <c r="E611" s="359" t="n">
        <v>34767.58538461538</v>
      </c>
      <c r="F611" s="359" t="n">
        <v>2681.55</v>
      </c>
      <c r="G611" s="68" t="n">
        <v>882</v>
      </c>
      <c r="H611" s="70" t="n">
        <v>158</v>
      </c>
      <c r="I611" s="68" t="n">
        <v>43</v>
      </c>
      <c r="J611" s="69" t="n">
        <v>3.1</v>
      </c>
      <c r="K611" s="69" t="inlineStr">
        <is>
          <t>https://amazon.com/dp/B0FNDB1JPY</t>
        </is>
      </c>
      <c r="L611" s="114">
        <f>HYPERLINK(Table1410[[#This Row],[Column1]])</f>
        <v/>
      </c>
    </row>
    <row r="612" ht="45" customHeight="1" s="314">
      <c r="A612" s="35" t="inlineStr">
        <is>
          <t>Autel Autolink Al329(Upgraded AL319) Code Reader OBDII Scanner</t>
        </is>
      </c>
      <c r="B612" s="35" t="inlineStr">
        <is>
          <t>B073RF7Z47</t>
        </is>
      </c>
      <c r="C612" s="35" t="inlineStr">
        <is>
          <t>Handheld</t>
        </is>
      </c>
      <c r="D612" s="359" t="n">
        <v>35.07866242038217</v>
      </c>
      <c r="E612" s="359" t="n">
        <v>45034.16000000001</v>
      </c>
      <c r="F612" s="359" t="n">
        <v>5507.35</v>
      </c>
      <c r="G612" s="68" t="n">
        <v>1307</v>
      </c>
      <c r="H612" s="70" t="n">
        <v>157</v>
      </c>
      <c r="I612" s="68" t="n">
        <v>546</v>
      </c>
      <c r="J612" s="69" t="n">
        <v>4.6</v>
      </c>
      <c r="K612" s="69" t="inlineStr">
        <is>
          <t>https://amazon.com/dp/B073RF7Z47</t>
        </is>
      </c>
      <c r="L612" s="114">
        <f>HYPERLINK(Table1410[[#This Row],[Column1]])</f>
        <v/>
      </c>
    </row>
    <row r="613" ht="17" customHeight="1" s="314">
      <c r="A613" s="35" t="inlineStr">
        <is>
          <t>Autel OBD 2 Extension Cable, Ultra-Long 10ft 3M, 16 Pin OBD II OBD2 Car Male to Female Extension Cord, OBD2 Diagnostic Extender Adapter, for All OBDII Vehicles</t>
        </is>
      </c>
      <c r="B613" s="35" t="inlineStr">
        <is>
          <t>B0D4QVZ7JG</t>
        </is>
      </c>
      <c r="C613" s="35" t="inlineStr">
        <is>
          <t>Cable/Adapter</t>
        </is>
      </c>
      <c r="D613" s="359" t="n">
        <v>25.9537012987013</v>
      </c>
      <c r="E613" s="359" t="n">
        <v>40381.5</v>
      </c>
      <c r="F613" s="359" t="n">
        <v>3996.87</v>
      </c>
      <c r="G613" s="68" t="n">
        <v>1557</v>
      </c>
      <c r="H613" s="70" t="n">
        <v>154</v>
      </c>
      <c r="I613" s="68" t="n">
        <v>97</v>
      </c>
      <c r="J613" s="69" t="n">
        <v>4.7</v>
      </c>
      <c r="K613" s="69" t="inlineStr">
        <is>
          <t>https://amazon.com/dp/B0D4QVZ7JG</t>
        </is>
      </c>
      <c r="L613" s="114">
        <f>HYPERLINK(Table1410[[#This Row],[Column1]])</f>
        <v/>
      </c>
    </row>
    <row r="614" ht="45" customHeight="1" s="314">
      <c r="A614" s="35" t="inlineStr">
        <is>
          <t>Autel Original 3-in-1 OBD2 Adapter Cable,16 Pin to 6/4/3 Pin OBD Diagnostic Cable, OBD2 to OBD1 6pin 4pin 3pin Plug Adapter for Motorcycle Honda/Guzzi/Kawasaki/Suzuki, Compatible with OBDII Scanners</t>
        </is>
      </c>
      <c r="B614" s="35" t="inlineStr">
        <is>
          <t>B0DF2M277F</t>
        </is>
      </c>
      <c r="C614" s="35" t="inlineStr">
        <is>
          <t>Cable/Adapter</t>
        </is>
      </c>
      <c r="D614" s="359" t="n">
        <v>23.05607142857143</v>
      </c>
      <c r="E614" s="359" t="n">
        <v>22159.69384615384</v>
      </c>
      <c r="F614" s="359" t="n">
        <v>3227.85</v>
      </c>
      <c r="G614" s="68" t="n">
        <v>835</v>
      </c>
      <c r="H614" s="70" t="n">
        <v>140</v>
      </c>
      <c r="I614" s="68" t="n">
        <v>31</v>
      </c>
      <c r="J614" s="69" t="n">
        <v>4.3</v>
      </c>
      <c r="K614" s="69" t="inlineStr">
        <is>
          <t>https://amazon.com/dp/B0DF2M277F</t>
        </is>
      </c>
      <c r="L614" s="114">
        <f>HYPERLINK(Table1410[[#This Row],[Column1]])</f>
        <v/>
      </c>
    </row>
    <row r="615" ht="45" customHeight="1" s="314">
      <c r="A615" s="35" t="inlineStr">
        <is>
          <t>Autel MaxiLink ML519 Enhanced Mode 6 OBD2 Scanner Auto Diagnostic Scan Tool Check Engine Fault Code Reader CAN Scan Tool, Upgraded Ver. of AL319</t>
        </is>
      </c>
      <c r="B615" s="35" t="inlineStr">
        <is>
          <t>B07NQFM2P2</t>
        </is>
      </c>
      <c r="C615" s="35" t="inlineStr">
        <is>
          <t>Handheld</t>
        </is>
      </c>
      <c r="D615" s="359" t="n">
        <v>60.14008620689656</v>
      </c>
      <c r="E615" s="359" t="n">
        <v>75963.45538461539</v>
      </c>
      <c r="F615" s="359" t="n">
        <v>6976.25</v>
      </c>
      <c r="G615" s="68" t="n">
        <v>1183</v>
      </c>
      <c r="H615" s="70" t="n">
        <v>116</v>
      </c>
      <c r="I615" s="68" t="n">
        <v>2619</v>
      </c>
      <c r="J615" s="69" t="n">
        <v>4.5</v>
      </c>
      <c r="K615" s="69" t="inlineStr">
        <is>
          <t>https://amazon.com/dp/B07NQFM2P2</t>
        </is>
      </c>
      <c r="L615" s="114">
        <f>HYPERLINK(Table1410[[#This Row],[Column1]])</f>
        <v/>
      </c>
    </row>
    <row r="616" ht="45" customHeight="1" s="314">
      <c r="A616" s="35" t="inlineStr">
        <is>
          <t>Autel 6 Pin Obd2 Adapter Cable for Kawasaki Yamaha Suzuki Honda Yamaha Milan Piaggio Guzzi Motorcycle, Euro 5 6 Pin OBD1 to 16 Pin OBD2 Cable Connector, Fits CAN Bus and K-Line,Work with Code Reader</t>
        </is>
      </c>
      <c r="B616" s="35" t="inlineStr">
        <is>
          <t>B0DXBRRGVZ</t>
        </is>
      </c>
      <c r="C616" s="35" t="inlineStr">
        <is>
          <t>Cable/Adapter</t>
        </is>
      </c>
      <c r="D616" s="359" t="n">
        <v>19.89939655172414</v>
      </c>
      <c r="E616" s="359" t="n">
        <v>13247.34615384615</v>
      </c>
      <c r="F616" s="359" t="n">
        <v>2308.33</v>
      </c>
      <c r="G616" s="68" t="n">
        <v>558</v>
      </c>
      <c r="H616" s="70" t="n">
        <v>116</v>
      </c>
      <c r="I616" s="68" t="n">
        <v>35</v>
      </c>
      <c r="J616" s="69" t="n">
        <v>4.7</v>
      </c>
      <c r="K616" s="69" t="inlineStr">
        <is>
          <t>https://amazon.com/dp/B0DXBRRGVZ</t>
        </is>
      </c>
      <c r="L616" s="114">
        <f>HYPERLINK(Table1410[[#This Row],[Column1]])</f>
        <v/>
      </c>
    </row>
    <row r="617" ht="45" customHeight="1" s="314">
      <c r="A617" s="35" t="inlineStr">
        <is>
          <t>Autel Original TCAN003 Splitter Diagnostic Cable for Tesla Model 3, Y, S, X, 20 Pin + 12 Pin to 16 Pin OBDII Adapter OBD2 Connector Work w/Autel Scanner MaxiSys Ultra Elite II PRO MS909</t>
        </is>
      </c>
      <c r="B617" s="35" t="inlineStr">
        <is>
          <t>B0D3V9DMLP</t>
        </is>
      </c>
      <c r="C617" s="35" t="inlineStr">
        <is>
          <t>Cable/Adapter</t>
        </is>
      </c>
      <c r="D617" s="359" t="n">
        <v>26.05485436893204</v>
      </c>
      <c r="E617" s="359" t="n">
        <v>29500.61</v>
      </c>
      <c r="F617" s="359" t="n">
        <v>2683.65</v>
      </c>
      <c r="G617" s="68" t="n">
        <v>1137</v>
      </c>
      <c r="H617" s="70" t="n">
        <v>103</v>
      </c>
      <c r="I617" s="68" t="n">
        <v>36</v>
      </c>
      <c r="J617" s="69" t="n">
        <v>4.5</v>
      </c>
      <c r="K617" s="69" t="inlineStr">
        <is>
          <t>https://amazon.com/dp/B0D3V9DMLP</t>
        </is>
      </c>
      <c r="L617" s="114">
        <f>HYPERLINK(Table1410[[#This Row],[Column1]])</f>
        <v/>
      </c>
    </row>
    <row r="618" ht="45" customHeight="1" s="314">
      <c r="A618" s="35" t="inlineStr">
        <is>
          <t>Autel Scanner MaxilM KM100 Diagnostic Tool 2026, 2026 New KM100 OBD Scan Tool for 99% Vehicles, Lifetime Update, IM508S &amp; IM608 PRO II Lite Model, No IP Limit</t>
        </is>
      </c>
      <c r="B618" s="35" t="inlineStr">
        <is>
          <t>B0G2LT49CN</t>
        </is>
      </c>
      <c r="C618" s="35" t="inlineStr">
        <is>
          <t>Tablet</t>
        </is>
      </c>
      <c r="D618" s="359" t="n">
        <v>467.3973195876289</v>
      </c>
      <c r="E618" s="359" t="n">
        <v>354597.2484615384</v>
      </c>
      <c r="F618" s="359" t="n">
        <v>45337.54</v>
      </c>
      <c r="G618" s="68" t="n">
        <v>128</v>
      </c>
      <c r="H618" s="70" t="n">
        <v>97</v>
      </c>
      <c r="I618" s="68" t="n">
        <v>3</v>
      </c>
      <c r="J618" s="69" t="n">
        <v>5</v>
      </c>
      <c r="K618" s="69" t="inlineStr">
        <is>
          <t>https://amazon.com/dp/B0G2LT49CN</t>
        </is>
      </c>
      <c r="L618" s="114">
        <f>HYPERLINK(Table1410[[#This Row],[Column1]])</f>
        <v/>
      </c>
    </row>
    <row r="619" ht="60" customHeight="1" s="314">
      <c r="A619" s="35" t="inlineStr">
        <is>
          <t>Autel AP2500E/AP2500 OBD2 Scanner Bluetooth Code Reader, Upgraded of AP200, OBDII Scanner All-System Diagnostic Tool, CAN FD, 5 Hot Resets, AutoVIN, Check Engine Light, Car Code Reader for Android/iOS</t>
        </is>
      </c>
      <c r="B619" s="35" t="inlineStr">
        <is>
          <t>B07Y8HLS33</t>
        </is>
      </c>
      <c r="C619" s="35" t="inlineStr">
        <is>
          <t>Dongle</t>
        </is>
      </c>
      <c r="D619" s="359" t="n">
        <v>59.03425531914894</v>
      </c>
      <c r="E619" s="359" t="n">
        <v>46366.92</v>
      </c>
      <c r="F619" s="359" t="n">
        <v>5549.22</v>
      </c>
      <c r="G619" s="68" t="n">
        <v>784</v>
      </c>
      <c r="H619" s="70" t="n">
        <v>94</v>
      </c>
      <c r="I619" s="68" t="n">
        <v>474</v>
      </c>
      <c r="J619" s="69" t="n">
        <v>3.9</v>
      </c>
      <c r="K619" s="69" t="inlineStr">
        <is>
          <t>https://amazon.com/dp/B07Y8HLS33</t>
        </is>
      </c>
      <c r="L619" s="114">
        <f>HYPERLINK(Table1410[[#This Row],[Column1]])</f>
        <v/>
      </c>
    </row>
    <row r="620" ht="45" customHeight="1" s="314">
      <c r="A620" s="35" t="inlineStr">
        <is>
          <t>Autel MaxiLink ML519 OBD2 Scanner [Same as AutoLink AL519], 2026 OBDII Diagnostic Scan Tool, Enhanced Mode 6 Fault Code Reader, Check Engine Light (MIL), One-Click Smog Check, Upgraded Ver. of AL319</t>
        </is>
      </c>
      <c r="B620" s="35" t="inlineStr">
        <is>
          <t>B07L8XS1ZG</t>
        </is>
      </c>
      <c r="C620" s="35" t="inlineStr">
        <is>
          <t>Handheld</t>
        </is>
      </c>
      <c r="D620" s="359" t="n">
        <v>60.14282608695652</v>
      </c>
      <c r="E620" s="359" t="n">
        <v>51749.82000000001</v>
      </c>
      <c r="F620" s="359" t="n">
        <v>5533.14</v>
      </c>
      <c r="G620" s="68" t="n">
        <v>873</v>
      </c>
      <c r="H620" s="70" t="n">
        <v>92</v>
      </c>
      <c r="I620" s="68" t="n">
        <v>1105</v>
      </c>
      <c r="J620" s="69" t="n">
        <v>4.5</v>
      </c>
      <c r="K620" s="69" t="inlineStr">
        <is>
          <t>https://amazon.com/dp/B07L8XS1ZG</t>
        </is>
      </c>
      <c r="L620" s="114">
        <f>HYPERLINK(Table1410[[#This Row],[Column1]])</f>
        <v/>
      </c>
    </row>
    <row r="621" ht="45" customHeight="1" s="314">
      <c r="A621" s="35" t="inlineStr">
        <is>
          <t>Autel AL539B OBD2 Scanner, 3-in-1 Code Reader Battery Tester Avometer for 12 Volts Batteries, Full OBDII Diagnosis and Circuit Starting &amp; Charging Systems Test, All Enhanced Ver. of AL519 AL539</t>
        </is>
      </c>
      <c r="B621" s="35" t="inlineStr">
        <is>
          <t>B079GXRV1M</t>
        </is>
      </c>
      <c r="C621" s="35" t="inlineStr">
        <is>
          <t>Handheld</t>
        </is>
      </c>
      <c r="D621" s="359" t="n">
        <v>88.13978260869565</v>
      </c>
      <c r="E621" s="359" t="n">
        <v>134921.95</v>
      </c>
      <c r="F621" s="359" t="n">
        <v>8108.86</v>
      </c>
      <c r="G621" s="68" t="n">
        <v>1576</v>
      </c>
      <c r="H621" s="70" t="n">
        <v>92</v>
      </c>
      <c r="I621" s="68" t="n">
        <v>1448</v>
      </c>
      <c r="J621" s="69" t="n">
        <v>4.6</v>
      </c>
      <c r="K621" s="69" t="inlineStr">
        <is>
          <t>https://amazon.com/dp/B079GXRV1M</t>
        </is>
      </c>
      <c r="L621" s="114">
        <f>HYPERLINK(Table1410[[#This Row],[Column1]])</f>
        <v/>
      </c>
    </row>
    <row r="622" ht="45" customHeight="1" s="314">
      <c r="A622" s="35" t="inlineStr">
        <is>
          <t>Autel MaxiIM Blank Key, IKEYAT005BL, Programmable Universal Remote Fob Replacement, 5-Button, OE-Quality, OBD Learning for 700+ Cars, Dual-Band, 130FT Remote, Multi-Frequency, Work w/ KM100 Scan Tool</t>
        </is>
      </c>
      <c r="B622" s="35" t="inlineStr">
        <is>
          <t>B0D14TWPB6</t>
        </is>
      </c>
      <c r="C622" s="35" t="inlineStr">
        <is>
          <t>Key</t>
        </is>
      </c>
      <c r="D622" s="359" t="n">
        <v>40.06613636363637</v>
      </c>
      <c r="E622" s="359" t="n">
        <v>39408.33</v>
      </c>
      <c r="F622" s="359" t="n">
        <v>3525.82</v>
      </c>
      <c r="G622" s="68" t="n">
        <v>986</v>
      </c>
      <c r="H622" s="70" t="n">
        <v>88</v>
      </c>
      <c r="I622" s="68" t="n">
        <v>79</v>
      </c>
      <c r="J622" s="69" t="n">
        <v>4.3</v>
      </c>
      <c r="K622" s="69" t="inlineStr">
        <is>
          <t>https://amazon.com/dp/B0D14TWPB6</t>
        </is>
      </c>
      <c r="L622" s="114">
        <f>HYPERLINK(Table1410[[#This Row],[Column1]])</f>
        <v/>
      </c>
    </row>
    <row r="623" ht="45" customHeight="1" s="314">
      <c r="A623" s="35" t="inlineStr">
        <is>
          <t>Autel MaxiCOM MK808Z OBD2 Scanner, 2026 Bidirectional Scan Tool Same As MK808S MX808S, Work as MaxiCheck MX900 MK900BT, Active Test, 28+ Service, All System Diagnose, Injector Coding, FCA Autoauth</t>
        </is>
      </c>
      <c r="B623" s="35" t="inlineStr">
        <is>
          <t>B094VZN94S</t>
        </is>
      </c>
      <c r="C623" s="35" t="inlineStr">
        <is>
          <t>Tablet</t>
        </is>
      </c>
      <c r="D623" s="359" t="n">
        <v>411.8664705882353</v>
      </c>
      <c r="E623" s="359" t="n">
        <v>310011.6776923077</v>
      </c>
      <c r="F623" s="359" t="n">
        <v>35008.65</v>
      </c>
      <c r="G623" s="68" t="n">
        <v>425</v>
      </c>
      <c r="H623" s="70" t="n">
        <v>85</v>
      </c>
      <c r="I623" s="68" t="n">
        <v>66</v>
      </c>
      <c r="J623" s="69" t="n">
        <v>4.4</v>
      </c>
      <c r="K623" s="69" t="inlineStr">
        <is>
          <t>https://amazon.com/dp/B094VZN94S</t>
        </is>
      </c>
      <c r="L623" s="114">
        <f>HYPERLINK(Table1410[[#This Row],[Column1]])</f>
        <v/>
      </c>
    </row>
    <row r="624" ht="45" customHeight="1" s="314">
      <c r="A624" s="35" t="inlineStr">
        <is>
          <t>Autel OBD2 OBDII Extension Cable, 5ft 1.5M, 16 Pin OBD II Male to Female Extension Cable Extender, Car 16Pin OBD 2 Diagnostic Cord Adapter, for All OBD2 Vehicles, Work with Scam Tool and Code Reader</t>
        </is>
      </c>
      <c r="B624" s="35" t="inlineStr">
        <is>
          <t>B0D4M9BQF2</t>
        </is>
      </c>
      <c r="C624" s="35" t="inlineStr">
        <is>
          <t>Cable/Adapter</t>
        </is>
      </c>
      <c r="D624" s="359" t="n">
        <v>23.07590361445783</v>
      </c>
      <c r="E624" s="359" t="n">
        <v>17656.07</v>
      </c>
      <c r="F624" s="359" t="n">
        <v>1915.3</v>
      </c>
      <c r="G624" s="68" t="n">
        <v>768</v>
      </c>
      <c r="H624" s="70" t="n">
        <v>83</v>
      </c>
      <c r="I624" s="68" t="n">
        <v>77</v>
      </c>
      <c r="J624" s="69" t="n">
        <v>4.7</v>
      </c>
      <c r="K624" s="69" t="inlineStr">
        <is>
          <t>https://amazon.com/dp/B0D4M9BQF2</t>
        </is>
      </c>
      <c r="L624" s="114">
        <f>HYPERLINK(Table1410[[#This Row],[Column1]])</f>
        <v/>
      </c>
    </row>
    <row r="625" ht="45" customHeight="1" s="314">
      <c r="A625" s="35" t="inlineStr">
        <is>
          <t>Autel Autolink AL319 Car OBD2 Scanner Code Reader Engine Fault Code Reader Scanner CAN Diagnostic Scan Tool for All OBD II Protocol Cars Since 1996</t>
        </is>
      </c>
      <c r="B625" s="35" t="inlineStr">
        <is>
          <t>B008EPKWD8</t>
        </is>
      </c>
      <c r="C625" s="35" t="inlineStr">
        <is>
          <t>Handheld</t>
        </is>
      </c>
      <c r="D625" s="359" t="n">
        <v>36.91376811594203</v>
      </c>
      <c r="E625" s="359" t="n">
        <v>30130.26</v>
      </c>
      <c r="F625" s="359" t="n">
        <v>2547.05</v>
      </c>
      <c r="G625" s="68" t="n">
        <v>815</v>
      </c>
      <c r="H625" s="70" t="n">
        <v>69</v>
      </c>
      <c r="I625" s="68" t="n">
        <v>109</v>
      </c>
      <c r="J625" s="69" t="n">
        <v>4.7</v>
      </c>
      <c r="K625" s="69" t="inlineStr">
        <is>
          <t>https://amazon.com/dp/B008EPKWD8</t>
        </is>
      </c>
      <c r="L625" s="114">
        <f>HYPERLINK(Table1410[[#This Row],[Column1]])</f>
        <v/>
      </c>
    </row>
    <row r="626" ht="45" customHeight="1" s="314">
      <c r="A626" s="35" t="inlineStr">
        <is>
          <t>Autel Scanner MaxiIM KM100(X), 2026 New Car Diagnostic Scan Tool, Lifetime Fre.e Updates, OBD-Learn on 95% Car, Wireless Auto Tool, Auto VIN &amp; Scan VIN/License, Android 9.0, 2+64GB, 5.5in 1280x720</t>
        </is>
      </c>
      <c r="B626" s="35" t="inlineStr">
        <is>
          <t>B0G6DZWVJ5</t>
        </is>
      </c>
      <c r="C626" s="35" t="inlineStr">
        <is>
          <t>Tablet</t>
        </is>
      </c>
      <c r="D626" s="359" t="n">
        <v>537.8907462686567</v>
      </c>
      <c r="E626" s="359" t="n">
        <v>546068.6707692306</v>
      </c>
      <c r="F626" s="359" t="n">
        <v>36038.68</v>
      </c>
      <c r="G626" s="68" t="n">
        <v>548</v>
      </c>
      <c r="H626" s="70" t="n">
        <v>67</v>
      </c>
      <c r="I626" s="68" t="n">
        <v>80</v>
      </c>
      <c r="J626" s="69" t="n">
        <v>4.3</v>
      </c>
      <c r="K626" s="69" t="inlineStr">
        <is>
          <t>https://amazon.com/dp/B0G6DZWVJ5</t>
        </is>
      </c>
      <c r="L626" s="114">
        <f>HYPERLINK(Table1410[[#This Row],[Column1]])</f>
        <v/>
      </c>
    </row>
    <row r="627" ht="45" customHeight="1" s="314">
      <c r="A627" s="35" t="inlineStr">
        <is>
          <t>Autel OBD2 Scanner MS309 Automotive Check Engine Code Reader, Check Emission Monitor Status, CAN Diagnostic Scan Tool for All OBDII Protocol Vehicles After 1996</t>
        </is>
      </c>
      <c r="B627" s="35" t="inlineStr">
        <is>
          <t>B001LHQBMC</t>
        </is>
      </c>
      <c r="C627" s="35" t="inlineStr">
        <is>
          <t>Handheld</t>
        </is>
      </c>
      <c r="D627" s="359" t="n">
        <v>22.82925373134328</v>
      </c>
      <c r="E627" s="359" t="n">
        <v>21120.23</v>
      </c>
      <c r="F627" s="359" t="n">
        <v>1529.56</v>
      </c>
      <c r="G627" s="68" t="n">
        <v>921</v>
      </c>
      <c r="H627" s="70" t="n">
        <v>67</v>
      </c>
      <c r="I627" s="68" t="n">
        <v>3626</v>
      </c>
      <c r="J627" s="69" t="n">
        <v>4.5</v>
      </c>
      <c r="K627" s="69" t="inlineStr">
        <is>
          <t>https://amazon.com/dp/B001LHQBMC</t>
        </is>
      </c>
      <c r="L627" s="114">
        <f>HYPERLINK(Table1410[[#This Row],[Column1]])</f>
        <v/>
      </c>
    </row>
    <row r="628" ht="45" customHeight="1" s="314">
      <c r="A628" s="35" t="inlineStr">
        <is>
          <t>Autel MaxiVCI V200 VCI200 Wireless Diagnostic Dongle, 2026 VCI 200 OBD2 Connector Adapter, Work with Scanner MK900BT MP900-BT MaxiSys MS906 PRO MS906MAX MS906 PRO-TS MK906 PRO-TS KM100 BT608 BT609</t>
        </is>
      </c>
      <c r="B628" s="35" t="inlineStr">
        <is>
          <t>B0BBFY2848</t>
        </is>
      </c>
      <c r="C628" s="35" t="inlineStr">
        <is>
          <t>Dongle</t>
        </is>
      </c>
      <c r="D628" s="359" t="n">
        <v>219.7278787878788</v>
      </c>
      <c r="E628" s="359" t="n">
        <v>172344.55</v>
      </c>
      <c r="F628" s="359" t="n">
        <v>14502.04</v>
      </c>
      <c r="G628" s="68" t="n">
        <v>813</v>
      </c>
      <c r="H628" s="70" t="n">
        <v>66</v>
      </c>
      <c r="I628" s="68" t="n">
        <v>68</v>
      </c>
      <c r="J628" s="69" t="n">
        <v>4.6</v>
      </c>
      <c r="K628" s="69" t="inlineStr">
        <is>
          <t>https://amazon.com/dp/B0BBFY2848</t>
        </is>
      </c>
      <c r="L628" s="114">
        <f>HYPERLINK(Table1410[[#This Row],[Column1]])</f>
        <v/>
      </c>
    </row>
    <row r="629" ht="45" customHeight="1" s="314">
      <c r="A629" s="35" t="inlineStr">
        <is>
          <t>Autel MaxiCheck PRO Auto Bleed Scan Tool for ABS Brake Bleeding, OBD2 ABS SRS Diagnostic Scanner, Oil Reset, BMS, EPB, Airbag, SAS Services for Specific Vehicles Up to 2015, Lifetime Free Updates</t>
        </is>
      </c>
      <c r="B629" s="35" t="inlineStr">
        <is>
          <t>B075ZLVXHY</t>
        </is>
      </c>
      <c r="C629" s="35" t="inlineStr">
        <is>
          <t>Handheld</t>
        </is>
      </c>
      <c r="D629" s="359" t="n">
        <v>199.2264615384615</v>
      </c>
      <c r="E629" s="359" t="n">
        <v>143308.79</v>
      </c>
      <c r="F629" s="359" t="n">
        <v>12949.72</v>
      </c>
      <c r="G629" s="68" t="n">
        <v>721</v>
      </c>
      <c r="H629" s="70" t="n">
        <v>65</v>
      </c>
      <c r="I629" s="68" t="n">
        <v>504</v>
      </c>
      <c r="J629" s="69" t="n">
        <v>4.4</v>
      </c>
      <c r="K629" s="69" t="inlineStr">
        <is>
          <t>https://amazon.com/dp/B075ZLVXHY</t>
        </is>
      </c>
      <c r="L629" s="114">
        <f>HYPERLINK(Table1410[[#This Row],[Column1]])</f>
        <v/>
      </c>
    </row>
    <row r="630" ht="45" customHeight="1" s="314">
      <c r="A630" s="35" t="inlineStr">
        <is>
          <t>Autel Original OBD2 Cable for Harley Davidson, 4pin+6pin 2 in 1 Motorcycle OBD Scanner Adapter, 16Pin to 4Pin and 6Pin OBDII Connector Work with Harleydavidson Diagnostic Tool</t>
        </is>
      </c>
      <c r="B630" s="35" t="inlineStr">
        <is>
          <t>B0G13GBCB7</t>
        </is>
      </c>
      <c r="C630" s="35" t="inlineStr">
        <is>
          <t>Cable/Adapter</t>
        </is>
      </c>
      <c r="D630" s="359" t="n">
        <v>19.75390625</v>
      </c>
      <c r="E630" s="359" t="n">
        <v>13032.7</v>
      </c>
      <c r="F630" s="359" t="n">
        <v>1264.25</v>
      </c>
      <c r="G630" s="68" t="n">
        <v>123</v>
      </c>
      <c r="H630" s="70" t="n">
        <v>64</v>
      </c>
      <c r="I630" s="68" t="n">
        <v>24</v>
      </c>
      <c r="J630" s="69" t="n">
        <v>4.1</v>
      </c>
      <c r="K630" s="69" t="inlineStr">
        <is>
          <t>https://amazon.com/dp/B0G13GBCB7</t>
        </is>
      </c>
      <c r="L630" s="114">
        <f>HYPERLINK(Table1410[[#This Row],[Column1]])</f>
        <v/>
      </c>
    </row>
    <row r="631" ht="45" customHeight="1" s="314">
      <c r="A631" s="35" t="inlineStr">
        <is>
          <t>Autel Original BENZ-38 PIN Adapter, 38 Pin Male to 16 Pin Female OBDII Connector Compatible with Mercedes-Benz Pre-2001, Work with OBD2 Diagnostic Scan Tool OBD II Scanner</t>
        </is>
      </c>
      <c r="B631" s="35" t="inlineStr">
        <is>
          <t>B0D62Z3ZGV</t>
        </is>
      </c>
      <c r="C631" s="35" t="inlineStr">
        <is>
          <t>Cable/Adapter</t>
        </is>
      </c>
      <c r="D631" s="359" t="n">
        <v>49.6040625</v>
      </c>
      <c r="E631" s="359" t="n">
        <v>29819.69</v>
      </c>
      <c r="F631" s="359" t="n">
        <v>3174.66</v>
      </c>
      <c r="G631" s="68" t="n">
        <v>522</v>
      </c>
      <c r="H631" s="70" t="n">
        <v>64</v>
      </c>
      <c r="I631" s="68" t="n">
        <v>23</v>
      </c>
      <c r="J631" s="69" t="n">
        <v>4.5</v>
      </c>
      <c r="K631" s="69" t="inlineStr">
        <is>
          <t>https://amazon.com/dp/B0D62Z3ZGV</t>
        </is>
      </c>
      <c r="L631" s="114">
        <f>HYPERLINK(Table1410[[#This Row],[Column1]])</f>
        <v/>
      </c>
    </row>
    <row r="632" ht="60" customHeight="1" s="314">
      <c r="A632" s="35" t="inlineStr">
        <is>
          <t>2026 Autel MaxiBAS BTMS OBD2 Car Battery Tester Memory Saver, Preserve Vehicle Data Code Electronic Preset, Maintain Data Surge Protection Attaches to 12 Volt Backup Battery, Provide Power to Vehicle</t>
        </is>
      </c>
      <c r="B632" s="35" t="inlineStr">
        <is>
          <t>B0CZDKVZSN</t>
        </is>
      </c>
      <c r="C632" s="35" t="inlineStr">
        <is>
          <t>Other</t>
        </is>
      </c>
      <c r="D632" s="359" t="n">
        <v>45.87095238095238</v>
      </c>
      <c r="E632" s="359" t="n">
        <v>34744.83692307693</v>
      </c>
      <c r="F632" s="359" t="n">
        <v>2889.87</v>
      </c>
      <c r="G632" s="68" t="n">
        <v>582</v>
      </c>
      <c r="H632" s="70" t="n">
        <v>63</v>
      </c>
      <c r="I632" s="68" t="n">
        <v>56</v>
      </c>
      <c r="J632" s="69" t="n">
        <v>5</v>
      </c>
      <c r="K632" s="69" t="inlineStr">
        <is>
          <t>https://amazon.com/dp/B0CZDKVZSN</t>
        </is>
      </c>
      <c r="L632" s="114">
        <f>HYPERLINK(Table1410[[#This Row],[Column1]])</f>
        <v/>
      </c>
    </row>
    <row r="633" ht="60" customHeight="1" s="314">
      <c r="A633" s="35" t="inlineStr">
        <is>
          <t>Autel OBD2 16Pin J1962 Female to OBDII Open Pigtail Cable, Pigtail Fixed Wire Harness with Underdash Mount Bracket, OE-Quality, 1FT/ 30CM</t>
        </is>
      </c>
      <c r="B633" s="35" t="inlineStr">
        <is>
          <t>B0F3XHP8FF</t>
        </is>
      </c>
      <c r="C633" s="35" t="inlineStr">
        <is>
          <t>Cable/Adapter</t>
        </is>
      </c>
      <c r="D633" s="359" t="n">
        <v>20.01967213114754</v>
      </c>
      <c r="E633" s="359" t="n">
        <v>11806.84</v>
      </c>
      <c r="F633" s="359" t="n">
        <v>1221.2</v>
      </c>
      <c r="G633" s="68" t="n">
        <v>670</v>
      </c>
      <c r="H633" s="70" t="n">
        <v>61</v>
      </c>
      <c r="I633" s="68" t="n">
        <v>25</v>
      </c>
      <c r="J633" s="69" t="n">
        <v>4.7</v>
      </c>
      <c r="K633" s="69" t="inlineStr">
        <is>
          <t>https://amazon.com/dp/B0F3XHP8FF</t>
        </is>
      </c>
      <c r="L633" s="114">
        <f>HYPERLINK(Table1410[[#This Row],[Column1]])</f>
        <v/>
      </c>
    </row>
    <row r="634" ht="30" customHeight="1" s="314">
      <c r="A634" s="35" t="inlineStr">
        <is>
          <t>Autel G-BOX3 Accessory Tool Adapter, 2026 Upgraded of Gox2 G-BOX2, Gbox3 Adapter for Mercedes-Benz/for BMW, Works W/MaxiIM IM508(S) + XP400, IM608 PRO II, IM608S II, IM608 PRO 2 Scanner</t>
        </is>
      </c>
      <c r="B634" s="35" t="inlineStr">
        <is>
          <t>B089GJ4NTX</t>
        </is>
      </c>
      <c r="C634" s="35" t="inlineStr">
        <is>
          <t>Key</t>
        </is>
      </c>
      <c r="D634" s="359" t="n">
        <v>129.7426666666667</v>
      </c>
      <c r="E634" s="359" t="n">
        <v>91044.90999999999</v>
      </c>
      <c r="F634" s="359" t="n">
        <v>7784.56</v>
      </c>
      <c r="G634" s="68" t="n">
        <v>705</v>
      </c>
      <c r="H634" s="70" t="n">
        <v>60</v>
      </c>
      <c r="I634" s="68" t="n">
        <v>98</v>
      </c>
      <c r="J634" s="69" t="n">
        <v>4.6</v>
      </c>
      <c r="K634" s="69" t="inlineStr">
        <is>
          <t>https://amazon.com/dp/B089GJ4NTX</t>
        </is>
      </c>
      <c r="L634" s="114">
        <f>HYPERLINK(Table1410[[#This Row],[Column1]])</f>
        <v/>
      </c>
    </row>
    <row r="635" ht="45" customHeight="1" s="314">
      <c r="A635" s="35" t="inlineStr">
        <is>
          <t>Autel Original Daewoo &amp; GM OBD2 to OBD1 Adapter, 2026 OBDI 12 Pin Male Socket to 16 Pin Female OBDII Connector for General Motors Scan Tool</t>
        </is>
      </c>
      <c r="B635" s="35" t="inlineStr">
        <is>
          <t>B0FQBTV6S5</t>
        </is>
      </c>
      <c r="C635" s="35" t="inlineStr">
        <is>
          <t>OBD1</t>
        </is>
      </c>
      <c r="D635" s="359" t="n">
        <v>18.92116666666667</v>
      </c>
      <c r="E635" s="359" t="n">
        <v>14325.88923076923</v>
      </c>
      <c r="F635" s="359" t="n">
        <v>1135.27</v>
      </c>
      <c r="G635" s="68" t="n">
        <v>412</v>
      </c>
      <c r="H635" s="70" t="n">
        <v>60</v>
      </c>
      <c r="I635" s="68" t="n">
        <v>16</v>
      </c>
      <c r="J635" s="69" t="n">
        <v>3.7</v>
      </c>
      <c r="K635" s="69" t="inlineStr">
        <is>
          <t>https://amazon.com/dp/B0FQBTV6S5</t>
        </is>
      </c>
      <c r="L635" s="114">
        <f>HYPERLINK(Table1410[[#This Row],[Column1]])</f>
        <v/>
      </c>
    </row>
    <row r="636" ht="60" customHeight="1" s="314">
      <c r="A636" s="35" t="inlineStr">
        <is>
          <t>2026 Autel MaxiCOM MK900TS Scanner, MK900-TS Up of MK808S-TS MK900BT MK900 MX900, Bidirectional Scan Tool w/Top TPMS Function, All System, CAN FD &amp; DoIP, 3000+ Active Test, 40+ Service, FCA, OS 11.0</t>
        </is>
      </c>
      <c r="B636" s="35" t="inlineStr">
        <is>
          <t>B08PB6DHBS</t>
        </is>
      </c>
      <c r="C636" s="35" t="inlineStr">
        <is>
          <t>Tablet</t>
        </is>
      </c>
      <c r="D636" s="359" t="n">
        <v>874.6203333333334</v>
      </c>
      <c r="E636" s="359" t="n">
        <v>313027.51</v>
      </c>
      <c r="F636" s="359" t="n">
        <v>52477.22</v>
      </c>
      <c r="G636" s="68" t="n">
        <v>356</v>
      </c>
      <c r="H636" s="70" t="n">
        <v>60</v>
      </c>
      <c r="I636" s="68" t="n">
        <v>88</v>
      </c>
      <c r="J636" s="69" t="n">
        <v>4.8</v>
      </c>
      <c r="K636" s="69" t="inlineStr">
        <is>
          <t>https://amazon.com/dp/B08PB6DHBS</t>
        </is>
      </c>
      <c r="L636" s="114">
        <f>HYPERLINK(Table1410[[#This Row],[Column1]])</f>
        <v/>
      </c>
    </row>
    <row r="637" ht="30" customHeight="1" s="314">
      <c r="A637" s="35" t="inlineStr">
        <is>
          <t>Autel Original OBD to Type 2 Green 9pin J1939 Male and 6pin J1708 Split Y Cable, 2-in-1 OBD2 Adapter for Commercial Vehicles Diesel Truck Heavy Duty Diagnostic, Work with Both Tpye2 and Type1</t>
        </is>
      </c>
      <c r="B637" s="35" t="inlineStr">
        <is>
          <t>B0G4LYW24Q</t>
        </is>
      </c>
      <c r="C637" s="35" t="inlineStr">
        <is>
          <t>Cable/Adapter</t>
        </is>
      </c>
      <c r="D637" s="359" t="n">
        <v>22.11482142857143</v>
      </c>
      <c r="E637" s="359" t="n">
        <v>13707.10153846154</v>
      </c>
      <c r="F637" s="359" t="n">
        <v>1238.43</v>
      </c>
      <c r="G637" s="68" t="n">
        <v>102</v>
      </c>
      <c r="H637" s="70" t="n">
        <v>56</v>
      </c>
      <c r="I637" s="68" t="n">
        <v>15</v>
      </c>
      <c r="J637" s="69" t="n">
        <v>4.9</v>
      </c>
      <c r="K637" s="69" t="inlineStr">
        <is>
          <t>https://amazon.com/dp/B0G4LYW24Q</t>
        </is>
      </c>
      <c r="L637" s="114">
        <f>HYPERLINK(Table1410[[#This Row],[Column1]])</f>
        <v/>
      </c>
    </row>
    <row r="638" ht="30" customHeight="1" s="314">
      <c r="A638" s="35" t="inlineStr">
        <is>
          <t>Autel OBD2 Extension Cable, Full 16Pin Male to Female OBDII Extension Cable Diagnostic Extender, 16Pin OBD II Cord Adapter, for All OBD2 OBD II Vehicles (1m/3.3ft)</t>
        </is>
      </c>
      <c r="B638" s="35" t="inlineStr">
        <is>
          <t>B0DHH3KJPN</t>
        </is>
      </c>
      <c r="C638" s="35" t="inlineStr">
        <is>
          <t>Cable/Adapter</t>
        </is>
      </c>
      <c r="D638" s="359" t="n">
        <v>20.13607142857143</v>
      </c>
      <c r="E638" s="359" t="n">
        <v>13597.495294</v>
      </c>
      <c r="F638" s="359" t="n">
        <v>1127.62</v>
      </c>
      <c r="G638" s="68" t="n">
        <v>692</v>
      </c>
      <c r="H638" s="70" t="n">
        <v>56</v>
      </c>
      <c r="I638" s="68" t="n">
        <v>56</v>
      </c>
      <c r="J638" s="69" t="n">
        <v>4.7</v>
      </c>
      <c r="K638" s="69" t="inlineStr">
        <is>
          <t>https://amazon.com/dp/B0DHH3KJPN</t>
        </is>
      </c>
      <c r="L638" s="114">
        <f>HYPERLINK(Table1410[[#This Row],[Column1]])</f>
        <v/>
      </c>
    </row>
    <row r="639" ht="45" customHeight="1" s="314">
      <c r="A639" s="35" t="inlineStr">
        <is>
          <t>Autel Original OBD2 Adapter Ram Security Gateway SGB Bypass Cable, OBDII Cable Connector for 2018-2020 Dodge Cummins RAM 1500 2500, 16 Pin 2Pin OBDII Diagnostic Tool Adapter</t>
        </is>
      </c>
      <c r="B639" s="35" t="inlineStr">
        <is>
          <t>B0G141QT15</t>
        </is>
      </c>
      <c r="C639" s="35" t="inlineStr">
        <is>
          <t>Cable/Adapter</t>
        </is>
      </c>
      <c r="D639" s="359" t="n">
        <v>19.93370370370371</v>
      </c>
      <c r="E639" s="359" t="n">
        <v>13952.46461538461</v>
      </c>
      <c r="F639" s="359" t="n">
        <v>1076.42</v>
      </c>
      <c r="G639" s="68" t="n">
        <v>187</v>
      </c>
      <c r="H639" s="70" t="n">
        <v>54</v>
      </c>
      <c r="I639" s="68" t="n">
        <v>27</v>
      </c>
      <c r="J639" s="69" t="n">
        <v>3.9</v>
      </c>
      <c r="K639" s="69" t="inlineStr">
        <is>
          <t>https://amazon.com/dp/B0G141QT15</t>
        </is>
      </c>
      <c r="L639" s="114">
        <f>HYPERLINK(Table1410[[#This Row],[Column1]])</f>
        <v/>
      </c>
    </row>
    <row r="640" ht="60" customHeight="1" s="314">
      <c r="A640" s="35" t="inlineStr">
        <is>
          <t>Autel MaxiCOM MK808S Scanner, 2026 Bidirectional Scan Tool as MK808BT Pro MX808S MK808Z, Work as MaxiCheck MX900 MK900 MK900BT, 28+ Reset, 3K+ Active Test, FCA AutoAuth, OE All System Diagnostic,OS 11</t>
        </is>
      </c>
      <c r="B640" s="35" t="inlineStr">
        <is>
          <t>B0744JBC7W</t>
        </is>
      </c>
      <c r="C640" s="35" t="inlineStr">
        <is>
          <t>Tablet</t>
        </is>
      </c>
      <c r="D640" s="359" t="n">
        <v>452.6094230769231</v>
      </c>
      <c r="E640" s="359" t="n">
        <v>179690.83</v>
      </c>
      <c r="F640" s="359" t="n">
        <v>23535.69</v>
      </c>
      <c r="G640" s="68" t="n">
        <v>384</v>
      </c>
      <c r="H640" s="70" t="n">
        <v>52</v>
      </c>
      <c r="I640" s="68" t="n">
        <v>708</v>
      </c>
      <c r="J640" s="69" t="n">
        <v>4.5</v>
      </c>
      <c r="K640" s="69" t="inlineStr">
        <is>
          <t>https://amazon.com/dp/B0744JBC7W</t>
        </is>
      </c>
      <c r="L640" s="114">
        <f>HYPERLINK(Table1410[[#This Row],[Column1]])</f>
        <v/>
      </c>
    </row>
    <row r="641" ht="60" customHeight="1" s="314">
      <c r="A641" s="35" t="inlineStr">
        <is>
          <t>Autel MaxiTPMS TS408S PRO TPMS Programming Tool: 2026 Ver. Same as TS501 Pro 508WF MX808TS MK808TS MP900TS Relearn Tool, Activate Relearn 99% Sensors, Program Autel MX-Sensors, TPMS Reset/Diagnosis</t>
        </is>
      </c>
      <c r="B641" s="35" t="inlineStr">
        <is>
          <t>B07VZFHJ6H</t>
        </is>
      </c>
      <c r="C641" s="35" t="inlineStr">
        <is>
          <t>Handheld</t>
        </is>
      </c>
      <c r="D641" s="359" t="n">
        <v>188.0476923076923</v>
      </c>
      <c r="E641" s="359" t="n">
        <v>118181.4</v>
      </c>
      <c r="F641" s="359" t="n">
        <v>9778.48</v>
      </c>
      <c r="G641" s="68" t="n">
        <v>624</v>
      </c>
      <c r="H641" s="70" t="n">
        <v>52</v>
      </c>
      <c r="I641" s="68" t="n">
        <v>981</v>
      </c>
      <c r="J641" s="69" t="n">
        <v>4.3</v>
      </c>
      <c r="K641" s="69" t="inlineStr">
        <is>
          <t>https://amazon.com/dp/B07VZFHJ6H</t>
        </is>
      </c>
      <c r="L641" s="114">
        <f>HYPERLINK(Table1410[[#This Row],[Column1]])</f>
        <v/>
      </c>
    </row>
    <row r="642" ht="60" customHeight="1" s="314">
      <c r="A642" s="35" t="inlineStr">
        <is>
          <t>Autel CAN FD CANFD Adapter for GM MY2020 Vehicles, 2026 Compatible with Autel Scanner Diagnostic Scan Tool MaxiCOM MK808S MX808S DS808 Maxisys Elite 908 Series Models W/CAN FD Protocol (100% Original)</t>
        </is>
      </c>
      <c r="B642" s="35" t="inlineStr">
        <is>
          <t>B08B4KZGF3</t>
        </is>
      </c>
      <c r="C642" s="35" t="inlineStr">
        <is>
          <t>Cable/Adapter</t>
        </is>
      </c>
      <c r="D642" s="359" t="n">
        <v>118.3352</v>
      </c>
      <c r="E642" s="359" t="n">
        <v>85062.14</v>
      </c>
      <c r="F642" s="359" t="n">
        <v>5916.76</v>
      </c>
      <c r="G642" s="68" t="n">
        <v>715</v>
      </c>
      <c r="H642" s="70" t="n">
        <v>50</v>
      </c>
      <c r="I642" s="68" t="n">
        <v>71</v>
      </c>
      <c r="J642" s="69" t="n">
        <v>4.4</v>
      </c>
      <c r="K642" s="69" t="inlineStr">
        <is>
          <t>https://amazon.com/dp/B08B4KZGF3</t>
        </is>
      </c>
      <c r="L642" s="114">
        <f>HYPERLINK(Table1410[[#This Row],[Column1]])</f>
        <v/>
      </c>
    </row>
    <row r="643" ht="45" customHeight="1" s="314">
      <c r="A643" s="35" t="inlineStr">
        <is>
          <t>Autel AutoLink AL619 OBD2 Scanner | 2026 ABS/SRS/CAN Diagnostic Tool | Read/Erase Codes, Check Engine Light, OBDII Live Data &amp; DTC Library | Upgrade for AL519, ML519, ML619 (Vehicle-Specific)</t>
        </is>
      </c>
      <c r="B643" s="35" t="inlineStr">
        <is>
          <t>B07PQJTQN2</t>
        </is>
      </c>
      <c r="C643" s="35" t="inlineStr">
        <is>
          <t>Handheld</t>
        </is>
      </c>
      <c r="D643" s="359" t="n">
        <v>99.94020833333332</v>
      </c>
      <c r="E643" s="359" t="n">
        <v>51012.91999999999</v>
      </c>
      <c r="F643" s="359" t="n">
        <v>4797.13</v>
      </c>
      <c r="G643" s="68" t="n">
        <v>509</v>
      </c>
      <c r="H643" s="70" t="n">
        <v>48</v>
      </c>
      <c r="I643" s="68" t="n">
        <v>541</v>
      </c>
      <c r="J643" s="69" t="n">
        <v>4.4</v>
      </c>
      <c r="K643" s="69" t="inlineStr">
        <is>
          <t>https://amazon.com/dp/B07PQJTQN2</t>
        </is>
      </c>
      <c r="L643" s="114">
        <f>HYPERLINK(Table1410[[#This Row],[Column1]])</f>
        <v/>
      </c>
    </row>
    <row r="644" ht="60" customHeight="1" s="314">
      <c r="A644" s="35" t="inlineStr">
        <is>
          <t>Autel Original OBD to Green Type2 9 Pin J1939 and 6 Pin J1708 Split Y Cable for Diesel Truck Diagnostics, 9Pin and 6Pin Male to 16Pin OBDII Female Splitter Adapter, OBD to OBD2 16 Pin Diagnostic Tool</t>
        </is>
      </c>
      <c r="B644" s="35" t="inlineStr">
        <is>
          <t>B0DBZTZLJ1</t>
        </is>
      </c>
      <c r="C644" s="35" t="inlineStr">
        <is>
          <t>Cable/Adapter</t>
        </is>
      </c>
      <c r="D644" s="359" t="n">
        <v>25.77872340425532</v>
      </c>
      <c r="E644" s="359" t="n">
        <v>17054.48</v>
      </c>
      <c r="F644" s="359" t="n">
        <v>1211.6</v>
      </c>
      <c r="G644" s="68" t="n">
        <v>656</v>
      </c>
      <c r="H644" s="70" t="n">
        <v>47</v>
      </c>
      <c r="I644" s="68" t="n">
        <v>27</v>
      </c>
      <c r="J644" s="69" t="n">
        <v>4.3</v>
      </c>
      <c r="K644" s="69" t="inlineStr">
        <is>
          <t>https://amazon.com/dp/B0DBZTZLJ1</t>
        </is>
      </c>
      <c r="L644" s="114">
        <f>HYPERLINK(Table1410[[#This Row],[Column1]])</f>
        <v/>
      </c>
    </row>
    <row r="645" ht="60" customHeight="1" s="314">
      <c r="A645" s="35" t="inlineStr">
        <is>
          <t>Autel OBD2 Memory Saver for Car Battery, 2026 MaxiBAS BTMS for All 12V Vehicles, Preserve ECU Code &amp; Electronic Presets, Maintain PCM Data, Polarity Protection, Built-in Voltage Meter, LED Lights</t>
        </is>
      </c>
      <c r="B645" s="35" t="inlineStr">
        <is>
          <t>B0DTV6LHHH</t>
        </is>
      </c>
      <c r="C645" s="35" t="inlineStr">
        <is>
          <t>Other</t>
        </is>
      </c>
      <c r="D645" s="359" t="n">
        <v>42.06042553191489</v>
      </c>
      <c r="E645" s="359" t="n">
        <v>23973.46538461538</v>
      </c>
      <c r="F645" s="359" t="n">
        <v>1976.84</v>
      </c>
      <c r="G645" s="68" t="n">
        <v>537</v>
      </c>
      <c r="H645" s="70" t="n">
        <v>47</v>
      </c>
      <c r="I645" s="68" t="n">
        <v>46</v>
      </c>
      <c r="J645" s="69" t="n">
        <v>4.9</v>
      </c>
      <c r="K645" s="69" t="inlineStr">
        <is>
          <t>https://amazon.com/dp/B0DTV6LHHH</t>
        </is>
      </c>
      <c r="L645" s="114">
        <f>HYPERLINK(Table1410[[#This Row],[Column1]])</f>
        <v/>
      </c>
    </row>
    <row r="646" ht="60" customHeight="1" s="314">
      <c r="A646" s="35" t="inlineStr">
        <is>
          <t>Autel MaxiLink ML519 OBD2 Scanner, New Ver. of AL519, Enhanced Mode 6 Car Code Reader, Check Engine Light Read/Erase Fault Code Car Diagnostic Tool, One-Click Smong Check, DTC Lookup, Up of AL319</t>
        </is>
      </c>
      <c r="B646" s="35" t="inlineStr">
        <is>
          <t>B07PRPQCSL</t>
        </is>
      </c>
      <c r="C646" s="35" t="inlineStr">
        <is>
          <t>Handheld</t>
        </is>
      </c>
      <c r="D646" s="359" t="n">
        <v>60.34186046511628</v>
      </c>
      <c r="E646" s="359" t="n">
        <v>22084.5</v>
      </c>
      <c r="F646" s="359" t="n">
        <v>2594.7</v>
      </c>
      <c r="G646" s="68" t="n">
        <v>368</v>
      </c>
      <c r="H646" s="70" t="n">
        <v>43</v>
      </c>
      <c r="I646" s="68" t="n">
        <v>3786</v>
      </c>
      <c r="J646" s="69" t="n">
        <v>4.6</v>
      </c>
      <c r="K646" s="69" t="inlineStr">
        <is>
          <t>https://amazon.com/dp/B07PRPQCSL</t>
        </is>
      </c>
      <c r="L646" s="114">
        <f>HYPERLINK(Table1410[[#This Row],[Column1]])</f>
        <v/>
      </c>
    </row>
    <row r="647" ht="45" customHeight="1" s="314">
      <c r="A647" s="35" t="inlineStr">
        <is>
          <t>Autel MaxiPRO MP900-BT KIT Scanner: 2026 Same as MS906 Pro MS906 MAX MK908 w/OE C0ding, 3000+ Test, 40+ Service, 150+ Makes, Up of MP900-BT MP900BT w/ 200 Bucks 11 PCS OBD Cables, CAN FD &amp; FCA SGW</t>
        </is>
      </c>
      <c r="B647" s="35" t="inlineStr">
        <is>
          <t>B0751G1W5C</t>
        </is>
      </c>
      <c r="C647" s="35" t="inlineStr">
        <is>
          <t>Tablet</t>
        </is>
      </c>
      <c r="D647" s="359" t="n">
        <v>942.283953488372</v>
      </c>
      <c r="E647" s="359" t="n">
        <v>420490.92</v>
      </c>
      <c r="F647" s="359" t="n">
        <v>40518.21</v>
      </c>
      <c r="G647" s="68" t="n">
        <v>442</v>
      </c>
      <c r="H647" s="70" t="n">
        <v>43</v>
      </c>
      <c r="I647" s="68" t="n">
        <v>145</v>
      </c>
      <c r="J647" s="69" t="n">
        <v>4.6</v>
      </c>
      <c r="K647" s="69" t="inlineStr">
        <is>
          <t>https://amazon.com/dp/B0751G1W5C</t>
        </is>
      </c>
      <c r="L647" s="114">
        <f>HYPERLINK(Table1410[[#This Row],[Column1]])</f>
        <v/>
      </c>
    </row>
    <row r="648" ht="45" customHeight="1" s="314">
      <c r="A648" s="35" t="inlineStr">
        <is>
          <t>Autel Original OBD Diagnostic Adapter, 9Pin J1939 Male to 16Pin OBD2 OBDII Female Connector, Work for Heavy Duty Trucks and Commercial Vehicles, Compatible with OBD2 Automotive Diagnostic Scanners</t>
        </is>
      </c>
      <c r="B648" s="35" t="inlineStr">
        <is>
          <t>B0DF31J5ZN</t>
        </is>
      </c>
      <c r="C648" s="35" t="inlineStr">
        <is>
          <t>Cable/Adapter</t>
        </is>
      </c>
      <c r="D648" s="359" t="n">
        <v>20.03714285714286</v>
      </c>
      <c r="E648" s="359" t="n">
        <v>14207.13</v>
      </c>
      <c r="F648" s="359" t="n">
        <v>841.5599999999999</v>
      </c>
      <c r="G648" s="68" t="n">
        <v>711</v>
      </c>
      <c r="H648" s="70" t="n">
        <v>42</v>
      </c>
      <c r="I648" s="68" t="n">
        <v>19</v>
      </c>
      <c r="J648" s="69" t="n">
        <v>4.5</v>
      </c>
      <c r="K648" s="69" t="inlineStr">
        <is>
          <t>https://amazon.com/dp/B0DF31J5ZN</t>
        </is>
      </c>
      <c r="L648" s="114">
        <f>HYPERLINK(Table1410[[#This Row],[Column1]])</f>
        <v/>
      </c>
    </row>
    <row r="649" ht="45" customHeight="1" s="314">
      <c r="A649" s="35" t="inlineStr">
        <is>
          <t>Autel Original Tesla Diagnostic Service Cable for Tesla Model X &amp; Model S, Activate Factory Mode, System Diagnostic, Work Scanner MaxiSys Ultra, Elite II PRO, MS909, MS908S PRO II, MK908 PRO II</t>
        </is>
      </c>
      <c r="B649" s="35" t="inlineStr">
        <is>
          <t>B0D3VCD5F8</t>
        </is>
      </c>
      <c r="C649" s="35" t="inlineStr">
        <is>
          <t>Cable/Adapter</t>
        </is>
      </c>
      <c r="D649" s="359" t="n">
        <v>17.00309523809524</v>
      </c>
      <c r="E649" s="359" t="n">
        <v>4247.51</v>
      </c>
      <c r="F649" s="359" t="n">
        <v>714.13</v>
      </c>
      <c r="G649" s="68" t="n">
        <v>238</v>
      </c>
      <c r="H649" s="70" t="n">
        <v>42</v>
      </c>
      <c r="I649" s="68" t="n">
        <v>12</v>
      </c>
      <c r="J649" s="69" t="n">
        <v>4.6</v>
      </c>
      <c r="K649" s="69" t="inlineStr">
        <is>
          <t>https://amazon.com/dp/B0D3VCD5F8</t>
        </is>
      </c>
      <c r="L649" s="114">
        <f>HYPERLINK(Table1410[[#This Row],[Column1]])</f>
        <v/>
      </c>
    </row>
    <row r="650" ht="60" customHeight="1" s="314">
      <c r="A650" s="35" t="inlineStr">
        <is>
          <t>Autel Original OBD2 Splitter 16 Pin OBD II Splitter Extension, 1X Male to 2X Female Extension Cable Adapter, OBDII Extension Cord (1FT/ 30CM)</t>
        </is>
      </c>
      <c r="B650" s="35" t="inlineStr">
        <is>
          <t>B0DGCLVXTF</t>
        </is>
      </c>
      <c r="C650" s="35" t="inlineStr">
        <is>
          <t>Cable/Adapter</t>
        </is>
      </c>
      <c r="D650" s="359" t="n">
        <v>19.79690476190476</v>
      </c>
      <c r="E650" s="359" t="n">
        <v>12457.51076923077</v>
      </c>
      <c r="F650" s="359" t="n">
        <v>831.47</v>
      </c>
      <c r="G650" s="68" t="n">
        <v>586</v>
      </c>
      <c r="H650" s="70" t="n">
        <v>42</v>
      </c>
      <c r="I650" s="68" t="n">
        <v>54</v>
      </c>
      <c r="J650" s="69" t="n">
        <v>4.2</v>
      </c>
      <c r="K650" s="69" t="inlineStr">
        <is>
          <t>https://amazon.com/dp/B0DGCLVXTF</t>
        </is>
      </c>
      <c r="L650" s="114">
        <f>HYPERLINK(Table1410[[#This Row],[Column1]])</f>
        <v/>
      </c>
    </row>
    <row r="651" ht="30" customHeight="1" s="314">
      <c r="A651" s="35" t="inlineStr">
        <is>
          <t>Autel MaxiSYS VCI100 Wireless Diagnostic Interface, 2026 MaxiVCI VCI V100 Car Communication Interface, OBD2 Connector Adapter Dongle, Compatible for Autel Scanner MS906BT MK906BT MS906TS</t>
        </is>
      </c>
      <c r="B651" s="35" t="inlineStr">
        <is>
          <t>B0BL79T62P</t>
        </is>
      </c>
      <c r="C651" s="35" t="inlineStr">
        <is>
          <t>Dongle</t>
        </is>
      </c>
      <c r="D651" s="359" t="n">
        <v>199.9826190476191</v>
      </c>
      <c r="E651" s="359" t="n">
        <v>75507.39</v>
      </c>
      <c r="F651" s="359" t="n">
        <v>8399.27</v>
      </c>
      <c r="G651" s="68" t="n">
        <v>388</v>
      </c>
      <c r="H651" s="70" t="n">
        <v>42</v>
      </c>
      <c r="I651" s="68" t="n">
        <v>27</v>
      </c>
      <c r="J651" s="69" t="n">
        <v>4.6</v>
      </c>
      <c r="K651" s="69" t="inlineStr">
        <is>
          <t>https://amazon.com/dp/B0BL79T62P</t>
        </is>
      </c>
      <c r="L651" s="114">
        <f>HYPERLINK(Table1410[[#This Row],[Column1]])</f>
        <v/>
      </c>
    </row>
    <row r="652" ht="60" customHeight="1" s="314">
      <c r="A652" s="35" t="inlineStr">
        <is>
          <t>Autel Scanner MaxiCOM MK808BT PRO: 2026 Upgrade of MK808S MX808S MK808Z Bidirectional Diagnostic Tool, 2.0 BT Ver. of MK900 MX900 MK900BT, 3000+ Active Test, 28+ Service, OE All System, FCA, 11 OS</t>
        </is>
      </c>
      <c r="B652" s="35" t="inlineStr">
        <is>
          <t>B07H3M98FL</t>
        </is>
      </c>
      <c r="C652" s="35" t="inlineStr">
        <is>
          <t>Tablet</t>
        </is>
      </c>
      <c r="D652" s="359" t="n">
        <v>578.1202380952381</v>
      </c>
      <c r="E652" s="359" t="n">
        <v>297660.03</v>
      </c>
      <c r="F652" s="359" t="n">
        <v>24281.05</v>
      </c>
      <c r="G652" s="68" t="n">
        <v>517</v>
      </c>
      <c r="H652" s="70" t="n">
        <v>42</v>
      </c>
      <c r="I652" s="68" t="n">
        <v>651</v>
      </c>
      <c r="J652" s="69" t="n">
        <v>4.5</v>
      </c>
      <c r="K652" s="69" t="inlineStr">
        <is>
          <t>https://amazon.com/dp/B07H3M98FL</t>
        </is>
      </c>
      <c r="L652" s="114">
        <f>HYPERLINK(Table1410[[#This Row],[Column1]])</f>
        <v/>
      </c>
    </row>
    <row r="653" ht="45" customHeight="1" s="314">
      <c r="A653" s="35" t="inlineStr">
        <is>
          <t>Autel MaxiPRO MP900TS Scanner, 2026 8in MP900-TS up of MaxiSYS MS906 PRO MS906TS MP900-BT MK900-TS, Top TPMS as MS906 Pro-TS, Car Bidirectional Scan Tool, 40+ Service, All System, CAN FD&amp;DOIP, OS 11.0</t>
        </is>
      </c>
      <c r="B653" s="35" t="inlineStr">
        <is>
          <t>B08R3MHLG7</t>
        </is>
      </c>
      <c r="C653" s="35" t="inlineStr">
        <is>
          <t>Tablet</t>
        </is>
      </c>
      <c r="D653" s="359" t="n">
        <v>1097.467317073171</v>
      </c>
      <c r="E653" s="359" t="n">
        <v>482064.07</v>
      </c>
      <c r="F653" s="359" t="n">
        <v>44996.16</v>
      </c>
      <c r="G653" s="68" t="n">
        <v>434</v>
      </c>
      <c r="H653" s="70" t="n">
        <v>41</v>
      </c>
      <c r="I653" s="68" t="n">
        <v>119</v>
      </c>
      <c r="J653" s="69" t="n">
        <v>4.6</v>
      </c>
      <c r="K653" s="69" t="inlineStr">
        <is>
          <t>https://amazon.com/dp/B08R3MHLG7</t>
        </is>
      </c>
      <c r="L653" s="114">
        <f>HYPERLINK(Table1410[[#This Row],[Column1]])</f>
        <v/>
      </c>
    </row>
    <row r="654" ht="45" customHeight="1" s="314">
      <c r="A654" s="35" t="inlineStr">
        <is>
          <t>Autel Original OBD2 Male to 9pin J1939 Female Adapter Cable OBDII to Green J1939, Type 2 Connector for Heavy Duty Trucks and Commercial Vehicles Like Volvo, Plug Work with Truck ELD GPS Trackers</t>
        </is>
      </c>
      <c r="B654" s="35" t="inlineStr">
        <is>
          <t>B0FMDXHXHM</t>
        </is>
      </c>
      <c r="C654" s="35" t="inlineStr">
        <is>
          <t>Cable/Adapter</t>
        </is>
      </c>
      <c r="D654" s="359" t="n">
        <v>18.96675</v>
      </c>
      <c r="E654" s="359" t="n">
        <v>8517.256153846156</v>
      </c>
      <c r="F654" s="359" t="n">
        <v>758.67</v>
      </c>
      <c r="G654" s="68" t="n">
        <v>148</v>
      </c>
      <c r="H654" s="70" t="n">
        <v>40</v>
      </c>
      <c r="I654" s="68" t="n">
        <v>12</v>
      </c>
      <c r="J654" s="69" t="n">
        <v>4.9</v>
      </c>
      <c r="K654" s="69" t="inlineStr">
        <is>
          <t>https://amazon.com/dp/B0FMDXHXHM</t>
        </is>
      </c>
      <c r="L654" s="114">
        <f>HYPERLINK(Table1410[[#This Row],[Column1]])</f>
        <v/>
      </c>
    </row>
    <row r="655" ht="45" customHeight="1" s="314">
      <c r="A655" s="35" t="inlineStr">
        <is>
          <t>Autel Original CV CAT 14-Pin Adapter, CAT 14 Off Highway Connector for Caterpillar Engines, 2026 Work with Autel Scanner Heavy Duty Truck Semi Scan Tool MaxiSYS MS909CV, MS908CV II, MS908CV, MS906CV</t>
        </is>
      </c>
      <c r="B655" s="35" t="inlineStr">
        <is>
          <t>B0DBHVKGK8</t>
        </is>
      </c>
      <c r="C655" s="35" t="inlineStr">
        <is>
          <t>Cable/Adapter</t>
        </is>
      </c>
      <c r="D655" s="359" t="n">
        <v>39.6695</v>
      </c>
      <c r="E655" s="359" t="n">
        <v>14806.99</v>
      </c>
      <c r="F655" s="359" t="n">
        <v>1586.78</v>
      </c>
      <c r="G655" s="68" t="n">
        <v>376</v>
      </c>
      <c r="H655" s="70" t="n">
        <v>40</v>
      </c>
      <c r="I655" s="68" t="n">
        <v>8</v>
      </c>
      <c r="J655" s="69" t="n">
        <v>4.5</v>
      </c>
      <c r="K655" s="69" t="inlineStr">
        <is>
          <t>https://amazon.com/dp/B0DBHVKGK8</t>
        </is>
      </c>
      <c r="L655" s="114">
        <f>HYPERLINK(Table1410[[#This Row],[Column1]])</f>
        <v/>
      </c>
    </row>
    <row r="656" ht="45" customHeight="1" s="314">
      <c r="A656" s="35" t="inlineStr">
        <is>
          <t>Autel Scanner MaxiCOM MK808Z: 2026 Bidirectional Scan Tool as MK808BT Pro MX808S OBD2 Scanner, 28+ Resets, Active Test, All System Diagnostic, Injector C0ding, Escaner Automotriz,Work as MX900 MK900BT</t>
        </is>
      </c>
      <c r="B656" s="35" t="inlineStr">
        <is>
          <t>B098TDC7FM</t>
        </is>
      </c>
      <c r="C656" s="35" t="inlineStr">
        <is>
          <t>Tablet</t>
        </is>
      </c>
      <c r="D656" s="359" t="n">
        <v>419.388</v>
      </c>
      <c r="E656" s="359" t="n">
        <v>244815.01</v>
      </c>
      <c r="F656" s="359" t="n">
        <v>16775.52</v>
      </c>
      <c r="G656" s="68" t="n">
        <v>568</v>
      </c>
      <c r="H656" s="70" t="n">
        <v>40</v>
      </c>
      <c r="I656" s="68" t="n">
        <v>366</v>
      </c>
      <c r="J656" s="69" t="n">
        <v>4.4</v>
      </c>
      <c r="K656" s="69" t="inlineStr">
        <is>
          <t>https://amazon.com/dp/B098TDC7FM</t>
        </is>
      </c>
      <c r="L656" s="114">
        <f>HYPERLINK(Table1410[[#This Row],[Column1]])</f>
        <v/>
      </c>
    </row>
    <row r="657" ht="45" customHeight="1" s="314">
      <c r="A657" s="35" t="inlineStr">
        <is>
          <t>Autel MaxiSys MS906MAX 2026 Way Better Than MS906 Pro, Autel Scanner, Top Scan Tool DoIP CANFD Diagnostic Tool, Upgrade of MK900 MP900BT MS906BT MK908 3000+Active Test All System Diagnosis</t>
        </is>
      </c>
      <c r="B657" s="35" t="inlineStr">
        <is>
          <t>B0DRHX4MYX</t>
        </is>
      </c>
      <c r="C657" s="35" t="inlineStr">
        <is>
          <t>Tablet</t>
        </is>
      </c>
      <c r="D657" s="359" t="n">
        <v>1575.688</v>
      </c>
      <c r="E657" s="359" t="n">
        <v>728494.03</v>
      </c>
      <c r="F657" s="359" t="n">
        <v>63027.52</v>
      </c>
      <c r="G657" s="68" t="n">
        <v>466</v>
      </c>
      <c r="H657" s="70" t="n">
        <v>40</v>
      </c>
      <c r="I657" s="68" t="n">
        <v>32</v>
      </c>
      <c r="J657" s="69" t="n">
        <v>4.7</v>
      </c>
      <c r="K657" s="69" t="inlineStr">
        <is>
          <t>https://amazon.com/dp/B0DRHX4MYX</t>
        </is>
      </c>
      <c r="L657" s="114">
        <f>HYPERLINK(Table1410[[#This Row],[Column1]])</f>
        <v/>
      </c>
    </row>
    <row r="658" ht="60" customHeight="1" s="314">
      <c r="A658" s="35" t="inlineStr">
        <is>
          <t>Autel MaxiCheck MX900 Scanner, 2026 Bidirectional Diagnostic Scan Tool, 8in Up of MaxiCOM MK808S MX808S MK808BT PRO Same as MK900 MK900BT, CAN FD DoIP, 3K+ Active Tests, 40+ Services, All Systems, FCA</t>
        </is>
      </c>
      <c r="B658" s="35" t="inlineStr">
        <is>
          <t>B0BZS52VQD</t>
        </is>
      </c>
      <c r="C658" s="35" t="inlineStr">
        <is>
          <t>Tablet</t>
        </is>
      </c>
      <c r="D658" s="359" t="n">
        <v>564.3635</v>
      </c>
      <c r="E658" s="359" t="n">
        <v>219902.67</v>
      </c>
      <c r="F658" s="359" t="n">
        <v>22574.54</v>
      </c>
      <c r="G658" s="68" t="n">
        <v>422</v>
      </c>
      <c r="H658" s="70" t="n">
        <v>40</v>
      </c>
      <c r="I658" s="68" t="n">
        <v>68</v>
      </c>
      <c r="J658" s="69" t="n">
        <v>4.4</v>
      </c>
      <c r="K658" s="69" t="inlineStr">
        <is>
          <t>https://amazon.com/dp/B0BZS52VQD</t>
        </is>
      </c>
      <c r="L658" s="114">
        <f>HYPERLINK(Table1410[[#This Row],[Column1]])</f>
        <v/>
      </c>
    </row>
    <row r="659" ht="45" customHeight="1" s="314">
      <c r="A659" s="35" t="inlineStr">
        <is>
          <t>Autel MaxiTPMS ITS600 (E) TPMS Programming Tool, 2026 Complete TPMS Functions as ITS600 Pro Up of TS508WF/ MK808S-TS/ TS900, Relearn/Activate Sensors, Oil Reset EPB BMS SAS, Lifetime Free Updates</t>
        </is>
      </c>
      <c r="B659" s="35" t="inlineStr">
        <is>
          <t>B09QX9B31K</t>
        </is>
      </c>
      <c r="C659" s="35" t="inlineStr">
        <is>
          <t>Handheld</t>
        </is>
      </c>
      <c r="D659" s="359" t="n">
        <v>406.4310256410257</v>
      </c>
      <c r="E659" s="359" t="n">
        <v>117051.93</v>
      </c>
      <c r="F659" s="359" t="n">
        <v>15850.81</v>
      </c>
      <c r="G659" s="68" t="n">
        <v>245</v>
      </c>
      <c r="H659" s="70" t="n">
        <v>39</v>
      </c>
      <c r="I659" s="68" t="n">
        <v>15</v>
      </c>
      <c r="J659" s="69" t="n">
        <v>4.9</v>
      </c>
      <c r="K659" s="69" t="inlineStr">
        <is>
          <t>https://amazon.com/dp/B09QX9B31K</t>
        </is>
      </c>
      <c r="L659" s="114">
        <f>HYPERLINK(Table1410[[#This Row],[Column1]])</f>
        <v/>
      </c>
    </row>
    <row r="660" ht="45" customHeight="1" s="314">
      <c r="A660" s="35" t="inlineStr">
        <is>
          <t>Autel MaxiVCI V200 VCI200 Wireless Dongle: 2026 VCI 200 OBD2 Connector 2.0 of VCI100 V100 Adapter Car Communication Interface for MaxiSys MS906 Pro MS906 Pro-TS S906 MAX KM100 BT608 BT609 ITS600 etc.</t>
        </is>
      </c>
      <c r="B660" s="35" t="inlineStr">
        <is>
          <t>B0FHPHLR77</t>
        </is>
      </c>
      <c r="C660" s="35" t="inlineStr">
        <is>
          <t>Dongle</t>
        </is>
      </c>
      <c r="D660" s="359" t="n">
        <v>216.9705263157894</v>
      </c>
      <c r="E660" s="359" t="n">
        <v>72968.26384615386</v>
      </c>
      <c r="F660" s="359" t="n">
        <v>8244.879999999999</v>
      </c>
      <c r="G660" s="68" t="n">
        <v>193</v>
      </c>
      <c r="H660" s="70" t="n">
        <v>38</v>
      </c>
      <c r="I660" s="68" t="n">
        <v>9</v>
      </c>
      <c r="J660" s="69" t="n">
        <v>4.8</v>
      </c>
      <c r="K660" s="69" t="inlineStr">
        <is>
          <t>https://amazon.com/dp/B0FHPHLR77</t>
        </is>
      </c>
      <c r="L660" s="114">
        <f>HYPERLINK(Table1410[[#This Row],[Column1]])</f>
        <v/>
      </c>
    </row>
    <row r="661" ht="45" customHeight="1" s="314">
      <c r="A661" s="35" t="inlineStr">
        <is>
          <t>Autel MaxiSys MaxiVCI VCI Mini Bluetooth Diagnostic Interface, 2026 Vehicle Wireless Dongle, Work with Autel Scanner MaxiCOM MK808BT PRO MK808Z-BT MP808BT Pro MK808S-TS MX808S-TS MP808S-TS MK808TS</t>
        </is>
      </c>
      <c r="B661" s="35" t="inlineStr">
        <is>
          <t>B0BL6VPVYL</t>
        </is>
      </c>
      <c r="C661" s="35" t="inlineStr">
        <is>
          <t>Dongle</t>
        </is>
      </c>
      <c r="D661" s="359" t="n">
        <v>118.482972972973</v>
      </c>
      <c r="E661" s="359" t="n">
        <v>54966.90999999999</v>
      </c>
      <c r="F661" s="359" t="n">
        <v>4383.87</v>
      </c>
      <c r="G661" s="68" t="n">
        <v>513</v>
      </c>
      <c r="H661" s="70" t="n">
        <v>37</v>
      </c>
      <c r="I661" s="68" t="n">
        <v>66</v>
      </c>
      <c r="J661" s="69" t="n">
        <v>4.4</v>
      </c>
      <c r="K661" s="69" t="inlineStr">
        <is>
          <t>https://amazon.com/dp/B0BL6VPVYL</t>
        </is>
      </c>
      <c r="L661" s="114">
        <f>HYPERLINK(Table1410[[#This Row],[Column1]])</f>
        <v/>
      </c>
    </row>
    <row r="662" ht="45" customHeight="1" s="314">
      <c r="A662" s="35" t="inlineStr">
        <is>
          <t>Autel MaxiTPMS TS508WF TPMS Programming Tool, WiFi Relearn &amp; Reset for Tire Pressure Sensors, Diagnose, Activate &amp; Program MX-Sensors (315/433MHz), OBD2 Scanner, Free Lifetime Updates</t>
        </is>
      </c>
      <c r="B662" s="35" t="inlineStr">
        <is>
          <t>B0DGQ5N9K2</t>
        </is>
      </c>
      <c r="C662" s="35" t="inlineStr">
        <is>
          <t>Handheld</t>
        </is>
      </c>
      <c r="D662" s="359" t="n">
        <v>265.1262162162162</v>
      </c>
      <c r="E662" s="359" t="n">
        <v>65916.33</v>
      </c>
      <c r="F662" s="359" t="n">
        <v>9809.67</v>
      </c>
      <c r="G662" s="68" t="n">
        <v>249</v>
      </c>
      <c r="H662" s="70" t="n">
        <v>37</v>
      </c>
      <c r="I662" s="68" t="n">
        <v>11</v>
      </c>
      <c r="J662" s="69" t="n">
        <v>4.8</v>
      </c>
      <c r="K662" s="69" t="inlineStr">
        <is>
          <t>https://amazon.com/dp/B0DGQ5N9K2</t>
        </is>
      </c>
      <c r="L662" s="114">
        <f>HYPERLINK(Table1410[[#This Row],[Column1]])</f>
        <v/>
      </c>
    </row>
    <row r="663" ht="60" customHeight="1" s="314">
      <c r="A663" s="35" t="inlineStr">
        <is>
          <t>Autel MaxiSys MaxiVCI VCI Mini OBD2 Adapter Connector, 2026 Vehicle Wireless Diagnostic Interface, Work w/Autel Scanner MaxiCOM MK808BT PRO MK808Z-BT MK808K-BT MP808BT Pro MK808S-TS MP808S-TS MK808TS</t>
        </is>
      </c>
      <c r="B663" s="35" t="inlineStr">
        <is>
          <t>B0F26J3QSC</t>
        </is>
      </c>
      <c r="C663" s="35" t="inlineStr">
        <is>
          <t>Tablet</t>
        </is>
      </c>
      <c r="D663" s="359" t="n">
        <v>118.9530555555556</v>
      </c>
      <c r="E663" s="359" t="n">
        <v>38112.27307692308</v>
      </c>
      <c r="F663" s="359" t="n">
        <v>4282.31</v>
      </c>
      <c r="G663" s="68" t="n">
        <v>256</v>
      </c>
      <c r="H663" s="70" t="n">
        <v>36</v>
      </c>
      <c r="I663" s="68" t="n">
        <v>17</v>
      </c>
      <c r="J663" s="69" t="n">
        <v>4.6</v>
      </c>
      <c r="K663" s="69" t="inlineStr">
        <is>
          <t>https://amazon.com/dp/B0F26J3QSC</t>
        </is>
      </c>
      <c r="L663" s="114">
        <f>HYPERLINK(Table1410[[#This Row],[Column1]])</f>
        <v/>
      </c>
    </row>
    <row r="664" ht="60" customHeight="1" s="314">
      <c r="A664" s="35" t="inlineStr">
        <is>
          <t>Autel TPMS Sensors 4 Pack 2026</t>
        </is>
      </c>
      <c r="B664" s="35" t="inlineStr">
        <is>
          <t>B0122TXAQ2</t>
        </is>
      </c>
      <c r="C664" s="35" t="inlineStr">
        <is>
          <t>Handheld</t>
        </is>
      </c>
      <c r="D664" s="359" t="n">
        <v>199.1363888888889</v>
      </c>
      <c r="E664" s="359" t="n">
        <v>36583.39999999999</v>
      </c>
      <c r="F664" s="359" t="n">
        <v>7168.91</v>
      </c>
      <c r="G664" s="68" t="n">
        <v>180</v>
      </c>
      <c r="H664" s="70" t="n">
        <v>36</v>
      </c>
      <c r="I664" s="68" t="n">
        <v>83</v>
      </c>
      <c r="J664" s="69" t="n">
        <v>4.3</v>
      </c>
      <c r="K664" s="69" t="inlineStr">
        <is>
          <t>https://amazon.com/dp/B0122TXAQ2</t>
        </is>
      </c>
      <c r="L664" s="114">
        <f>HYPERLINK(Table1410[[#This Row],[Column1]])</f>
        <v/>
      </c>
    </row>
    <row r="665" ht="60" customHeight="1" s="314">
      <c r="A665" s="35" t="inlineStr">
        <is>
          <t>Autel MaxiTPMS TS508WF TPMS Programming Tool, 2026 WiFi Ver. of TS601 TS508 TS501 TS408, Activate/Relearn TPMS Sensors, Program MX Sensor, TPMS Diagnosis, Read/Clear TPMS Code, Free Lifetime Update</t>
        </is>
      </c>
      <c r="B665" s="35" t="inlineStr">
        <is>
          <t>B08FHXKV2M</t>
        </is>
      </c>
      <c r="C665" s="35" t="inlineStr">
        <is>
          <t>Handheld</t>
        </is>
      </c>
      <c r="D665" s="359" t="n">
        <v>262.2111428571428</v>
      </c>
      <c r="E665" s="359" t="n">
        <v>96635.19</v>
      </c>
      <c r="F665" s="359" t="n">
        <v>9177.389999999999</v>
      </c>
      <c r="G665" s="68" t="n">
        <v>369</v>
      </c>
      <c r="H665" s="70" t="n">
        <v>35</v>
      </c>
      <c r="I665" s="68" t="n">
        <v>137</v>
      </c>
      <c r="J665" s="69" t="n">
        <v>4.5</v>
      </c>
      <c r="K665" s="69" t="inlineStr">
        <is>
          <t>https://amazon.com/dp/B08FHXKV2M</t>
        </is>
      </c>
      <c r="L665" s="114">
        <f>HYPERLINK(Table1410[[#This Row],[Column1]])</f>
        <v/>
      </c>
    </row>
    <row r="666" ht="60" customHeight="1" s="314">
      <c r="A666" s="35" t="inlineStr">
        <is>
          <t>Autel Code Reader Diagnostic Tool, 2026 OBDII Scan Tool with Lifetime Free Updates, Wireless BT Scan Tool, 2GB &amp; 64GB Android 9.0, for Home Mechanics &amp; DIYers</t>
        </is>
      </c>
      <c r="B666" s="35" t="inlineStr">
        <is>
          <t>B0F6VCB25L</t>
        </is>
      </c>
      <c r="C666" s="35" t="inlineStr">
        <is>
          <t>Cable/Adapter</t>
        </is>
      </c>
      <c r="D666" s="359" t="n">
        <v>540.0205714285714</v>
      </c>
      <c r="E666" s="359" t="n">
        <v>141906.6684615385</v>
      </c>
      <c r="F666" s="359" t="n">
        <v>18900.72</v>
      </c>
      <c r="G666" s="68" t="n">
        <v>233</v>
      </c>
      <c r="H666" s="70" t="n">
        <v>35</v>
      </c>
      <c r="I666" s="68" t="n">
        <v>25</v>
      </c>
      <c r="J666" s="69" t="n">
        <v>4.6</v>
      </c>
      <c r="K666" s="69" t="inlineStr">
        <is>
          <t>https://amazon.com/dp/B0F6VCB25L</t>
        </is>
      </c>
      <c r="L666" s="114">
        <f>HYPERLINK(Table1410[[#This Row],[Column1]])</f>
        <v/>
      </c>
    </row>
    <row r="667" ht="60" customHeight="1" s="314">
      <c r="A667" s="35" t="inlineStr">
        <is>
          <t>Autel MaxiLink ML629 Automotive OBD2 Scanner, 2026 Newer Model Upgraded of AL619, ML619, Car Code Reader Check Engine ABS SRS Transmission Diagnostic Scan Tool with Auto VIN, Ready Test, DTC Lookup</t>
        </is>
      </c>
      <c r="B667" s="35" t="inlineStr">
        <is>
          <t>B07D9ZPHV4</t>
        </is>
      </c>
      <c r="C667" s="35" t="inlineStr">
        <is>
          <t>Handheld</t>
        </is>
      </c>
      <c r="D667" s="359" t="n">
        <v>113.9544117647059</v>
      </c>
      <c r="E667" s="359" t="n">
        <v>38353.43538461539</v>
      </c>
      <c r="F667" s="359" t="n">
        <v>3874.45</v>
      </c>
      <c r="G667" s="68" t="n">
        <v>307</v>
      </c>
      <c r="H667" s="70" t="n">
        <v>34</v>
      </c>
      <c r="I667" s="68" t="n">
        <v>221</v>
      </c>
      <c r="J667" s="69" t="n">
        <v>4.4</v>
      </c>
      <c r="K667" s="69" t="inlineStr">
        <is>
          <t>https://amazon.com/dp/B07D9ZPHV4</t>
        </is>
      </c>
      <c r="L667" s="114">
        <f>HYPERLINK(Table1410[[#This Row],[Column1]])</f>
        <v/>
      </c>
    </row>
    <row r="668" ht="45" customHeight="1" s="314">
      <c r="A668" s="35" t="inlineStr">
        <is>
          <t>Autel MaxiPRO MP900 Scanner, 2026 Newer of MP808BT PRO MP808S MK900 MX900, ECU C0ding, Same as MS906 MAX MS906 PRO MP900BT, Bidirectional Diagnostic Scan Tool 3000+ Test, 40+ Service, CAN FD&amp;DOIP, FCA</t>
        </is>
      </c>
      <c r="B668" s="35" t="inlineStr">
        <is>
          <t>B09YM7YPDJ</t>
        </is>
      </c>
      <c r="C668" s="35" t="inlineStr">
        <is>
          <t>Tablet</t>
        </is>
      </c>
      <c r="D668" s="359" t="n">
        <v>794.0426470588236</v>
      </c>
      <c r="E668" s="359" t="n">
        <v>193711.44</v>
      </c>
      <c r="F668" s="359" t="n">
        <v>26997.45</v>
      </c>
      <c r="G668" s="68" t="n">
        <v>241</v>
      </c>
      <c r="H668" s="70" t="n">
        <v>34</v>
      </c>
      <c r="I668" s="68" t="n">
        <v>39</v>
      </c>
      <c r="J668" s="69" t="n">
        <v>4.5</v>
      </c>
      <c r="K668" s="69" t="inlineStr">
        <is>
          <t>https://amazon.com/dp/B09YM7YPDJ</t>
        </is>
      </c>
      <c r="L668" s="114">
        <f>HYPERLINK(Table1410[[#This Row],[Column1]])</f>
        <v/>
      </c>
    </row>
    <row r="669" ht="45" customHeight="1" s="314">
      <c r="A669" s="35" t="inlineStr">
        <is>
          <t>Autel Scanner MaxiCOM MK808BT PRO: 2026 Bidirectional Scan Tool Work as MK900BT, 33FT BT 2.0 Ver. of MK900 MX900 MK808S MaxiCheck MX808S MK808Z, 3K+ Active Tests, 28+ Services, OE Full Sys, OS 11, FCA</t>
        </is>
      </c>
      <c r="B669" s="35" t="inlineStr">
        <is>
          <t>B07KXDKWRS</t>
        </is>
      </c>
      <c r="C669" s="35" t="inlineStr">
        <is>
          <t>Tablet</t>
        </is>
      </c>
      <c r="D669" s="359" t="n">
        <v>554.6626470588235</v>
      </c>
      <c r="E669" s="359" t="n">
        <v>307003.49</v>
      </c>
      <c r="F669" s="359" t="n">
        <v>18858.53</v>
      </c>
      <c r="G669" s="68" t="n">
        <v>558</v>
      </c>
      <c r="H669" s="70" t="n">
        <v>34</v>
      </c>
      <c r="I669" s="68" t="n">
        <v>602</v>
      </c>
      <c r="J669" s="69" t="n">
        <v>4.6</v>
      </c>
      <c r="K669" s="69" t="inlineStr">
        <is>
          <t>https://amazon.com/dp/B07KXDKWRS</t>
        </is>
      </c>
      <c r="L669" s="114">
        <f>HYPERLINK(Table1410[[#This Row],[Column1]])</f>
        <v/>
      </c>
    </row>
    <row r="670" ht="45" customHeight="1" s="314">
      <c r="A670" s="35" t="inlineStr">
        <is>
          <t>Autel AT100 Super Chip 2026, Transponder for ID11 ID12 ID13 ID46 ID47 ID48 ID49 ID4A ID4C ID5C ID4D ID64 ID8A ID8C MQB, Work with MaxiIM KM100 IM508 IM508S IM608 IM608 PRO 2 (10PCS/ Pack)</t>
        </is>
      </c>
      <c r="B670" s="35" t="inlineStr">
        <is>
          <t>B0FM49DF77</t>
        </is>
      </c>
      <c r="C670" s="35" t="inlineStr">
        <is>
          <t>Key</t>
        </is>
      </c>
      <c r="D670" s="359" t="n">
        <v>48.58176470588235</v>
      </c>
      <c r="E670" s="359" t="n">
        <v>17382.04</v>
      </c>
      <c r="F670" s="359" t="n">
        <v>1651.78</v>
      </c>
      <c r="G670" s="68" t="n">
        <v>169</v>
      </c>
      <c r="H670" s="70" t="n">
        <v>34</v>
      </c>
      <c r="I670" s="68" t="n">
        <v>21</v>
      </c>
      <c r="J670" s="69" t="n">
        <v>4.9</v>
      </c>
      <c r="K670" s="69" t="inlineStr">
        <is>
          <t>https://amazon.com/dp/B0FM49DF77</t>
        </is>
      </c>
      <c r="L670" s="114">
        <f>HYPERLINK(Table1410[[#This Row],[Column1]])</f>
        <v/>
      </c>
    </row>
    <row r="671" ht="45" customHeight="1" s="314">
      <c r="A671" s="35" t="inlineStr">
        <is>
          <t>2026 Autel Scanner MaxiIM IM508S PRO: OBD2 Diagnostic Scan Tool, Full Bundle Pro Version, Enhanced All System Diagnose w/ 3000+ Active Test, 40+ Service, OS11.0, FCA SGW</t>
        </is>
      </c>
      <c r="B671" s="35" t="inlineStr">
        <is>
          <t>B01DDKAF8K</t>
        </is>
      </c>
      <c r="C671" s="35" t="inlineStr">
        <is>
          <t>Tablet</t>
        </is>
      </c>
      <c r="D671" s="359" t="n">
        <v>1589.451212121212</v>
      </c>
      <c r="E671" s="359" t="n">
        <v>217067.63</v>
      </c>
      <c r="F671" s="359" t="n">
        <v>52451.89</v>
      </c>
      <c r="G671" s="68" t="n">
        <v>146</v>
      </c>
      <c r="H671" s="70" t="n">
        <v>33</v>
      </c>
      <c r="I671" s="68" t="n">
        <v>91</v>
      </c>
      <c r="J671" s="69" t="n">
        <v>4.6</v>
      </c>
      <c r="K671" s="69" t="inlineStr">
        <is>
          <t>https://amazon.com/dp/B01DDKAF8K</t>
        </is>
      </c>
      <c r="L671" s="114">
        <f>HYPERLINK(Table1410[[#This Row],[Column1]])</f>
        <v/>
      </c>
    </row>
    <row r="672" ht="45" customHeight="1" s="314">
      <c r="A672" s="35" t="inlineStr">
        <is>
          <t>Autel Scanner MaxilM KM100 Diagnostic Tool, 2026 New KM100 Scan Tool, Lifetime Fr.ee Update, OBD-Learn for 99% Cars, with Updated Hardware 2.0 for Home Mechanics &amp; DIYers (Model KM Series 100)</t>
        </is>
      </c>
      <c r="B672" s="35" t="inlineStr">
        <is>
          <t>B0F7LK3CN5</t>
        </is>
      </c>
      <c r="C672" s="35" t="inlineStr">
        <is>
          <t>Handheld</t>
        </is>
      </c>
      <c r="D672" s="359" t="n">
        <v>533.4039393939395</v>
      </c>
      <c r="E672" s="359" t="n">
        <v>177113.0392307692</v>
      </c>
      <c r="F672" s="359" t="n">
        <v>17602.33</v>
      </c>
      <c r="G672" s="68" t="n">
        <v>270</v>
      </c>
      <c r="H672" s="70" t="n">
        <v>33</v>
      </c>
      <c r="I672" s="68" t="n">
        <v>23</v>
      </c>
      <c r="J672" s="69" t="n">
        <v>4.4</v>
      </c>
      <c r="K672" s="69" t="inlineStr">
        <is>
          <t>https://amazon.com/dp/B0F7LK3CN5</t>
        </is>
      </c>
      <c r="L672" s="114">
        <f>HYPERLINK(Table1410[[#This Row],[Column1]])</f>
        <v/>
      </c>
    </row>
    <row r="673" ht="45" customHeight="1" s="314">
      <c r="A673" s="35" t="inlineStr">
        <is>
          <t>Autel MaxiTPMS TS501 PRO TPMS Programming Relearn Tool, 2026 Same as TS508WF TS508, Up of TS501 TS408S, Activate Tire Sensors, Program Autel MX-Sensors, Turn Off TPMS Light, Lifetime Free Update</t>
        </is>
      </c>
      <c r="B673" s="35" t="inlineStr">
        <is>
          <t>B096XFB7WY</t>
        </is>
      </c>
      <c r="C673" s="35" t="inlineStr">
        <is>
          <t>Handheld</t>
        </is>
      </c>
      <c r="D673" s="359" t="n">
        <v>216.6757575757576</v>
      </c>
      <c r="E673" s="359" t="n">
        <v>62946.64000000001</v>
      </c>
      <c r="F673" s="359" t="n">
        <v>7150.3</v>
      </c>
      <c r="G673" s="68" t="n">
        <v>287</v>
      </c>
      <c r="H673" s="70" t="n">
        <v>33</v>
      </c>
      <c r="I673" s="68" t="n">
        <v>36</v>
      </c>
      <c r="J673" s="69" t="n">
        <v>4.2</v>
      </c>
      <c r="K673" s="69" t="inlineStr">
        <is>
          <t>https://amazon.com/dp/B096XFB7WY</t>
        </is>
      </c>
      <c r="L673" s="114">
        <f>HYPERLINK(Table1410[[#This Row],[Column1]])</f>
        <v/>
      </c>
    </row>
    <row r="674" ht="45" customHeight="1" s="314">
      <c r="A674" s="35" t="inlineStr">
        <is>
          <t>Autel Scanner MaxiSYS MS906 PRO-TS, 2026 MS906PROTS Same as MS906 PRO2-TS Up of MS906MAX MS906PRO MP900TS, Top TPMS &amp; OE C0d-ing, Bidirectional, 36+ Service, CAN FD&amp;DoIP, Auto Scan 2.0, FCA OS 10</t>
        </is>
      </c>
      <c r="B674" s="35" t="inlineStr">
        <is>
          <t>B09JG9L1QC</t>
        </is>
      </c>
      <c r="C674" s="35" t="inlineStr">
        <is>
          <t>Tablet</t>
        </is>
      </c>
      <c r="D674" s="359" t="n">
        <v>1550.966875</v>
      </c>
      <c r="E674" s="359" t="n">
        <v>746839.02</v>
      </c>
      <c r="F674" s="359" t="n">
        <v>49630.94</v>
      </c>
      <c r="G674" s="68" t="n">
        <v>477</v>
      </c>
      <c r="H674" s="70" t="n">
        <v>32</v>
      </c>
      <c r="I674" s="68" t="n">
        <v>197</v>
      </c>
      <c r="J674" s="69" t="n">
        <v>4.7</v>
      </c>
      <c r="K674" s="69" t="inlineStr">
        <is>
          <t>https://amazon.com/dp/B09JG9L1QC</t>
        </is>
      </c>
      <c r="L674" s="114">
        <f>HYPERLINK(Table1410[[#This Row],[Column1]])</f>
        <v/>
      </c>
    </row>
    <row r="675" ht="45" customHeight="1" s="314">
      <c r="A675" s="35" t="inlineStr">
        <is>
          <t>Autel MK900 Scanner, 2026 OBD2 Diagnostic Tool Up of MK808S MX808S MK808BT, Works as MaxiCOM MX900 MK900BT MK900-BT w/ 3000+ Bidirectional Active Tests, All System, 40+ Resets, DOIP CANFD, FCA</t>
        </is>
      </c>
      <c r="B675" s="35" t="inlineStr">
        <is>
          <t>B07BQQFDKQ</t>
        </is>
      </c>
      <c r="C675" s="35" t="inlineStr">
        <is>
          <t>Tablet</t>
        </is>
      </c>
      <c r="D675" s="359" t="n">
        <v>563.7567741935484</v>
      </c>
      <c r="E675" s="359" t="n">
        <v>319618.51</v>
      </c>
      <c r="F675" s="359" t="n">
        <v>17476.46</v>
      </c>
      <c r="G675" s="68" t="n">
        <v>590</v>
      </c>
      <c r="H675" s="70" t="n">
        <v>31</v>
      </c>
      <c r="I675" s="68" t="n">
        <v>134</v>
      </c>
      <c r="J675" s="69" t="n">
        <v>4.6</v>
      </c>
      <c r="K675" s="69" t="inlineStr">
        <is>
          <t>https://amazon.com/dp/B07BQQFDKQ</t>
        </is>
      </c>
      <c r="L675" s="114">
        <f>HYPERLINK(Table1410[[#This Row],[Column1]])</f>
        <v/>
      </c>
    </row>
    <row r="676" ht="60" customHeight="1" s="314">
      <c r="A676" s="35" t="inlineStr">
        <is>
          <t>Autel Scanner MaxiCheck MX808S-TS: 2026 Same as MaxiCOM MK900TS MX900-TS TS900, US Ver. of MK808S-TS Up of MK808S, Top TPMS Programming Tool, 3000+ Bidirecitonal Active Test, 28+ Service, 11 OS, FCA</t>
        </is>
      </c>
      <c r="B676" s="35" t="inlineStr">
        <is>
          <t>B09QX69JQW</t>
        </is>
      </c>
      <c r="C676" s="35" t="inlineStr">
        <is>
          <t>Tablet</t>
        </is>
      </c>
      <c r="D676" s="359" t="n">
        <v>658.467</v>
      </c>
      <c r="E676" s="359" t="n">
        <v>315251.13</v>
      </c>
      <c r="F676" s="359" t="n">
        <v>19754.01</v>
      </c>
      <c r="G676" s="68" t="n">
        <v>482</v>
      </c>
      <c r="H676" s="70" t="n">
        <v>30</v>
      </c>
      <c r="I676" s="68" t="n">
        <v>106</v>
      </c>
      <c r="J676" s="69" t="n">
        <v>4.7</v>
      </c>
      <c r="K676" s="69" t="inlineStr">
        <is>
          <t>https://amazon.com/dp/B09QX69JQW</t>
        </is>
      </c>
      <c r="L676" s="114">
        <f>HYPERLINK(Table1410[[#This Row],[Column1]])</f>
        <v/>
      </c>
    </row>
    <row r="677" ht="45" customHeight="1" s="314">
      <c r="A677" s="35" t="inlineStr">
        <is>
          <t>Autel Original MaxiSYS CV CAT 9-PIN Adapter, 9-Pin Off-Highway Vehicle Adapter for Caterpillar Engines, Compatible with Autel Scanner MaxiSYS CV MS908CV, MS908CV II, MS909CV, MS906CV and VCI</t>
        </is>
      </c>
      <c r="B677" s="35" t="inlineStr">
        <is>
          <t>B0G8J8HN8R</t>
        </is>
      </c>
      <c r="C677" s="35" t="inlineStr">
        <is>
          <t>Cable/Adapter</t>
        </is>
      </c>
      <c r="D677" s="359" t="n">
        <v>29.64533333333333</v>
      </c>
      <c r="E677" s="359" t="n">
        <v>10644.62692307692</v>
      </c>
      <c r="F677" s="359" t="n">
        <v>889.36</v>
      </c>
      <c r="G677" s="68" t="n">
        <v>82</v>
      </c>
      <c r="H677" s="70" t="n">
        <v>30</v>
      </c>
      <c r="I677" s="68" t="n">
        <v>1</v>
      </c>
      <c r="J677" s="69" t="n">
        <v>5</v>
      </c>
      <c r="K677" s="69" t="inlineStr">
        <is>
          <t>https://amazon.com/dp/B0G8J8HN8R</t>
        </is>
      </c>
      <c r="L677" s="114">
        <f>HYPERLINK(Table1410[[#This Row],[Column1]])</f>
        <v/>
      </c>
    </row>
    <row r="678" ht="45" customHeight="1" s="314">
      <c r="A678" s="35" t="inlineStr">
        <is>
          <t>Autel Original J1939 Splitter 9pin Type 2 Male to Female and 16pin OBD2 Y Cable, Green Connector Work with Truck Diagnostic Scanner, Converter for Heavy Duty Commercial Truck Fleet ELD GPS Tracker</t>
        </is>
      </c>
      <c r="B678" s="35" t="inlineStr">
        <is>
          <t>B0G4LNY2GD</t>
        </is>
      </c>
      <c r="C678" s="35" t="inlineStr">
        <is>
          <t>Cable/Adapter</t>
        </is>
      </c>
      <c r="D678" s="359" t="n">
        <v>19.71933333333333</v>
      </c>
      <c r="E678" s="359" t="n">
        <v>7278.618461538461</v>
      </c>
      <c r="F678" s="359" t="n">
        <v>591.58</v>
      </c>
      <c r="G678" s="68" t="n">
        <v>86</v>
      </c>
      <c r="H678" s="70" t="n">
        <v>30</v>
      </c>
      <c r="I678" s="68" t="n">
        <v>3</v>
      </c>
      <c r="J678" s="69" t="n">
        <v>5</v>
      </c>
      <c r="K678" s="69" t="inlineStr">
        <is>
          <t>https://amazon.com/dp/B0G4LNY2GD</t>
        </is>
      </c>
      <c r="L678" s="114">
        <f>HYPERLINK(Table1410[[#This Row],[Column1]])</f>
        <v/>
      </c>
    </row>
    <row r="679" ht="60" customHeight="1" s="314">
      <c r="A679" s="35" t="inlineStr">
        <is>
          <t>Autel APB112 Accessory Tool, Working with Autel MaxiIM IM608Pro II/ IM608S II/ IM608 II/ IM508S II/ XP400 PRO</t>
        </is>
      </c>
      <c r="B679" s="35" t="inlineStr">
        <is>
          <t>B0DFXSX4Y1</t>
        </is>
      </c>
      <c r="C679" s="35" t="inlineStr">
        <is>
          <t>Key</t>
        </is>
      </c>
      <c r="D679" s="359" t="n">
        <v>255.413</v>
      </c>
      <c r="E679" s="359" t="n">
        <v>51548.7</v>
      </c>
      <c r="F679" s="359" t="n">
        <v>7662.39</v>
      </c>
      <c r="G679" s="68" t="n">
        <v>201</v>
      </c>
      <c r="H679" s="70" t="n">
        <v>30</v>
      </c>
      <c r="I679" s="68" t="n">
        <v>10</v>
      </c>
      <c r="J679" s="69" t="n">
        <v>5</v>
      </c>
      <c r="K679" s="69" t="inlineStr">
        <is>
          <t>https://amazon.com/dp/B0DFXSX4Y1</t>
        </is>
      </c>
      <c r="L679" s="114">
        <f>HYPERLINK(Table1410[[#This Row],[Column1]])</f>
        <v/>
      </c>
    </row>
    <row r="680" ht="60" customHeight="1" s="314">
      <c r="A680" s="35" t="inlineStr">
        <is>
          <t>Autel Original OBD2 Main Test Cable for 808 Series Scanners, 5.6FT/ 1.7M 16 Pin DB15 OBDII Diagnostic Adapter, fit MK808 MK808S MK808Z MX808 MX808S DS708 DS808 MS906 MS908 MP808 MP808S IM508S IM508</t>
        </is>
      </c>
      <c r="B680" s="35" t="inlineStr">
        <is>
          <t>B0DH2788FM</t>
        </is>
      </c>
      <c r="C680" s="35" t="inlineStr">
        <is>
          <t>Cable/Adapter</t>
        </is>
      </c>
      <c r="D680" s="359" t="n">
        <v>22.69655172413793</v>
      </c>
      <c r="E680" s="359" t="n">
        <v>14641.56923076923</v>
      </c>
      <c r="F680" s="359" t="n">
        <v>658.2</v>
      </c>
      <c r="G680" s="68" t="n">
        <v>612</v>
      </c>
      <c r="H680" s="70" t="n">
        <v>29</v>
      </c>
      <c r="I680" s="68" t="n">
        <v>31</v>
      </c>
      <c r="J680" s="69" t="n">
        <v>4.3</v>
      </c>
      <c r="K680" s="69" t="inlineStr">
        <is>
          <t>https://amazon.com/dp/B0DH2788FM</t>
        </is>
      </c>
      <c r="L680" s="114">
        <f>HYPERLINK(Table1410[[#This Row],[Column1]])</f>
        <v/>
      </c>
    </row>
    <row r="681" ht="45" customHeight="1" s="314">
      <c r="A681" s="35" t="inlineStr">
        <is>
          <t>Autel MaxiVCI V150 Wireless Bluetooth Diagnostic Dongle, 2026 VCI 150 OBD2 Connector Adapter Car Communication Interface, Work w/Autel Scanner MK900BT MP900BT MP900Z-BT MP900TS MK900TS MX900TS TS900</t>
        </is>
      </c>
      <c r="B681" s="35" t="inlineStr">
        <is>
          <t>B0DK4RV3TZ</t>
        </is>
      </c>
      <c r="C681" s="35" t="inlineStr">
        <is>
          <t>Dongle</t>
        </is>
      </c>
      <c r="D681" s="359" t="n">
        <v>200.0613793103448</v>
      </c>
      <c r="E681" s="359" t="n">
        <v>61426.45</v>
      </c>
      <c r="F681" s="359" t="n">
        <v>5801.78</v>
      </c>
      <c r="G681" s="68" t="n">
        <v>311</v>
      </c>
      <c r="H681" s="70" t="n">
        <v>29</v>
      </c>
      <c r="I681" s="68" t="n">
        <v>10</v>
      </c>
      <c r="J681" s="69" t="n">
        <v>4.8</v>
      </c>
      <c r="K681" s="69" t="inlineStr">
        <is>
          <t>https://amazon.com/dp/B0DK4RV3TZ</t>
        </is>
      </c>
      <c r="L681" s="114">
        <f>HYPERLINK(Table1410[[#This Row],[Column1]])</f>
        <v/>
      </c>
    </row>
    <row r="682" ht="30" customHeight="1" s="314">
      <c r="A682" s="35" t="inlineStr">
        <is>
          <t>Autel MaxiSys MS906 PRO Scanner, 2026 MS906Pro Same as MS906MAX, Top ECU Elite 2.0 of MS906BT MP900BT MP900 MS908S, Bidirectional 3K+ Test, OE All Sys, CAN FD DoIP, 36+ Service, AutoScan 2.0</t>
        </is>
      </c>
      <c r="B682" s="35" t="inlineStr">
        <is>
          <t>B00UEHHI3G</t>
        </is>
      </c>
      <c r="C682" s="35" t="inlineStr">
        <is>
          <t>Tablet</t>
        </is>
      </c>
      <c r="D682" s="359" t="n">
        <v>1358.563793103448</v>
      </c>
      <c r="E682" s="359" t="n">
        <v>336133.61</v>
      </c>
      <c r="F682" s="359" t="n">
        <v>39398.35</v>
      </c>
      <c r="G682" s="68" t="n">
        <v>262</v>
      </c>
      <c r="H682" s="70" t="n">
        <v>29</v>
      </c>
      <c r="I682" s="68" t="n">
        <v>26</v>
      </c>
      <c r="J682" s="69" t="n">
        <v>4.6</v>
      </c>
      <c r="K682" s="69" t="inlineStr">
        <is>
          <t>https://amazon.com/dp/B00UEHHI3G</t>
        </is>
      </c>
      <c r="L682" s="114">
        <f>HYPERLINK(Table1410[[#This Row],[Column1]])</f>
        <v/>
      </c>
    </row>
    <row r="683" ht="60" customHeight="1" s="314">
      <c r="A683" s="35" t="inlineStr">
        <is>
          <t>2026 Autel CAN FD Adapter, Support CANFD Protocol for GM 2020+, for Ford 2021+, for FCA Cars 2020+, for Toyota 2020+, etc., Work with Autel OBD2 Scanner MK808S MX808S MaxiSys Elite MK908 MS908 MS906BT</t>
        </is>
      </c>
      <c r="B683" s="35" t="inlineStr">
        <is>
          <t>B0F26CZRFF</t>
        </is>
      </c>
      <c r="C683" s="35" t="inlineStr">
        <is>
          <t>Tablet</t>
        </is>
      </c>
      <c r="D683" s="359" t="n">
        <v>119.8744827586207</v>
      </c>
      <c r="E683" s="359" t="n">
        <v>26591.00538461538</v>
      </c>
      <c r="F683" s="359" t="n">
        <v>3476.36</v>
      </c>
      <c r="G683" s="68" t="n">
        <v>171</v>
      </c>
      <c r="H683" s="70" t="n">
        <v>29</v>
      </c>
      <c r="I683" s="68" t="n">
        <v>3</v>
      </c>
      <c r="J683" s="69" t="n">
        <v>5</v>
      </c>
      <c r="K683" s="69" t="inlineStr">
        <is>
          <t>https://amazon.com/dp/B0F26CZRFF</t>
        </is>
      </c>
      <c r="L683" s="114">
        <f>HYPERLINK(Table1410[[#This Row],[Column1]])</f>
        <v/>
      </c>
    </row>
    <row r="684" ht="45" customHeight="1" s="314">
      <c r="A684" s="35" t="inlineStr">
        <is>
          <t>Autel Original OBD2 Splitter 16 Pin OBD II Splitter Extension, 1X Male to 2X Female Extension Cable Adapter, OBDII Extension Cord (2FT/ 60CM)</t>
        </is>
      </c>
      <c r="B684" s="35" t="inlineStr">
        <is>
          <t>B0D4MBB7C9</t>
        </is>
      </c>
      <c r="C684" s="35" t="inlineStr">
        <is>
          <t>Cable/Adapter</t>
        </is>
      </c>
      <c r="D684" s="359" t="n">
        <v>23.28413793103448</v>
      </c>
      <c r="E684" s="359" t="n">
        <v>6111.84</v>
      </c>
      <c r="F684" s="359" t="n">
        <v>675.24</v>
      </c>
      <c r="G684" s="68" t="n">
        <v>264</v>
      </c>
      <c r="H684" s="70" t="n">
        <v>29</v>
      </c>
      <c r="I684" s="68" t="n">
        <v>31</v>
      </c>
      <c r="J684" s="69" t="n">
        <v>4.6</v>
      </c>
      <c r="K684" s="69" t="inlineStr">
        <is>
          <t>https://amazon.com/dp/B0D4MBB7C9</t>
        </is>
      </c>
      <c r="L684" s="114">
        <f>HYPERLINK(Table1410[[#This Row],[Column1]])</f>
        <v/>
      </c>
    </row>
    <row r="685" ht="17" customHeight="1" s="314">
      <c r="A685" s="35" t="inlineStr">
        <is>
          <t>Autel MaxiCheck PRO AutoBleed Scan Tool, ABS Brake Bleed with with ABS SRS Diagnostics, Full OBDII, BMS EPB SRS SAS Oil Reset Services for Specific Vehicles, Free Update, Functions Not for All Cars</t>
        </is>
      </c>
      <c r="B685" s="35" t="inlineStr">
        <is>
          <t>B07NV4943F</t>
        </is>
      </c>
      <c r="C685" s="35" t="inlineStr">
        <is>
          <t>Handheld</t>
        </is>
      </c>
      <c r="D685" s="359" t="n">
        <v>178.2125</v>
      </c>
      <c r="E685" s="359" t="n">
        <v>60617.13769230769</v>
      </c>
      <c r="F685" s="359" t="n">
        <v>4989.95</v>
      </c>
      <c r="G685" s="68" t="n">
        <v>288</v>
      </c>
      <c r="H685" s="70" t="n">
        <v>28</v>
      </c>
      <c r="I685" s="68" t="n">
        <v>498</v>
      </c>
      <c r="J685" s="69" t="n">
        <v>4.4</v>
      </c>
      <c r="K685" s="69" t="inlineStr">
        <is>
          <t>https://amazon.com/dp/B07NV4943F</t>
        </is>
      </c>
      <c r="L685" s="114">
        <f>HYPERLINK(Table1410[[#This Row],[Column1]])</f>
        <v/>
      </c>
    </row>
    <row r="686" ht="45" customHeight="1" s="314">
      <c r="A686" s="35" t="inlineStr">
        <is>
          <t>Autel MaxiDiag MD806 OBD2 Scanner, ABS SRS Engine Transmission 4 Systems Diagnostic Scan Tool, 7 Hot Service as MD808 Pro, Oil Reset D-P.F, EPB SAS BMS Throttle A/F, Up of MD805 MD802, Free Update</t>
        </is>
      </c>
      <c r="B686" s="35" t="inlineStr">
        <is>
          <t>B07PXQVKBY</t>
        </is>
      </c>
      <c r="C686" s="35" t="inlineStr">
        <is>
          <t>Handheld</t>
        </is>
      </c>
      <c r="D686" s="359" t="n">
        <v>175.1292857142857</v>
      </c>
      <c r="E686" s="359" t="n">
        <v>52593.08</v>
      </c>
      <c r="F686" s="359" t="n">
        <v>4903.62</v>
      </c>
      <c r="G686" s="68" t="n">
        <v>269</v>
      </c>
      <c r="H686" s="70" t="n">
        <v>28</v>
      </c>
      <c r="I686" s="68" t="n">
        <v>1149</v>
      </c>
      <c r="J686" s="69" t="n">
        <v>4.4</v>
      </c>
      <c r="K686" s="69" t="inlineStr">
        <is>
          <t>https://amazon.com/dp/B07PXQVKBY</t>
        </is>
      </c>
      <c r="L686" s="114">
        <f>HYPERLINK(Table1410[[#This Row],[Column1]])</f>
        <v/>
      </c>
    </row>
    <row r="687" ht="45" customHeight="1" s="314">
      <c r="A687" s="35" t="inlineStr">
        <is>
          <t>2026 Autel ML629 OBD2 Scanner ABS SRS Engine Transmission Diagnoses OBD II Full Functions Upgraded Version of AL519/AL619/ ML619 for DIYers Professionals</t>
        </is>
      </c>
      <c r="B687" s="35" t="inlineStr">
        <is>
          <t>B07M66RH77</t>
        </is>
      </c>
      <c r="C687" s="35" t="inlineStr">
        <is>
          <t>Handheld</t>
        </is>
      </c>
      <c r="D687" s="359" t="n">
        <v>127.372962962963</v>
      </c>
      <c r="E687" s="359" t="n">
        <v>72095.19</v>
      </c>
      <c r="F687" s="359" t="n">
        <v>3439.07</v>
      </c>
      <c r="G687" s="68" t="n">
        <v>581</v>
      </c>
      <c r="H687" s="70" t="n">
        <v>27</v>
      </c>
      <c r="I687" s="68" t="n">
        <v>1114</v>
      </c>
      <c r="J687" s="69" t="n">
        <v>4.3</v>
      </c>
      <c r="K687" s="69" t="inlineStr">
        <is>
          <t>https://amazon.com/dp/B07M66RH77</t>
        </is>
      </c>
      <c r="L687" s="114">
        <f>HYPERLINK(Table1410[[#This Row],[Column1]])</f>
        <v/>
      </c>
    </row>
    <row r="688" ht="60" customHeight="1" s="314">
      <c r="A688" s="35" t="inlineStr">
        <is>
          <t>Autel J2534 Pass-Thru Programmer, 2026 OEM Reprogramming Diagnostic Tool, Pro 2.0 Ver. of MaxiFlash Elite, Support J2534/ D-PDU/CAN FD/DoIP Protocols, Work with OE Tools &amp; Ultra Lite Elite II PRO</t>
        </is>
      </c>
      <c r="B688" s="35" t="inlineStr">
        <is>
          <t>B0D5MDKFCF</t>
        </is>
      </c>
      <c r="C688" s="35" t="inlineStr">
        <is>
          <t>VCI</t>
        </is>
      </c>
      <c r="D688" s="359" t="n">
        <v>897.8576923076923</v>
      </c>
      <c r="E688" s="359" t="n">
        <v>181142.36</v>
      </c>
      <c r="F688" s="359" t="n">
        <v>23344.3</v>
      </c>
      <c r="G688" s="68" t="n">
        <v>190</v>
      </c>
      <c r="H688" s="70" t="n">
        <v>26</v>
      </c>
      <c r="I688" s="68" t="n">
        <v>68</v>
      </c>
      <c r="J688" s="69" t="n">
        <v>4.6</v>
      </c>
      <c r="K688" s="69" t="inlineStr">
        <is>
          <t>https://amazon.com/dp/B0D5MDKFCF</t>
        </is>
      </c>
      <c r="L688" s="114">
        <f>HYPERLINK(Table1410[[#This Row],[Column1]])</f>
        <v/>
      </c>
    </row>
    <row r="689" ht="60" customHeight="1" s="314">
      <c r="A689" s="35" t="inlineStr">
        <is>
          <t>Autel MaxiTPMS TS508WF TPMS Programming Tool Kit, 2026 WiFi Tire Sensor Relearn Activation Tool, Up of TS508 TS601 TS501 PRO, Clear TPMS DTCs, 4PCS 315+433MHz MX Sensors ($120), Lifetime Free Updates</t>
        </is>
      </c>
      <c r="B689" s="35" t="inlineStr">
        <is>
          <t>B0788GG1PZ</t>
        </is>
      </c>
      <c r="C689" s="35" t="inlineStr">
        <is>
          <t>Handheld</t>
        </is>
      </c>
      <c r="D689" s="359" t="n">
        <v>312.0953846153846</v>
      </c>
      <c r="E689" s="359" t="n">
        <v>126698.14</v>
      </c>
      <c r="F689" s="359" t="n">
        <v>8114.48</v>
      </c>
      <c r="G689" s="68" t="n">
        <v>409</v>
      </c>
      <c r="H689" s="70" t="n">
        <v>26</v>
      </c>
      <c r="I689" s="68" t="n">
        <v>222</v>
      </c>
      <c r="J689" s="69" t="n">
        <v>4.5</v>
      </c>
      <c r="K689" s="69" t="inlineStr">
        <is>
          <t>https://amazon.com/dp/B0788GG1PZ</t>
        </is>
      </c>
      <c r="L689" s="114">
        <f>HYPERLINK(Table1410[[#This Row],[Column1]])</f>
        <v/>
      </c>
    </row>
    <row r="690" ht="60" customHeight="1" s="314">
      <c r="A690" s="35" t="inlineStr">
        <is>
          <t>Autel Scanner MaxiIM IM508S PRO w/ $512 PRO Bundle, 2026 Same as IM608 PRO 2/ IM608S II, Enhanced of IM508S IM508, Bidirectional Diagnostic Scan Tool, 3000+ Tests, 40+ Service, All-Sys, OS 11.0, FCA</t>
        </is>
      </c>
      <c r="B690" s="35" t="inlineStr">
        <is>
          <t>B07W6YYLY8</t>
        </is>
      </c>
      <c r="C690" s="35" t="inlineStr">
        <is>
          <t>Tablet</t>
        </is>
      </c>
      <c r="D690" s="359" t="n">
        <v>1610.449230769231</v>
      </c>
      <c r="E690" s="359" t="n">
        <v>562358.35</v>
      </c>
      <c r="F690" s="359" t="n">
        <v>41871.68</v>
      </c>
      <c r="G690" s="68" t="n">
        <v>332</v>
      </c>
      <c r="H690" s="70" t="n">
        <v>26</v>
      </c>
      <c r="I690" s="68" t="n">
        <v>83</v>
      </c>
      <c r="J690" s="69" t="n">
        <v>4.4</v>
      </c>
      <c r="K690" s="69" t="inlineStr">
        <is>
          <t>https://amazon.com/dp/B07W6YYLY8</t>
        </is>
      </c>
      <c r="L690" s="114">
        <f>HYPERLINK(Table1410[[#This Row],[Column1]])</f>
        <v/>
      </c>
    </row>
    <row r="691" ht="45" customHeight="1" s="314">
      <c r="A691" s="35" t="inlineStr">
        <is>
          <t>Autel MaxiPRO MP900-BT Scanner w/ $60 MV108S | 2026 MP900BT Same as MS906 PRO MS906 MAX MK908 w/ECU C0ding, 3000+ Active Test, 40+ Service, 150+Makes, SGW DoIP &amp; CAN-FD, Up of MP900 MP808BT PRO DS808</t>
        </is>
      </c>
      <c r="B691" s="35" t="inlineStr">
        <is>
          <t>B07WR7P3FF</t>
        </is>
      </c>
      <c r="C691" s="35" t="inlineStr">
        <is>
          <t>Tablet</t>
        </is>
      </c>
      <c r="D691" s="359" t="n">
        <v>925.9419230769232</v>
      </c>
      <c r="E691" s="359" t="n">
        <v>214636.8</v>
      </c>
      <c r="F691" s="359" t="n">
        <v>24074.49</v>
      </c>
      <c r="G691" s="68" t="n">
        <v>231</v>
      </c>
      <c r="H691" s="70" t="n">
        <v>26</v>
      </c>
      <c r="I691" s="68" t="n">
        <v>415</v>
      </c>
      <c r="J691" s="69" t="n">
        <v>4.6</v>
      </c>
      <c r="K691" s="69" t="inlineStr">
        <is>
          <t>https://amazon.com/dp/B07WR7P3FF</t>
        </is>
      </c>
      <c r="L691" s="114">
        <f>HYPERLINK(Table1410[[#This Row],[Column1]])</f>
        <v/>
      </c>
    </row>
    <row r="692" ht="45" customHeight="1" s="314">
      <c r="A692" s="35" t="inlineStr">
        <is>
          <t>Autel MaxiSYS MS906 PRO Scanner: 2026 MS906PRO V2.0 Same as MS906MAX Up of MS906BT MP900BT MS908S, CAN FD DoIP, 36+ Resets, Bidirectional 3K+ Tests, Full Diagnostic, Auto Scan 2.0, FCA</t>
        </is>
      </c>
      <c r="B692" s="35" t="inlineStr">
        <is>
          <t>B086DRGM15</t>
        </is>
      </c>
      <c r="C692" s="35" t="inlineStr">
        <is>
          <t>Tablet</t>
        </is>
      </c>
      <c r="D692" s="359" t="n">
        <v>1498.8628</v>
      </c>
      <c r="E692" s="359" t="n">
        <v>388605.7</v>
      </c>
      <c r="F692" s="359" t="n">
        <v>37471.57</v>
      </c>
      <c r="G692" s="68" t="n">
        <v>265</v>
      </c>
      <c r="H692" s="70" t="n">
        <v>25</v>
      </c>
      <c r="I692" s="68" t="n">
        <v>88</v>
      </c>
      <c r="J692" s="69" t="n">
        <v>4.4</v>
      </c>
      <c r="K692" s="69" t="inlineStr">
        <is>
          <t>https://amazon.com/dp/B086DRGM15</t>
        </is>
      </c>
      <c r="L692" s="114">
        <f>HYPERLINK(Table1410[[#This Row],[Column1]])</f>
        <v/>
      </c>
    </row>
    <row r="693" ht="30" customHeight="1" s="314">
      <c r="A693" s="35" t="inlineStr">
        <is>
          <t>2026 New Autel ML629 OBD2 Scanner, ABS SRS Engine Transmission Diagnostic Scan Tool, Mechanic Full OBDII Code Reader w/DTC Lookup AutoVIN, OBD2 Live Data, Up of AL619 AL629 for Professionals DIYers</t>
        </is>
      </c>
      <c r="B693" s="35" t="inlineStr">
        <is>
          <t>B07PQL9HDR</t>
        </is>
      </c>
      <c r="C693" s="35" t="inlineStr">
        <is>
          <t>Handheld</t>
        </is>
      </c>
      <c r="D693" s="359" t="n">
        <v>113.7428</v>
      </c>
      <c r="E693" s="359" t="n">
        <v>18239.97</v>
      </c>
      <c r="F693" s="359" t="n">
        <v>2843.57</v>
      </c>
      <c r="G693" s="68" t="n">
        <v>161</v>
      </c>
      <c r="H693" s="70" t="n">
        <v>25</v>
      </c>
      <c r="I693" s="68" t="n">
        <v>679</v>
      </c>
      <c r="J693" s="69" t="n">
        <v>4.3</v>
      </c>
      <c r="K693" s="69" t="inlineStr">
        <is>
          <t>https://amazon.com/dp/B07PQL9HDR</t>
        </is>
      </c>
      <c r="L693" s="114">
        <f>HYPERLINK(Table1410[[#This Row],[Column1]])</f>
        <v/>
      </c>
    </row>
    <row r="694" ht="45" customHeight="1" s="314">
      <c r="A694" s="35" t="inlineStr">
        <is>
          <t>Autel Original TESKIT3Y Teala Diagnostic Cable Adapter for Tesla Model 3 &amp; Y, 26Pin OBD1 to 16 Pin OBD2 Extension Harness Connector Work w/Autel Scanner MaxiSys Ultra/Elite II PRO/ MS908S PRO/ MS909</t>
        </is>
      </c>
      <c r="B694" s="35" t="inlineStr">
        <is>
          <t>B0D3V6QNH8</t>
        </is>
      </c>
      <c r="C694" s="35" t="inlineStr">
        <is>
          <t>Cable/Adapter</t>
        </is>
      </c>
      <c r="D694" s="359" t="n">
        <v>46.52916666666667</v>
      </c>
      <c r="E694" s="359" t="n">
        <v>14586.89</v>
      </c>
      <c r="F694" s="359" t="n">
        <v>1116.7</v>
      </c>
      <c r="G694" s="68" t="n">
        <v>316</v>
      </c>
      <c r="H694" s="70" t="n">
        <v>24</v>
      </c>
      <c r="I694" s="68" t="n">
        <v>14</v>
      </c>
      <c r="J694" s="69" t="n">
        <v>4.1</v>
      </c>
      <c r="K694" s="69" t="inlineStr">
        <is>
          <t>https://amazon.com/dp/B0D3V6QNH8</t>
        </is>
      </c>
      <c r="L694" s="114">
        <f>HYPERLINK(Table1410[[#This Row],[Column1]])</f>
        <v/>
      </c>
    </row>
    <row r="695" ht="45" customHeight="1" s="314">
      <c r="A695" s="35" t="inlineStr">
        <is>
          <t>2026 Autel Scanner MaxiIM KM100(E), Car Diagnostic Scan Tool with Lifetime Fre.e Update, OBD-Learn for 95% Car, Auto Tool Lite of IM508S IM608 PRO 2, 2GB &amp; 64GB Android 9.0</t>
        </is>
      </c>
      <c r="B695" s="35" t="inlineStr">
        <is>
          <t>B0CHYB2T6T</t>
        </is>
      </c>
      <c r="C695" s="35" t="inlineStr">
        <is>
          <t>Tablet</t>
        </is>
      </c>
      <c r="D695" s="359" t="n">
        <v>529.2545833333334</v>
      </c>
      <c r="E695" s="359" t="n">
        <v>14319.99</v>
      </c>
      <c r="F695" s="359" t="n">
        <v>12702.11</v>
      </c>
      <c r="G695" s="68" t="n">
        <v>27</v>
      </c>
      <c r="H695" s="70" t="n">
        <v>24</v>
      </c>
      <c r="I695" s="68" t="n">
        <v>17</v>
      </c>
      <c r="J695" s="69" t="n">
        <v>4.8</v>
      </c>
      <c r="K695" s="69" t="inlineStr">
        <is>
          <t>https://amazon.com/dp/B0CHYB2T6T</t>
        </is>
      </c>
      <c r="L695" s="114">
        <f>HYPERLINK(Table1410[[#This Row],[Column1]])</f>
        <v/>
      </c>
    </row>
    <row r="696" ht="45" customHeight="1" s="314">
      <c r="A696" s="35" t="inlineStr">
        <is>
          <t>Autel MaxiSys Ultra S2 Scanner, 2026 Top Intelligen Scan Diagnostic with AI, 6-in-1 VCMI2, Up of MSUltra MS919, Topology 3.0, Multi-Point DVI, Motor Truspeed Repair, EV Test, 48+ Service, ECU Program</t>
        </is>
      </c>
      <c r="B696" s="35" t="inlineStr">
        <is>
          <t>B0DZC1M7MZ</t>
        </is>
      </c>
      <c r="C696" s="35" t="inlineStr">
        <is>
          <t>Tablet</t>
        </is>
      </c>
      <c r="D696" s="359" t="n">
        <v>5558.342608695652</v>
      </c>
      <c r="E696" s="359" t="n">
        <v>1461214.87</v>
      </c>
      <c r="F696" s="359" t="n">
        <v>127841.88</v>
      </c>
      <c r="G696" s="68" t="n">
        <v>272</v>
      </c>
      <c r="H696" s="70" t="n">
        <v>23</v>
      </c>
      <c r="I696" s="68" t="n">
        <v>22</v>
      </c>
      <c r="J696" s="69" t="n">
        <v>4.8</v>
      </c>
      <c r="K696" s="69" t="inlineStr">
        <is>
          <t>https://amazon.com/dp/B0DZC1M7MZ</t>
        </is>
      </c>
      <c r="L696" s="114">
        <f>HYPERLINK(Table1410[[#This Row],[Column1]])</f>
        <v/>
      </c>
    </row>
    <row r="697" ht="45" customHeight="1" s="314">
      <c r="A697" s="35" t="inlineStr">
        <is>
          <t>Autel RFID Blocking Cards 2 Pack Ev Charger</t>
        </is>
      </c>
      <c r="B697" s="35" t="inlineStr">
        <is>
          <t>B0B82B7JQL</t>
        </is>
      </c>
      <c r="C697" s="35" t="inlineStr">
        <is>
          <t>Other</t>
        </is>
      </c>
      <c r="D697" s="359" t="n">
        <v>37.63869565217392</v>
      </c>
      <c r="E697" s="359" t="n">
        <v>15691.58</v>
      </c>
      <c r="F697" s="359" t="n">
        <v>865.6900000000001</v>
      </c>
      <c r="G697" s="68" t="n">
        <v>425</v>
      </c>
      <c r="H697" s="70" t="n">
        <v>23</v>
      </c>
      <c r="I697" s="68" t="n">
        <v>53</v>
      </c>
      <c r="J697" s="69" t="n">
        <v>4.2</v>
      </c>
      <c r="K697" s="69" t="inlineStr">
        <is>
          <t>https://amazon.com/dp/B0B82B7JQL</t>
        </is>
      </c>
      <c r="L697" s="114">
        <f>HYPERLINK(Table1410[[#This Row],[Column1]])</f>
        <v/>
      </c>
    </row>
    <row r="698" ht="45" customHeight="1" s="314">
      <c r="A698" s="35" t="inlineStr">
        <is>
          <t>Autel MaxiSYS MS906 PRO Scanner, 2026 MS906PRO V2.0 Same as MS906 MAX, 3K+ Bidirectional Diagnostic Scan Tool, Top ECU Function Up of MP900BT MS906BT MS908 MK908, CAN FD DoIP, 36+ Reset, Auto Scan 2.0</t>
        </is>
      </c>
      <c r="B698" s="35" t="inlineStr">
        <is>
          <t>B09JGL9BXC</t>
        </is>
      </c>
      <c r="C698" s="35" t="inlineStr">
        <is>
          <t>Tablet</t>
        </is>
      </c>
      <c r="D698" s="359" t="n">
        <v>1470.948260869565</v>
      </c>
      <c r="E698" s="359" t="n">
        <v>357960.65</v>
      </c>
      <c r="F698" s="359" t="n">
        <v>33831.81</v>
      </c>
      <c r="G698" s="68" t="n">
        <v>253</v>
      </c>
      <c r="H698" s="70" t="n">
        <v>23</v>
      </c>
      <c r="I698" s="68" t="n">
        <v>65</v>
      </c>
      <c r="J698" s="69" t="n">
        <v>4.8</v>
      </c>
      <c r="K698" s="69" t="inlineStr">
        <is>
          <t>https://amazon.com/dp/B09JGL9BXC</t>
        </is>
      </c>
      <c r="L698" s="114">
        <f>HYPERLINK(Table1410[[#This Row],[Column1]])</f>
        <v/>
      </c>
    </row>
    <row r="699" ht="60" customHeight="1" s="314">
      <c r="A699" s="35" t="inlineStr">
        <is>
          <t>Autel MaxiSys Elite II Pro Scanner, 2026 Elite 2 Pro with 2 Years Update, J2534 Tool as MS Ultra MS909 MS919 Up of MS908S PRO II MK908P, Motor TruSpeed Repair, 40+ Resets, 3K+ Active Test, DOIP CANFD</t>
        </is>
      </c>
      <c r="B699" s="35" t="inlineStr">
        <is>
          <t>B09KNDC9PP</t>
        </is>
      </c>
      <c r="C699" s="35" t="inlineStr">
        <is>
          <t>Tablet</t>
        </is>
      </c>
      <c r="D699" s="359" t="n">
        <v>2407.118095238096</v>
      </c>
      <c r="E699" s="359" t="n">
        <v>428536.11</v>
      </c>
      <c r="F699" s="359" t="n">
        <v>50549.48</v>
      </c>
      <c r="G699" s="68" t="n">
        <v>178</v>
      </c>
      <c r="H699" s="70" t="n">
        <v>21</v>
      </c>
      <c r="I699" s="68" t="n">
        <v>57</v>
      </c>
      <c r="J699" s="69" t="n">
        <v>4.6</v>
      </c>
      <c r="K699" s="69" t="inlineStr">
        <is>
          <t>https://amazon.com/dp/B09KNDC9PP</t>
        </is>
      </c>
      <c r="L699" s="114">
        <f>HYPERLINK(Table1410[[#This Row],[Column1]])</f>
        <v/>
      </c>
    </row>
    <row r="700" ht="60" customHeight="1" s="314">
      <c r="A700" s="35" t="inlineStr">
        <is>
          <t>Autel MaxiLink ML619 OBD II Scanner - Same as AL619, ABS &amp; SRS Diagnostic Tool for 1996+ Vehicles, Up of AL519 ML519, Code Reader with Live Data &amp; Troubleshooting Tips</t>
        </is>
      </c>
      <c r="B700" s="35" t="inlineStr">
        <is>
          <t>B0FL7HQTPP</t>
        </is>
      </c>
      <c r="C700" s="35" t="inlineStr">
        <is>
          <t>Handheld</t>
        </is>
      </c>
      <c r="D700" s="359" t="n">
        <v>98.99666666666666</v>
      </c>
      <c r="E700" s="359" t="n">
        <v>20918.46153846154</v>
      </c>
      <c r="F700" s="359" t="n">
        <v>2078.93</v>
      </c>
      <c r="G700" s="68" t="n">
        <v>115</v>
      </c>
      <c r="H700" s="70" t="n">
        <v>21</v>
      </c>
      <c r="I700" s="68" t="n">
        <v>5</v>
      </c>
      <c r="J700" s="69" t="n">
        <v>3.9</v>
      </c>
      <c r="K700" s="69" t="inlineStr">
        <is>
          <t>https://amazon.com/dp/B0FL7HQTPP</t>
        </is>
      </c>
      <c r="L700" s="114">
        <f>HYPERLINK(Table1410[[#This Row],[Column1]])</f>
        <v/>
      </c>
    </row>
    <row r="701" ht="45" customHeight="1" s="314">
      <c r="A701" s="35" t="inlineStr">
        <is>
          <t>Autel AT100 Super Chip, 2026 New Transponder Chip for ID11 ID12 ID13 ID46 ID47 ID48 ID49 ID4A ID4C ID5C ID4D ID64 ID8A ID8C MQB, Work with MaxiIM KM100 IM508 IM608 IM508S PRO IM608 Pro 2 (Pack of 10)</t>
        </is>
      </c>
      <c r="B701" s="35" t="inlineStr">
        <is>
          <t>B0FM49VV56</t>
        </is>
      </c>
      <c r="C701" s="35" t="inlineStr">
        <is>
          <t>Key</t>
        </is>
      </c>
      <c r="D701" s="359" t="n">
        <v>48.13476190476191</v>
      </c>
      <c r="E701" s="359" t="n">
        <v>17417.13307692307</v>
      </c>
      <c r="F701" s="359" t="n">
        <v>1010.83</v>
      </c>
      <c r="G701" s="68" t="n">
        <v>241</v>
      </c>
      <c r="H701" s="70" t="n">
        <v>21</v>
      </c>
      <c r="I701" s="68" t="n">
        <v>32</v>
      </c>
      <c r="J701" s="69" t="n">
        <v>4.8</v>
      </c>
      <c r="K701" s="69" t="inlineStr">
        <is>
          <t>https://amazon.com/dp/B0FM49VV56</t>
        </is>
      </c>
      <c r="L701" s="114">
        <f>HYPERLINK(Table1410[[#This Row],[Column1]])</f>
        <v/>
      </c>
    </row>
    <row r="702" ht="45" customHeight="1" s="314">
      <c r="A702" s="35" t="inlineStr">
        <is>
          <t>Autel OBDII OBD2 Code Reader Diaglink (DIY Version of MD802) All Systems/Modules Diagnostic for ABS, SRS, Engine, Transmission, EPB, Oil Reset</t>
        </is>
      </c>
      <c r="B702" s="35" t="inlineStr">
        <is>
          <t>B01N0QQZY7</t>
        </is>
      </c>
      <c r="C702" s="35" t="inlineStr">
        <is>
          <t>Handheld</t>
        </is>
      </c>
      <c r="D702" s="359" t="n">
        <v>88.42100000000001</v>
      </c>
      <c r="E702" s="359" t="n">
        <v>17816.4</v>
      </c>
      <c r="F702" s="359" t="n">
        <v>1768.42</v>
      </c>
      <c r="G702" s="68" t="n">
        <v>186</v>
      </c>
      <c r="H702" s="70" t="n">
        <v>20</v>
      </c>
      <c r="I702" s="68" t="n">
        <v>1069</v>
      </c>
      <c r="J702" s="69" t="n">
        <v>4</v>
      </c>
      <c r="K702" s="69" t="inlineStr">
        <is>
          <t>https://amazon.com/dp/B01N0QQZY7</t>
        </is>
      </c>
      <c r="L702" s="114">
        <f>HYPERLINK(Table1410[[#This Row],[Column1]])</f>
        <v/>
      </c>
    </row>
    <row r="703" ht="45" customHeight="1" s="314">
      <c r="A703" s="35" t="inlineStr">
        <is>
          <t>Autel OBD2 Scanner MaxiDIAG MD906PRO Scan Tool, 2026 MD906 PRO All System Diagnostic, Code Reader, 11 Reset Services, Oil/Brake/BMS/SAS/Injector, Free Lifetime Upgrade, Same MD909 PRO Lite of MK808S</t>
        </is>
      </c>
      <c r="B703" s="35" t="inlineStr">
        <is>
          <t>B0FG3DDHHB</t>
        </is>
      </c>
      <c r="C703" s="35" t="inlineStr">
        <is>
          <t>Tablet</t>
        </is>
      </c>
      <c r="D703" s="359" t="n">
        <v>282.5125</v>
      </c>
      <c r="E703" s="359" t="n">
        <v>69602.41153846153</v>
      </c>
      <c r="F703" s="359" t="n">
        <v>5650.25</v>
      </c>
      <c r="G703" s="68" t="n">
        <v>171</v>
      </c>
      <c r="H703" s="70" t="n">
        <v>20</v>
      </c>
      <c r="I703" s="68" t="n">
        <v>40</v>
      </c>
      <c r="J703" s="69" t="n">
        <v>4.7</v>
      </c>
      <c r="K703" s="69" t="inlineStr">
        <is>
          <t>https://amazon.com/dp/B0FG3DDHHB</t>
        </is>
      </c>
      <c r="L703" s="114">
        <f>HYPERLINK(Table1410[[#This Row],[Column1]])</f>
        <v/>
      </c>
    </row>
    <row r="704" ht="45" customHeight="1" s="314">
      <c r="A704" s="35" t="inlineStr">
        <is>
          <t>Autel Original OBD2 Female to 14pin Convert Adapter, OBD1 to OBD II Connector for Nissan, Work with Autel Scanner MK808S, MX808S, MK808BT PRO, MK900BT, MK900, MP900BT, Elite II PRO, MSUltra, Ultra S2</t>
        </is>
      </c>
      <c r="B704" s="35" t="inlineStr">
        <is>
          <t>B0D62XG45N</t>
        </is>
      </c>
      <c r="C704" s="35" t="inlineStr">
        <is>
          <t>Cable/Adapter</t>
        </is>
      </c>
      <c r="D704" s="359" t="n">
        <v>19.865</v>
      </c>
      <c r="E704" s="359" t="n">
        <v>4310.83</v>
      </c>
      <c r="F704" s="359" t="n">
        <v>397.3</v>
      </c>
      <c r="G704" s="68" t="n">
        <v>217</v>
      </c>
      <c r="H704" s="70" t="n">
        <v>20</v>
      </c>
      <c r="I704" s="68" t="n">
        <v>13</v>
      </c>
      <c r="J704" s="69" t="n">
        <v>4.7</v>
      </c>
      <c r="K704" s="69" t="inlineStr">
        <is>
          <t>https://amazon.com/dp/B0D62XG45N</t>
        </is>
      </c>
      <c r="L704" s="114">
        <f>HYPERLINK(Table1410[[#This Row],[Column1]])</f>
        <v/>
      </c>
    </row>
    <row r="705" ht="60" customHeight="1" s="314">
      <c r="A705" s="35" t="inlineStr">
        <is>
          <t>Autel Original OBD2 Main Test Cable, Only for MaxiCOM MK900, MaxiCheck MX900, MaxiPRO MP900, MaxiDAS DS900, 16 Pin OBDII OBD 2 Diagnostic Test Cable (5.6ft 1.7M)</t>
        </is>
      </c>
      <c r="B705" s="35" t="inlineStr">
        <is>
          <t>B0F6LLRYVS</t>
        </is>
      </c>
      <c r="C705" s="35" t="inlineStr">
        <is>
          <t>Cable/Adapter</t>
        </is>
      </c>
      <c r="D705" s="359" t="n">
        <v>25.8035</v>
      </c>
      <c r="E705" s="359" t="n">
        <v>5887.762307692307</v>
      </c>
      <c r="F705" s="359" t="n">
        <v>516.0700000000001</v>
      </c>
      <c r="G705" s="68" t="n">
        <v>208</v>
      </c>
      <c r="H705" s="70" t="n">
        <v>20</v>
      </c>
      <c r="I705" s="68" t="n">
        <v>12</v>
      </c>
      <c r="J705" s="69" t="n">
        <v>5</v>
      </c>
      <c r="K705" s="69" t="inlineStr">
        <is>
          <t>https://amazon.com/dp/B0F6LLRYVS</t>
        </is>
      </c>
      <c r="L705" s="114">
        <f>HYPERLINK(Table1410[[#This Row],[Column1]])</f>
        <v/>
      </c>
    </row>
    <row r="706" ht="45" customHeight="1" s="314">
      <c r="A706" s="35" t="inlineStr">
        <is>
          <t>OBD2 12+8 Adapter for Chrysler 2018+, FCA SGW Bypass Cable, OBDII 12 8 Connector for Jeep Dodge Ram Fiat, Security Gateway Access for All Scanners</t>
        </is>
      </c>
      <c r="B706" s="35" t="inlineStr">
        <is>
          <t>B0GDXNL7CD</t>
        </is>
      </c>
      <c r="C706" s="35" t="inlineStr">
        <is>
          <t>Cable/Adapter</t>
        </is>
      </c>
      <c r="D706" s="359" t="n">
        <v>26.62105263157895</v>
      </c>
      <c r="E706" s="359" t="n">
        <v>5957.895384615385</v>
      </c>
      <c r="F706" s="359" t="n">
        <v>505.8</v>
      </c>
      <c r="G706" s="68" t="n">
        <v>31</v>
      </c>
      <c r="H706" s="70" t="n">
        <v>19</v>
      </c>
      <c r="I706" s="68" t="n">
        <v>2</v>
      </c>
      <c r="J706" s="69" t="n">
        <v>3.5</v>
      </c>
      <c r="K706" s="69" t="inlineStr">
        <is>
          <t>https://amazon.com/dp/B0GDXNL7CD</t>
        </is>
      </c>
      <c r="L706" s="114">
        <f>HYPERLINK(Table1410[[#This Row],[Column1]])</f>
        <v/>
      </c>
    </row>
    <row r="707" ht="45" customHeight="1" s="314">
      <c r="A707" s="35" t="inlineStr">
        <is>
          <t>Autel Original Type 2 Green 9pin J1939 to 16pin OBD2 Female Adapter, Male to J1962 OBDII Connector, Work for Heavy Duty Trucks, Used for ELD Device &amp; GPS Tracker &amp; Truck Scanner</t>
        </is>
      </c>
      <c r="B707" s="35" t="inlineStr">
        <is>
          <t>B0GSVC6PWZ</t>
        </is>
      </c>
      <c r="C707" s="35" t="inlineStr">
        <is>
          <t>Cable/Adapter</t>
        </is>
      </c>
      <c r="D707" s="359" t="n">
        <v>18.82052631578947</v>
      </c>
      <c r="E707" s="359" t="n">
        <v>4318.586923076923</v>
      </c>
      <c r="F707" s="359" t="n">
        <v>357.59</v>
      </c>
      <c r="G707" s="68" t="n">
        <v>19</v>
      </c>
      <c r="H707" s="70" t="n">
        <v>19</v>
      </c>
      <c r="I707" s="68" t="n"/>
      <c r="J707" s="69" t="n"/>
      <c r="K707" s="69" t="inlineStr">
        <is>
          <t>https://amazon.com/dp/B0GSVC6PWZ</t>
        </is>
      </c>
      <c r="L707" s="114">
        <f>HYPERLINK(Table1410[[#This Row],[Column1]])</f>
        <v/>
      </c>
    </row>
    <row r="708" ht="45" customHeight="1" s="314">
      <c r="A708" s="35" t="inlineStr">
        <is>
          <t>Autel MaxiCheck MX900 OBD2 Scanner, Same as MaxiCOM MK900 MK900BT, Bidirectional Scan Tool, All System Diagnose for Cars, Up of MK808 MX808, 40+ Services, 3000+ Active Tests, CAN FD/DoIP, FCA</t>
        </is>
      </c>
      <c r="B708" s="35" t="inlineStr">
        <is>
          <t>B0C65KF99Q</t>
        </is>
      </c>
      <c r="C708" s="35" t="inlineStr">
        <is>
          <t>Tablet</t>
        </is>
      </c>
      <c r="D708" s="359" t="n">
        <v>558.6278947368421</v>
      </c>
      <c r="E708" s="359" t="n">
        <v>180904.99</v>
      </c>
      <c r="F708" s="359" t="n">
        <v>10613.93</v>
      </c>
      <c r="G708" s="68" t="n">
        <v>327</v>
      </c>
      <c r="H708" s="70" t="n">
        <v>19</v>
      </c>
      <c r="I708" s="68" t="n">
        <v>139</v>
      </c>
      <c r="J708" s="69" t="n">
        <v>4.5</v>
      </c>
      <c r="K708" s="69" t="inlineStr">
        <is>
          <t>https://amazon.com/dp/B0C65KF99Q</t>
        </is>
      </c>
      <c r="L708" s="114">
        <f>HYPERLINK(Table1410[[#This Row],[Column1]])</f>
        <v/>
      </c>
    </row>
    <row r="709" ht="45" customHeight="1" s="314">
      <c r="A709" s="35" t="inlineStr">
        <is>
          <t>Autel Original MaxiSYS CV Komatsu 12-PIN Adapter, 12 Pins to OBD2 16 Pins Off-Highway Diagnostic Tool Cable Connector, Work with Truck Scanner Autel CV MS908CV, MS908CV II, MS909CV, MS906CV, and VCI</t>
        </is>
      </c>
      <c r="B709" s="35" t="inlineStr">
        <is>
          <t>B0DBHVW99Z</t>
        </is>
      </c>
      <c r="C709" s="35" t="inlineStr">
        <is>
          <t>Cable/Adapter</t>
        </is>
      </c>
      <c r="D709" s="359" t="n">
        <v>25.89368421052632</v>
      </c>
      <c r="E709" s="359" t="n">
        <v>4971.620000000001</v>
      </c>
      <c r="F709" s="359" t="n">
        <v>491.98</v>
      </c>
      <c r="G709" s="68" t="n">
        <v>196</v>
      </c>
      <c r="H709" s="70" t="n">
        <v>19</v>
      </c>
      <c r="I709" s="68" t="n">
        <v>7</v>
      </c>
      <c r="J709" s="69" t="n">
        <v>5</v>
      </c>
      <c r="K709" s="69" t="inlineStr">
        <is>
          <t>https://amazon.com/dp/B0DBHVW99Z</t>
        </is>
      </c>
      <c r="L709" s="114">
        <f>HYPERLINK(Table1410[[#This Row],[Column1]])</f>
        <v/>
      </c>
    </row>
    <row r="710" ht="45" customHeight="1" s="314">
      <c r="A710" s="35" t="inlineStr">
        <is>
          <t>Autel AutoLink AL519 Car OBD2 Scanner, Classic Enhanced Mode 6 Engine Fault Code Reader OBDII CAN Diagnostic Scan Tool, One-Click Smog Check, DTC Lookup, Upgraded of AL319, Lifetime Free Update</t>
        </is>
      </c>
      <c r="B710" s="35" t="inlineStr">
        <is>
          <t>B007XE5LTG</t>
        </is>
      </c>
      <c r="C710" s="35" t="inlineStr">
        <is>
          <t>Handheld</t>
        </is>
      </c>
      <c r="D710" s="359" t="n">
        <v>59.84777777777778</v>
      </c>
      <c r="E710" s="359" t="n">
        <v>8966.769999999999</v>
      </c>
      <c r="F710" s="359" t="n">
        <v>1077.26</v>
      </c>
      <c r="G710" s="68" t="n">
        <v>148</v>
      </c>
      <c r="H710" s="70" t="n">
        <v>18</v>
      </c>
      <c r="I710" s="68" t="n">
        <v>3785</v>
      </c>
      <c r="J710" s="69" t="n">
        <v>4.6</v>
      </c>
      <c r="K710" s="69" t="inlineStr">
        <is>
          <t>https://amazon.com/dp/B007XE5LTG</t>
        </is>
      </c>
      <c r="L710" s="114">
        <f>HYPERLINK(Table1410[[#This Row],[Column1]])</f>
        <v/>
      </c>
    </row>
    <row r="711" ht="45" customHeight="1" s="314">
      <c r="A711" s="35" t="inlineStr">
        <is>
          <t>Autel MaxiVideo MV108S Borescope Inspection Camera, 2026 Endoscope with 8.5mm Waterproof Image Head, Work w/All Autel Scanners MK808 MX808 MX900 MK900</t>
        </is>
      </c>
      <c r="B711" s="35" t="inlineStr">
        <is>
          <t>B0B31W8YVZ</t>
        </is>
      </c>
      <c r="C711" s="35" t="inlineStr">
        <is>
          <t>Other</t>
        </is>
      </c>
      <c r="D711" s="359" t="n">
        <v>47.67055555555556</v>
      </c>
      <c r="E711" s="359" t="n">
        <v>11256.24</v>
      </c>
      <c r="F711" s="359" t="n">
        <v>858.0700000000001</v>
      </c>
      <c r="G711" s="68" t="n">
        <v>231</v>
      </c>
      <c r="H711" s="70" t="n">
        <v>18</v>
      </c>
      <c r="I711" s="68" t="n">
        <v>69</v>
      </c>
      <c r="J711" s="69" t="n">
        <v>4.5</v>
      </c>
      <c r="K711" s="69" t="inlineStr">
        <is>
          <t>https://amazon.com/dp/B0B31W8YVZ</t>
        </is>
      </c>
      <c r="L711" s="114">
        <f>HYPERLINK(Table1410[[#This Row],[Column1]])</f>
        <v/>
      </c>
    </row>
    <row r="712" ht="45" customHeight="1" s="314">
      <c r="A712" s="35" t="inlineStr">
        <is>
          <t>Autel Scanner MaxiCOM MK900TS, 2026 MK900-TS Same as MX900TS TS900, Top TPMS Functions Bidirectional Scan Tool, Up of MK900BT MK900 MX900 MK808S-TS MK808S, DoIP CAN FD, 40+ Service, 3000+ Tests, FCA</t>
        </is>
      </c>
      <c r="B712" s="35" t="inlineStr">
        <is>
          <t>B09YM97Q9N</t>
        </is>
      </c>
      <c r="C712" s="35" t="inlineStr">
        <is>
          <t>Tablet</t>
        </is>
      </c>
      <c r="D712" s="359" t="n">
        <v>883.96</v>
      </c>
      <c r="E712" s="359" t="n">
        <v>147016.72</v>
      </c>
      <c r="F712" s="359" t="n">
        <v>15911.28</v>
      </c>
      <c r="G712" s="68" t="n">
        <v>169</v>
      </c>
      <c r="H712" s="70" t="n">
        <v>18</v>
      </c>
      <c r="I712" s="68" t="n">
        <v>28</v>
      </c>
      <c r="J712" s="69" t="n">
        <v>4.5</v>
      </c>
      <c r="K712" s="69" t="inlineStr">
        <is>
          <t>https://amazon.com/dp/B09YM97Q9N</t>
        </is>
      </c>
      <c r="L712" s="114">
        <f>HYPERLINK(Table1410[[#This Row],[Column1]])</f>
        <v/>
      </c>
    </row>
    <row r="713" ht="45" customHeight="1" s="314">
      <c r="A713" s="35" t="inlineStr">
        <is>
          <t>Autel MXSENSORMVK Metal Valve</t>
        </is>
      </c>
      <c r="B713" s="35" t="inlineStr">
        <is>
          <t>B0792M4BHG</t>
        </is>
      </c>
      <c r="C713" s="35" t="inlineStr">
        <is>
          <t>Other</t>
        </is>
      </c>
      <c r="D713" s="359" t="n">
        <v>12.05666666666667</v>
      </c>
      <c r="E713" s="359" t="n">
        <v>5062.69</v>
      </c>
      <c r="F713" s="359" t="n">
        <v>217.02</v>
      </c>
      <c r="G713" s="68" t="n">
        <v>439</v>
      </c>
      <c r="H713" s="70" t="n">
        <v>18</v>
      </c>
      <c r="I713" s="68" t="n">
        <v>79</v>
      </c>
      <c r="J713" s="69" t="n">
        <v>4.4</v>
      </c>
      <c r="K713" s="69" t="inlineStr">
        <is>
          <t>https://amazon.com/dp/B0792M4BHG</t>
        </is>
      </c>
      <c r="L713" s="114">
        <f>HYPERLINK(Table1410[[#This Row],[Column1]])</f>
        <v/>
      </c>
    </row>
    <row r="714" ht="60" customHeight="1" s="314">
      <c r="A714" s="35" t="inlineStr">
        <is>
          <t>Autel MaxiPRO MP808BT PRO Scanner, 2026 Bidirectional Scan Tool with 2-Year Update, Pro ECU C0ding as MS906 PRO MS906 MAX MP900BT, 30+ Service, 3000+ Test, Up of MK900BT MK900 MX900 MK808S, FCA, OS 11</t>
        </is>
      </c>
      <c r="B714" s="35" t="inlineStr">
        <is>
          <t>B09F3MZZ3F</t>
        </is>
      </c>
      <c r="C714" s="35" t="inlineStr">
        <is>
          <t>Tablet</t>
        </is>
      </c>
      <c r="D714" s="359" t="n">
        <v>716.1994117647058</v>
      </c>
      <c r="E714" s="359" t="n">
        <v>155750.29</v>
      </c>
      <c r="F714" s="359" t="n">
        <v>12175.39</v>
      </c>
      <c r="G714" s="68" t="n">
        <v>217</v>
      </c>
      <c r="H714" s="70" t="n">
        <v>17</v>
      </c>
      <c r="I714" s="68" t="n">
        <v>86</v>
      </c>
      <c r="J714" s="69" t="n">
        <v>4.6</v>
      </c>
      <c r="K714" s="69" t="inlineStr">
        <is>
          <t>https://amazon.com/dp/B09F3MZZ3F</t>
        </is>
      </c>
      <c r="L714" s="114">
        <f>HYPERLINK(Table1410[[#This Row],[Column1]])</f>
        <v/>
      </c>
    </row>
    <row r="715" ht="45" customHeight="1" s="314">
      <c r="A715" s="35" t="inlineStr">
        <is>
          <t>Autel OBD2 Scanner ML529 Code Reader, OBD2 Code Scanner with Lifetime Software Update, AutoVIN for Quick DTC, Turning Off Vehicle Engine/Emission Light, Code Reader for One-Click Smog Check</t>
        </is>
      </c>
      <c r="B715" s="35" t="inlineStr">
        <is>
          <t>B0891452NW</t>
        </is>
      </c>
      <c r="C715" s="35" t="inlineStr">
        <is>
          <t>Handheld</t>
        </is>
      </c>
      <c r="D715" s="359" t="n">
        <v>46.65705882352941</v>
      </c>
      <c r="E715" s="359" t="n">
        <v>16271.6376923077</v>
      </c>
      <c r="F715" s="359" t="n">
        <v>793.17</v>
      </c>
      <c r="G715" s="68" t="n">
        <v>256</v>
      </c>
      <c r="H715" s="70" t="n">
        <v>17</v>
      </c>
      <c r="I715" s="68" t="n">
        <v>284</v>
      </c>
      <c r="J715" s="69" t="n">
        <v>4.5</v>
      </c>
      <c r="K715" s="69" t="inlineStr">
        <is>
          <t>https://amazon.com/dp/B0891452NW</t>
        </is>
      </c>
      <c r="L715" s="114">
        <f>HYPERLINK(Table1410[[#This Row],[Column1]])</f>
        <v/>
      </c>
    </row>
    <row r="716" ht="45" customHeight="1" s="314">
      <c r="A716" s="35" t="inlineStr">
        <is>
          <t>Autel MaxiSYS MS906 MAX Scanner 2026, MS906MAX 10.1" V2.0 of MS906 PRO MP900BT MS908S MK908 MS906PRO-TS, Top Bidirectional Scan Tool, 3000+ Tests, 40+ Service, All System, CAN FD &amp; DoIP, OS 10.0, FCA</t>
        </is>
      </c>
      <c r="B716" s="35" t="inlineStr">
        <is>
          <t>B09TR9KTMB</t>
        </is>
      </c>
      <c r="C716" s="35" t="inlineStr">
        <is>
          <t>Tablet</t>
        </is>
      </c>
      <c r="D716" s="359" t="n">
        <v>1553.913529411765</v>
      </c>
      <c r="E716" s="359" t="n">
        <v>269699.1892307692</v>
      </c>
      <c r="F716" s="359" t="n">
        <v>26416.53</v>
      </c>
      <c r="G716" s="68" t="n">
        <v>158</v>
      </c>
      <c r="H716" s="70" t="n">
        <v>17</v>
      </c>
      <c r="I716" s="68" t="n">
        <v>19</v>
      </c>
      <c r="J716" s="69" t="n">
        <v>4.7</v>
      </c>
      <c r="K716" s="69" t="inlineStr">
        <is>
          <t>https://amazon.com/dp/B09TR9KTMB</t>
        </is>
      </c>
      <c r="L716" s="114">
        <f>HYPERLINK(Table1410[[#This Row],[Column1]])</f>
        <v/>
      </c>
    </row>
    <row r="717" ht="45" customHeight="1" s="314">
      <c r="A717" s="35" t="inlineStr">
        <is>
          <t>Autel MaxiDiag MD806 PRO OBD2 Scanner: Full Systems Diagnostic Scan Tool w/Live Data Oil Reset BMS SAS Throttle A/F EPB D-P.F, AutoScan, Up of MD808 MD806 MD805 MD802, Free Update, Data Print</t>
        </is>
      </c>
      <c r="B717" s="35" t="inlineStr">
        <is>
          <t>B0GFW5736P</t>
        </is>
      </c>
      <c r="C717" s="35" t="inlineStr">
        <is>
          <t>Tablet</t>
        </is>
      </c>
      <c r="D717" s="359" t="n">
        <v>200.6076470588235</v>
      </c>
      <c r="E717" s="359" t="n">
        <v>37954.66230769231</v>
      </c>
      <c r="F717" s="359" t="n">
        <v>3410.33</v>
      </c>
      <c r="G717" s="68" t="n">
        <v>49</v>
      </c>
      <c r="H717" s="70" t="n">
        <v>17</v>
      </c>
      <c r="I717" s="68" t="n">
        <v>91</v>
      </c>
      <c r="J717" s="69" t="n">
        <v>4.5</v>
      </c>
      <c r="K717" s="69" t="inlineStr">
        <is>
          <t>https://amazon.com/dp/B0GFW5736P</t>
        </is>
      </c>
      <c r="L717" s="114">
        <f>HYPERLINK(Table1410[[#This Row],[Column1]])</f>
        <v/>
      </c>
    </row>
    <row r="718" ht="45" customHeight="1" s="314">
      <c r="A718" s="35" t="inlineStr">
        <is>
          <t>Autel MaxiDiag MD808 PRO OBD2 Scanner, All System Diagnostic Scan Tool, Upgraded of MD806 MD802, 7 Hottest Special Service, Oil Reset, EPB, SAS, BMS, Throttle, Free Lifetime Update, Multilingual</t>
        </is>
      </c>
      <c r="B718" s="35" t="inlineStr">
        <is>
          <t>B08XN9LGJ2</t>
        </is>
      </c>
      <c r="C718" s="35" t="inlineStr">
        <is>
          <t>Handheld</t>
        </is>
      </c>
      <c r="D718" s="359" t="n">
        <v>253.4370588235294</v>
      </c>
      <c r="E718" s="359" t="n">
        <v>52216.41</v>
      </c>
      <c r="F718" s="359" t="n">
        <v>4308.43</v>
      </c>
      <c r="G718" s="68" t="n">
        <v>200</v>
      </c>
      <c r="H718" s="70" t="n">
        <v>17</v>
      </c>
      <c r="I718" s="68" t="n">
        <v>128</v>
      </c>
      <c r="J718" s="69" t="n">
        <v>4.3</v>
      </c>
      <c r="K718" s="69" t="inlineStr">
        <is>
          <t>https://amazon.com/dp/B08XN9LGJ2</t>
        </is>
      </c>
      <c r="L718" s="114">
        <f>HYPERLINK(Table1410[[#This Row],[Column1]])</f>
        <v/>
      </c>
    </row>
    <row r="719" ht="45" customHeight="1" s="314">
      <c r="A719" s="35" t="inlineStr">
        <is>
          <t>Autel MaxiVCI V200 Vehicle Communication Interface OBD2 Connector Bluetooth Adapter Work with MS906PRO MK906PRO TS ITS600 KM100 BT608 BT609 Wireless VCI200 Diagnostic DoIP CAN FD</t>
        </is>
      </c>
      <c r="B719" s="35" t="inlineStr">
        <is>
          <t>B0DDZY1L2Q</t>
        </is>
      </c>
      <c r="C719" s="35" t="inlineStr">
        <is>
          <t>VCI</t>
        </is>
      </c>
      <c r="D719" s="359" t="n">
        <v>218.5570588235294</v>
      </c>
      <c r="E719" s="359" t="n">
        <v>43002.38</v>
      </c>
      <c r="F719" s="359" t="n">
        <v>3715.47</v>
      </c>
      <c r="G719" s="68" t="n">
        <v>209</v>
      </c>
      <c r="H719" s="70" t="n">
        <v>17</v>
      </c>
      <c r="I719" s="68" t="n">
        <v>9</v>
      </c>
      <c r="J719" s="69" t="n">
        <v>5</v>
      </c>
      <c r="K719" s="69" t="inlineStr">
        <is>
          <t>https://amazon.com/dp/B0DDZY1L2Q</t>
        </is>
      </c>
      <c r="L719" s="114">
        <f>HYPERLINK(Table1410[[#This Row],[Column1]])</f>
        <v/>
      </c>
    </row>
    <row r="720" ht="45" customHeight="1" s="314">
      <c r="A720" s="35" t="inlineStr">
        <is>
          <t>Autel Original MaxiSYS CV Cummins 8Pin Adapter, 8-Pin Off-Highway Vehicle Cable Connector for Cummins Engines, Work with Heavy Duty Truck Scanner Semi Truck Tool MS909CV, MS908CV II, MS908CV, MS906CV</t>
        </is>
      </c>
      <c r="B720" s="35" t="inlineStr">
        <is>
          <t>B0DBHW85FN</t>
        </is>
      </c>
      <c r="C720" s="35" t="inlineStr">
        <is>
          <t>Cable/Adapter</t>
        </is>
      </c>
      <c r="D720" s="359" t="n">
        <v>29.881875</v>
      </c>
      <c r="E720" s="359" t="n">
        <v>4427.042307692307</v>
      </c>
      <c r="F720" s="359" t="n">
        <v>478.11</v>
      </c>
      <c r="G720" s="68" t="n">
        <v>119</v>
      </c>
      <c r="H720" s="70" t="n">
        <v>16</v>
      </c>
      <c r="I720" s="68" t="n">
        <v>2</v>
      </c>
      <c r="J720" s="69" t="n">
        <v>5</v>
      </c>
      <c r="K720" s="69" t="inlineStr">
        <is>
          <t>https://amazon.com/dp/B0DBHW85FN</t>
        </is>
      </c>
      <c r="L720" s="114">
        <f>HYPERLINK(Table1410[[#This Row],[Column1]])</f>
        <v/>
      </c>
    </row>
    <row r="721" ht="45" customHeight="1" s="314">
      <c r="A721" s="35" t="inlineStr">
        <is>
          <t>Autel MaxiTPMS TS900 Scanner, 2026 Bidirectional Scan Tool, Top TPMS as MS906 PRO-TS, Up of MK900TS MX900TS MK808S-TS MK900 TS608, 3000+ Active Tests, 40+ Service, CAN-FD &amp; DOIP, OS 11.0, FCA SGW</t>
        </is>
      </c>
      <c r="B721" s="35" t="inlineStr">
        <is>
          <t>B09YMB3CWN</t>
        </is>
      </c>
      <c r="C721" s="35" t="inlineStr">
        <is>
          <t>Tablet</t>
        </is>
      </c>
      <c r="D721" s="359" t="n">
        <v>815.921875</v>
      </c>
      <c r="E721" s="359" t="n">
        <v>91385.84</v>
      </c>
      <c r="F721" s="359" t="n">
        <v>13054.75</v>
      </c>
      <c r="G721" s="68" t="n">
        <v>111</v>
      </c>
      <c r="H721" s="70" t="n">
        <v>16</v>
      </c>
      <c r="I721" s="68" t="n">
        <v>20</v>
      </c>
      <c r="J721" s="69" t="n">
        <v>4.6</v>
      </c>
      <c r="K721" s="69" t="inlineStr">
        <is>
          <t>https://amazon.com/dp/B09YMB3CWN</t>
        </is>
      </c>
      <c r="L721" s="114">
        <f>HYPERLINK(Table1410[[#This Row],[Column1]])</f>
        <v/>
      </c>
    </row>
    <row r="722" ht="60" customHeight="1" s="314">
      <c r="A722" s="35" t="inlineStr">
        <is>
          <t>Autel Original Universal Key Fob Replacement, Programmable Blank Key IKEYAT003BL, 3-Button Keyless Entry for 700+ Vehicles, OBD Learning, Dual-Band, 130FT Remote, OE-Quality, Work with KM100 Scan Tool</t>
        </is>
      </c>
      <c r="B722" s="35" t="inlineStr">
        <is>
          <t>B0DCS3Z3VF</t>
        </is>
      </c>
      <c r="C722" s="35" t="inlineStr">
        <is>
          <t>Key</t>
        </is>
      </c>
      <c r="D722" s="359" t="n">
        <v>39.399375</v>
      </c>
      <c r="E722" s="359" t="n">
        <v>7096.599999999999</v>
      </c>
      <c r="F722" s="359" t="n">
        <v>630.39</v>
      </c>
      <c r="G722" s="68" t="n">
        <v>179</v>
      </c>
      <c r="H722" s="70" t="n">
        <v>16</v>
      </c>
      <c r="I722" s="68" t="n">
        <v>17</v>
      </c>
      <c r="J722" s="69" t="n">
        <v>4.9</v>
      </c>
      <c r="K722" s="69" t="inlineStr">
        <is>
          <t>https://amazon.com/dp/B0DCS3Z3VF</t>
        </is>
      </c>
      <c r="L722" s="114">
        <f>HYPERLINK(Table1410[[#This Row],[Column1]])</f>
        <v/>
      </c>
    </row>
    <row r="723" ht="45" customHeight="1" s="314">
      <c r="A723" s="35" t="inlineStr">
        <is>
          <t>Autel MaxilM KM100 OBD2 Diagnostic Scanner, 2026 Lite of IM508S IM608 PRO II with Lifetime Free Update, Compatible with 95% Cars, VCI V200 Wireless Diagnostic, Scan Tool for Home Mechanics &amp; DIYers</t>
        </is>
      </c>
      <c r="B723" s="35" t="inlineStr">
        <is>
          <t>B0FX9VGDRW</t>
        </is>
      </c>
      <c r="C723" s="35" t="inlineStr">
        <is>
          <t>Tablet</t>
        </is>
      </c>
      <c r="D723" s="359" t="n">
        <v>523.0773333333333</v>
      </c>
      <c r="E723" s="359" t="n">
        <v>81701.98307692308</v>
      </c>
      <c r="F723" s="359" t="n">
        <v>7846.16</v>
      </c>
      <c r="G723" s="68" t="n">
        <v>32</v>
      </c>
      <c r="H723" s="70" t="n">
        <v>15</v>
      </c>
      <c r="I723" s="68" t="n">
        <v>5</v>
      </c>
      <c r="J723" s="69" t="n">
        <v>4.2</v>
      </c>
      <c r="K723" s="69" t="inlineStr">
        <is>
          <t>https://amazon.com/dp/B0FX9VGDRW</t>
        </is>
      </c>
      <c r="L723" s="114">
        <f>HYPERLINK(Table1410[[#This Row],[Column1]])</f>
        <v/>
      </c>
    </row>
    <row r="724" ht="45" customHeight="1" s="314">
      <c r="A724" s="35" t="inlineStr">
        <is>
          <t>Autel Original MaxiVCI V150 VCI150 OBD2 Bluetooth Adapter, 2026 VCI 150 Car Wireless Communication Interface, Work w/Autel Diagnostic Scanner MK900BT MP900BT MP900Z-BT MP900TS MK900TS MX900TS TS900</t>
        </is>
      </c>
      <c r="B724" s="35" t="inlineStr">
        <is>
          <t>B0FKG6TDF1</t>
        </is>
      </c>
      <c r="C724" s="35" t="inlineStr">
        <is>
          <t>Dongle</t>
        </is>
      </c>
      <c r="D724" s="359" t="n">
        <v>199.2533333333334</v>
      </c>
      <c r="E724" s="359" t="n">
        <v>35132.54153846155</v>
      </c>
      <c r="F724" s="359" t="n">
        <v>2988.8</v>
      </c>
      <c r="G724" s="68" t="n">
        <v>107</v>
      </c>
      <c r="H724" s="70" t="n">
        <v>15</v>
      </c>
      <c r="I724" s="68" t="n">
        <v>3</v>
      </c>
      <c r="J724" s="69" t="n">
        <v>5</v>
      </c>
      <c r="K724" s="69" t="inlineStr">
        <is>
          <t>https://amazon.com/dp/B0FKG6TDF1</t>
        </is>
      </c>
      <c r="L724" s="114">
        <f>HYPERLINK(Table1410[[#This Row],[Column1]])</f>
        <v/>
      </c>
    </row>
    <row r="725" ht="45" customHeight="1" s="314">
      <c r="A725" s="35" t="inlineStr">
        <is>
          <t>Autel MaxiTPMS TBE200 (E) Automotive Tire Tread Depth &amp; Brake Disc Examiner: 2026 Top Laser Uneven Wear Analysis Tool, Upgrade of TBE100, Dual Camera, 0.1mm High Accuracy, Real-time Data, Supp. ITS600</t>
        </is>
      </c>
      <c r="B725" s="35" t="inlineStr">
        <is>
          <t>B09KGSRHMH</t>
        </is>
      </c>
      <c r="C725" s="35" t="inlineStr">
        <is>
          <t>Other</t>
        </is>
      </c>
      <c r="D725" s="359" t="n">
        <v>469.47</v>
      </c>
      <c r="E725" s="359" t="n">
        <v>74769.71000000001</v>
      </c>
      <c r="F725" s="359" t="n">
        <v>7042.05</v>
      </c>
      <c r="G725" s="68" t="n">
        <v>187</v>
      </c>
      <c r="H725" s="70" t="n">
        <v>15</v>
      </c>
      <c r="I725" s="68" t="n">
        <v>12</v>
      </c>
      <c r="J725" s="69" t="n">
        <v>4.7</v>
      </c>
      <c r="K725" s="69" t="inlineStr">
        <is>
          <t>https://amazon.com/dp/B09KGSRHMH</t>
        </is>
      </c>
      <c r="L725" s="114">
        <f>HYPERLINK(Table1410[[#This Row],[Column1]])</f>
        <v/>
      </c>
    </row>
    <row r="726" ht="45" customHeight="1" s="314">
      <c r="A726" s="35" t="inlineStr">
        <is>
          <t>Autel MaxiDiag MD906PRO MD906 Pro OBD2 Scanner: 2026 2.0 of MD802Pro MD806 MD808 Pro, Full Systems Diagnostics, 11 Service Oil Reset Bleeding Injector SAS etc, FCA SGW CAN FD, Free Update</t>
        </is>
      </c>
      <c r="B726" s="35" t="inlineStr">
        <is>
          <t>B0FHPX5VNF</t>
        </is>
      </c>
      <c r="C726" s="35" t="inlineStr">
        <is>
          <t>Tablet</t>
        </is>
      </c>
      <c r="D726" s="359" t="n">
        <v>268.4806666666667</v>
      </c>
      <c r="E726" s="359" t="n">
        <v>75102.98846153848</v>
      </c>
      <c r="F726" s="359" t="n">
        <v>4027.21</v>
      </c>
      <c r="G726" s="68" t="n">
        <v>214</v>
      </c>
      <c r="H726" s="70" t="n">
        <v>15</v>
      </c>
      <c r="I726" s="68" t="n">
        <v>31</v>
      </c>
      <c r="J726" s="69" t="n">
        <v>4.7</v>
      </c>
      <c r="K726" s="69" t="inlineStr">
        <is>
          <t>https://amazon.com/dp/B0FHPX5VNF</t>
        </is>
      </c>
      <c r="L726" s="114">
        <f>HYPERLINK(Table1410[[#This Row],[Column1]])</f>
        <v/>
      </c>
    </row>
    <row r="727" ht="45" customHeight="1" s="314">
      <c r="A727" s="35" t="inlineStr">
        <is>
          <t>Autel Obd2 Scanner Diagnostic Tool MaxiCOM MK808Z: 2026 Bidirectional Scan Tool, 28+ Service, Active Tests Scanner for Car, All System OBD2 Diagnostics Car Scanner for DIY, Mechanic and Small Shops</t>
        </is>
      </c>
      <c r="B727" s="35" t="inlineStr">
        <is>
          <t>B0GMQD4M5N</t>
        </is>
      </c>
      <c r="C727" s="35" t="inlineStr">
        <is>
          <t>Tablet</t>
        </is>
      </c>
      <c r="D727" s="359" t="n">
        <v>449</v>
      </c>
      <c r="E727" s="359" t="n">
        <v>81338.07692307694</v>
      </c>
      <c r="F727" s="359" t="n">
        <v>6735</v>
      </c>
      <c r="G727" s="68" t="n">
        <v>15</v>
      </c>
      <c r="H727" s="70" t="n">
        <v>15</v>
      </c>
      <c r="I727" s="68" t="n"/>
      <c r="J727" s="69" t="n"/>
      <c r="K727" s="69" t="inlineStr">
        <is>
          <t>https://amazon.com/dp/B0GMQD4M5N</t>
        </is>
      </c>
      <c r="L727" s="114">
        <f>HYPERLINK(Table1410[[#This Row],[Column1]])</f>
        <v/>
      </c>
    </row>
    <row r="728" ht="45" customHeight="1" s="314">
      <c r="A728" s="35" t="inlineStr">
        <is>
          <t>Autel MaxiAP AP2500 OBD2 Scanner Bluetooth Code Reader, Upgrade of AP200/AP200C/AP200H/AP200M, Better AP2500E, Auto Scanner Car Scan Tool, 5 DIY Servies, 45+ Car Brands, Compatible Android/iOS Phones</t>
        </is>
      </c>
      <c r="B728" s="35" t="inlineStr">
        <is>
          <t>B0CWNQLNY4</t>
        </is>
      </c>
      <c r="C728" s="35" t="inlineStr">
        <is>
          <t>Dongle</t>
        </is>
      </c>
      <c r="D728" s="359" t="n">
        <v>58.442</v>
      </c>
      <c r="E728" s="359" t="n">
        <v>3747.75</v>
      </c>
      <c r="F728" s="359" t="n">
        <v>876.63</v>
      </c>
      <c r="G728" s="68" t="n">
        <v>61</v>
      </c>
      <c r="H728" s="70" t="n">
        <v>15</v>
      </c>
      <c r="I728" s="68" t="n">
        <v>5</v>
      </c>
      <c r="J728" s="69" t="n">
        <v>4.5</v>
      </c>
      <c r="K728" s="69" t="inlineStr">
        <is>
          <t>https://amazon.com/dp/B0CWNQLNY4</t>
        </is>
      </c>
      <c r="L728" s="114">
        <f>HYPERLINK(Table1410[[#This Row],[Column1]])</f>
        <v/>
      </c>
    </row>
    <row r="729" ht="45" customHeight="1" s="314">
      <c r="A729" s="35" t="inlineStr">
        <is>
          <t>Autel MaxiAP AP2500 Code Reader, Bluetooth OBD2 Scanner, All System Diagnostic, Oil Reset, TPMS, EV Battery, BMS Reset, Upgraded AP200, OBDII 10 Tests, 45+ Car Brands, EV Battery, for Android/iOS</t>
        </is>
      </c>
      <c r="B729" s="35" t="inlineStr">
        <is>
          <t>B0DGKCMXL6</t>
        </is>
      </c>
      <c r="C729" s="35" t="inlineStr">
        <is>
          <t>Dongle</t>
        </is>
      </c>
      <c r="D729" s="359" t="n">
        <v>57.27428571428572</v>
      </c>
      <c r="E729" s="359" t="n">
        <v>5882.19</v>
      </c>
      <c r="F729" s="359" t="n">
        <v>801.84</v>
      </c>
      <c r="G729" s="68" t="n">
        <v>75</v>
      </c>
      <c r="H729" s="70" t="n">
        <v>14</v>
      </c>
      <c r="I729" s="68" t="n">
        <v>5</v>
      </c>
      <c r="J729" s="69" t="n">
        <v>2.9</v>
      </c>
      <c r="K729" s="69" t="inlineStr">
        <is>
          <t>https://amazon.com/dp/B0DGKCMXL6</t>
        </is>
      </c>
      <c r="L729" s="114">
        <f>HYPERLINK(Table1410[[#This Row],[Column1]])</f>
        <v/>
      </c>
    </row>
    <row r="730" ht="60" customHeight="1" s="314">
      <c r="A730" s="35" t="inlineStr">
        <is>
          <t>Autel Scanner IM508S OBD2 Scanner, 2026 Bidirectional Scan Tool, with XP200 Programmer, Smart &amp; Expert Mode, All System Diagnostic, 3000+ Active Test, 40+ Service, Up of MK900BT MK808S, FCA AutoAuth</t>
        </is>
      </c>
      <c r="B730" s="35" t="inlineStr">
        <is>
          <t>B0G1Y9LC4Q</t>
        </is>
      </c>
      <c r="C730" s="35" t="inlineStr">
        <is>
          <t>Tablet</t>
        </is>
      </c>
      <c r="D730" s="359" t="n">
        <v>1201.681428571429</v>
      </c>
      <c r="E730" s="359" t="n">
        <v>190871.9323076924</v>
      </c>
      <c r="F730" s="359" t="n">
        <v>16823.54</v>
      </c>
      <c r="G730" s="68" t="n">
        <v>56</v>
      </c>
      <c r="H730" s="70" t="n">
        <v>14</v>
      </c>
      <c r="I730" s="68" t="n">
        <v>4</v>
      </c>
      <c r="J730" s="69" t="n">
        <v>4.7</v>
      </c>
      <c r="K730" s="69" t="inlineStr">
        <is>
          <t>https://amazon.com/dp/B0G1Y9LC4Q</t>
        </is>
      </c>
      <c r="L730" s="114">
        <f>HYPERLINK(Table1410[[#This Row],[Column1]])</f>
        <v/>
      </c>
    </row>
    <row r="731" ht="60" customHeight="1" s="314">
      <c r="A731" s="35" t="inlineStr">
        <is>
          <t>Autel Original Tesla Diagnostic Cable Set, 3PCS Test Cord for Tesla-S &amp; X, OBD2 Diagnostic Test Cable Adapter for MaxiSys MaxiSYS 909/919/908SPro/Elite/Elite II/Ultra (3PCS)</t>
        </is>
      </c>
      <c r="B731" s="35" t="inlineStr">
        <is>
          <t>B0DD7R4TKN</t>
        </is>
      </c>
      <c r="C731" s="35" t="inlineStr">
        <is>
          <t>Cable/Adapter</t>
        </is>
      </c>
      <c r="D731" s="359" t="n">
        <v>59.24428571428571</v>
      </c>
      <c r="E731" s="359" t="n">
        <v>8466.17</v>
      </c>
      <c r="F731" s="359" t="n">
        <v>829.42</v>
      </c>
      <c r="G731" s="68" t="n">
        <v>142</v>
      </c>
      <c r="H731" s="70" t="n">
        <v>14</v>
      </c>
      <c r="I731" s="68" t="n">
        <v>10</v>
      </c>
      <c r="J731" s="69" t="n">
        <v>5</v>
      </c>
      <c r="K731" s="69" t="inlineStr">
        <is>
          <t>https://amazon.com/dp/B0DD7R4TKN</t>
        </is>
      </c>
      <c r="L731" s="114">
        <f>HYPERLINK(Table1410[[#This Row],[Column1]])</f>
        <v/>
      </c>
    </row>
    <row r="732" ht="45" customHeight="1" s="314">
      <c r="A732" s="35" t="inlineStr">
        <is>
          <t>Autel Scanner MaxiIM IM608 PRO II, 2026 IM608 PRO 2 Diagnostic Scan Tool with $1314 Full KIT, 40 Services, ECU as Elite II Pro, 3K+ Bidirectional Tool, OE Full System, DOIP CANFD, OS10, 4G&amp;128G, 16MP</t>
        </is>
      </c>
      <c r="B732" s="35" t="inlineStr">
        <is>
          <t>B07VHN3PZ3</t>
        </is>
      </c>
      <c r="C732" s="35" t="inlineStr">
        <is>
          <t>Tablet</t>
        </is>
      </c>
      <c r="D732" s="359" t="n">
        <v>3364.228571428571</v>
      </c>
      <c r="E732" s="359" t="n">
        <v>312991.6</v>
      </c>
      <c r="F732" s="359" t="n">
        <v>47099.2</v>
      </c>
      <c r="G732" s="68" t="n">
        <v>96</v>
      </c>
      <c r="H732" s="70" t="n">
        <v>14</v>
      </c>
      <c r="I732" s="68" t="n">
        <v>50</v>
      </c>
      <c r="J732" s="69" t="n">
        <v>4.6</v>
      </c>
      <c r="K732" s="69" t="inlineStr">
        <is>
          <t>https://amazon.com/dp/B07VHN3PZ3</t>
        </is>
      </c>
      <c r="L732" s="114">
        <f>HYPERLINK(Table1410[[#This Row],[Column1]])</f>
        <v/>
      </c>
    </row>
    <row r="733" ht="60" customHeight="1" s="314">
      <c r="A733" s="35" t="inlineStr">
        <is>
          <t>Autel MaxiSys MSOBD2KIT Non-OBDII Adapter Kit, 9PCS OBD Diagnostics Connectors w/Rugged Blow-Molded Carrying Case, Support All Autel Scanners MSUltra MS919 MS909 Elite II MS906 Pro MK808S MX900 MK900</t>
        </is>
      </c>
      <c r="B733" s="35" t="inlineStr">
        <is>
          <t>B0B14HBF2H</t>
        </is>
      </c>
      <c r="C733" s="35" t="inlineStr">
        <is>
          <t>Cable/Adapter</t>
        </is>
      </c>
      <c r="D733" s="359" t="n">
        <v>134.5685714285714</v>
      </c>
      <c r="E733" s="359" t="n">
        <v>21041.72</v>
      </c>
      <c r="F733" s="359" t="n">
        <v>1883.96</v>
      </c>
      <c r="G733" s="68" t="n">
        <v>153</v>
      </c>
      <c r="H733" s="70" t="n">
        <v>14</v>
      </c>
      <c r="I733" s="68" t="n">
        <v>24</v>
      </c>
      <c r="J733" s="69" t="n">
        <v>4.9</v>
      </c>
      <c r="K733" s="69" t="inlineStr">
        <is>
          <t>https://amazon.com/dp/B0B14HBF2H</t>
        </is>
      </c>
      <c r="L733" s="114">
        <f>HYPERLINK(Table1410[[#This Row],[Column1]])</f>
        <v/>
      </c>
    </row>
    <row r="734" ht="45" customHeight="1" s="314">
      <c r="A734" s="35" t="inlineStr">
        <is>
          <t>Autel Original 8A AKL Cable for Toyota Non-Smart K-y Adapter Work with APB112 and G-Box3 G BOX3 G-Box2 G BOX2</t>
        </is>
      </c>
      <c r="B734" s="35" t="inlineStr">
        <is>
          <t>B0BPX9VWQK</t>
        </is>
      </c>
      <c r="C734" s="35" t="inlineStr">
        <is>
          <t>Cable/Adapter</t>
        </is>
      </c>
      <c r="D734" s="359" t="n">
        <v>69.95071428571428</v>
      </c>
      <c r="E734" s="359" t="n">
        <v>14439.35</v>
      </c>
      <c r="F734" s="359" t="n">
        <v>979.3099999999999</v>
      </c>
      <c r="G734" s="68" t="n">
        <v>211</v>
      </c>
      <c r="H734" s="70" t="n">
        <v>14</v>
      </c>
      <c r="I734" s="68" t="n">
        <v>19</v>
      </c>
      <c r="J734" s="69" t="n">
        <v>4.6</v>
      </c>
      <c r="K734" s="69" t="inlineStr">
        <is>
          <t>https://amazon.com/dp/B0BPX9VWQK</t>
        </is>
      </c>
      <c r="L734" s="114">
        <f>HYPERLINK(Table1410[[#This Row],[Column1]])</f>
        <v/>
      </c>
    </row>
    <row r="735" ht="45" customHeight="1" s="314">
      <c r="A735" s="35" t="inlineStr">
        <is>
          <t>Autel MaxiCheck Pro OBD2 Scanner ABS Scan Tool for Auto Bleeding, SRS ABS Scanner Car Diagnostic Tool with Oil Reset Airbag SAS EPB BMS Services for Specific Vehicles Up to 2015, Lifetime Free Update</t>
        </is>
      </c>
      <c r="B735" s="35" t="inlineStr">
        <is>
          <t>B07P621KR1</t>
        </is>
      </c>
      <c r="C735" s="35" t="inlineStr">
        <is>
          <t>Handheld</t>
        </is>
      </c>
      <c r="D735" s="359" t="n">
        <v>198.2378571428571</v>
      </c>
      <c r="E735" s="359" t="n">
        <v>53266.07</v>
      </c>
      <c r="F735" s="359" t="n">
        <v>2775.33</v>
      </c>
      <c r="G735" s="68" t="n">
        <v>268</v>
      </c>
      <c r="H735" s="70" t="n">
        <v>14</v>
      </c>
      <c r="I735" s="68" t="n">
        <v>1149</v>
      </c>
      <c r="J735" s="69" t="n">
        <v>4.4</v>
      </c>
      <c r="K735" s="69" t="inlineStr">
        <is>
          <t>https://amazon.com/dp/B07P621KR1</t>
        </is>
      </c>
      <c r="L735" s="114">
        <f>HYPERLINK(Table1410[[#This Row],[Column1]])</f>
        <v/>
      </c>
    </row>
    <row r="736" ht="45" customHeight="1" s="314">
      <c r="A736" s="35" t="inlineStr">
        <is>
          <t>Autel AutoLink AL619 OBD2 Scanner, ABS SRS Airbag Warning Light Scan Tool, Turn Off Check Engine Light Car Diagnostic Tool, 10 OBDII Test Modes, Live Data, Freeze Frame, 2026 Up of ML619 AL519 ML519</t>
        </is>
      </c>
      <c r="B736" s="35" t="inlineStr">
        <is>
          <t>B07CMX3L2V</t>
        </is>
      </c>
      <c r="C736" s="35" t="inlineStr">
        <is>
          <t>Handheld</t>
        </is>
      </c>
      <c r="D736" s="359" t="n">
        <v>98.44428571428573</v>
      </c>
      <c r="E736" s="359" t="n">
        <v>22401.56</v>
      </c>
      <c r="F736" s="359" t="n">
        <v>1378.22</v>
      </c>
      <c r="G736" s="68" t="n">
        <v>226</v>
      </c>
      <c r="H736" s="70" t="n">
        <v>14</v>
      </c>
      <c r="I736" s="68" t="n">
        <v>237</v>
      </c>
      <c r="J736" s="69" t="n">
        <v>4.4</v>
      </c>
      <c r="K736" s="69" t="inlineStr">
        <is>
          <t>https://amazon.com/dp/B07CMX3L2V</t>
        </is>
      </c>
      <c r="L736" s="114">
        <f>HYPERLINK(Table1410[[#This Row],[Column1]])</f>
        <v/>
      </c>
    </row>
    <row r="737" ht="60" customHeight="1" s="314">
      <c r="A737" s="35" t="inlineStr">
        <is>
          <t>2026 Autel Scanner MaxiSys MS906 MAX, 10.1" MS906MAX 2.0 Up of MS906 PRO MP900BT MS908S MK908, OE Bidirectional Diagnostic Scan Tool, CAN FD DoIP, 3000+ Active Tests, 40+ Reset, All Sys, Auto Scan 2.0</t>
        </is>
      </c>
      <c r="B737" s="35" t="inlineStr">
        <is>
          <t>B09RWVB7FJ</t>
        </is>
      </c>
      <c r="C737" s="35" t="inlineStr">
        <is>
          <t>Tablet</t>
        </is>
      </c>
      <c r="D737" s="359" t="n">
        <v>1557.75</v>
      </c>
      <c r="E737" s="359" t="n">
        <v>210330.6330769231</v>
      </c>
      <c r="F737" s="359" t="n">
        <v>21808.5</v>
      </c>
      <c r="G737" s="68" t="n">
        <v>120</v>
      </c>
      <c r="H737" s="70" t="n">
        <v>14</v>
      </c>
      <c r="I737" s="68" t="n">
        <v>39</v>
      </c>
      <c r="J737" s="69" t="n">
        <v>4.5</v>
      </c>
      <c r="K737" s="69" t="inlineStr">
        <is>
          <t>https://amazon.com/dp/B09RWVB7FJ</t>
        </is>
      </c>
      <c r="L737" s="114">
        <f>HYPERLINK(Table1410[[#This Row],[Column1]])</f>
        <v/>
      </c>
    </row>
    <row r="738" ht="45" customHeight="1" s="314">
      <c r="A738" s="35" t="inlineStr">
        <is>
          <t>Autel Original 3 Pin Male to 16 Pin Female OBDII Adapter for Honda Vehicles, OBD1 to OBD2 Connector OE-Compliant Convertor Work with OBD II Scanners OBD2 Diagnostic Scan Tool</t>
        </is>
      </c>
      <c r="B738" s="35" t="inlineStr">
        <is>
          <t>B0D632P2NR</t>
        </is>
      </c>
      <c r="C738" s="35" t="inlineStr">
        <is>
          <t>Cable/Adapter</t>
        </is>
      </c>
      <c r="D738" s="359" t="n">
        <v>20.66615384615385</v>
      </c>
      <c r="E738" s="359" t="n">
        <v>2575.973846153846</v>
      </c>
      <c r="F738" s="359" t="n">
        <v>268.66</v>
      </c>
      <c r="G738" s="68" t="n">
        <v>116</v>
      </c>
      <c r="H738" s="70" t="n">
        <v>13</v>
      </c>
      <c r="I738" s="68" t="n">
        <v>15</v>
      </c>
      <c r="J738" s="69" t="n">
        <v>4.6</v>
      </c>
      <c r="K738" s="69" t="inlineStr">
        <is>
          <t>https://amazon.com/dp/B0D632P2NR</t>
        </is>
      </c>
      <c r="L738" s="114">
        <f>HYPERLINK(Table1410[[#This Row],[Column1]])</f>
        <v/>
      </c>
    </row>
    <row r="739" ht="45" customHeight="1" s="314">
      <c r="A739" s="35" t="inlineStr">
        <is>
          <t>Autel MaxiIM IM608 PRO 2 Scanner, 2026 IM608 PRO II Automotive Diagnostic Tool with $1316 Bundle, Advanced as Elite II Pro, 3000+ Tests, 40 Reset Services Bidirectional Tool, OS10 4/128GB CAN FD DoIP</t>
        </is>
      </c>
      <c r="B739" s="35" t="inlineStr">
        <is>
          <t>B08PNTTMQ8</t>
        </is>
      </c>
      <c r="C739" s="35" t="inlineStr">
        <is>
          <t>Tablet</t>
        </is>
      </c>
      <c r="D739" s="359" t="n">
        <v>3216.47</v>
      </c>
      <c r="E739" s="359" t="n">
        <v>1050334.14</v>
      </c>
      <c r="F739" s="359" t="n">
        <v>41814.11</v>
      </c>
      <c r="G739" s="68" t="n">
        <v>320</v>
      </c>
      <c r="H739" s="70" t="n">
        <v>13</v>
      </c>
      <c r="I739" s="68" t="n">
        <v>79</v>
      </c>
      <c r="J739" s="69" t="n">
        <v>4.8</v>
      </c>
      <c r="K739" s="69" t="inlineStr">
        <is>
          <t>https://amazon.com/dp/B08PNTTMQ8</t>
        </is>
      </c>
      <c r="L739" s="114">
        <f>HYPERLINK(Table1410[[#This Row],[Column1]])</f>
        <v/>
      </c>
    </row>
    <row r="740" ht="60" customHeight="1" s="314">
      <c r="A740" s="35" t="inlineStr">
        <is>
          <t>Autel MaxiSys MSOBD2KIT Non-OBDII Adapter Kit, 9PCS Connector for Diagnose OBD 1 Vehicle, OE-Compliant Connectors, Support Autel Scanner MK808S MK900 MX900 MK808BT PRO MK900BT MP900BT MS906 PRO Ultra</t>
        </is>
      </c>
      <c r="B740" s="35" t="inlineStr">
        <is>
          <t>B09MYDX4JS</t>
        </is>
      </c>
      <c r="C740" s="35" t="inlineStr">
        <is>
          <t>Cable/Adapter</t>
        </is>
      </c>
      <c r="D740" s="359" t="n">
        <v>130.7461538461538</v>
      </c>
      <c r="E740" s="359" t="n">
        <v>18814.98</v>
      </c>
      <c r="F740" s="359" t="n">
        <v>1699.7</v>
      </c>
      <c r="G740" s="68" t="n">
        <v>148</v>
      </c>
      <c r="H740" s="70" t="n">
        <v>13</v>
      </c>
      <c r="I740" s="68" t="n">
        <v>37</v>
      </c>
      <c r="J740" s="69" t="n">
        <v>4.8</v>
      </c>
      <c r="K740" s="69" t="inlineStr">
        <is>
          <t>https://amazon.com/dp/B09MYDX4JS</t>
        </is>
      </c>
      <c r="L740" s="114">
        <f>HYPERLINK(Table1410[[#This Row],[Column1]])</f>
        <v/>
      </c>
    </row>
    <row r="741" ht="45" customHeight="1" s="314">
      <c r="A741" s="35" t="inlineStr">
        <is>
          <t>Autel Original Mazda 17 Pin Adapter, 17 Pin Male OBD1 to 16 Pin Female OBD2 Connector for Mazda Without OBDII Port, OE-Compliant Connector</t>
        </is>
      </c>
      <c r="B741" s="35" t="inlineStr">
        <is>
          <t>B0D637SWNT</t>
        </is>
      </c>
      <c r="C741" s="35" t="inlineStr">
        <is>
          <t>Cable/Adapter</t>
        </is>
      </c>
      <c r="D741" s="359" t="n">
        <v>18.72615384615385</v>
      </c>
      <c r="E741" s="359" t="n">
        <v>2287.44</v>
      </c>
      <c r="F741" s="359" t="n">
        <v>243.44</v>
      </c>
      <c r="G741" s="68" t="n">
        <v>114</v>
      </c>
      <c r="H741" s="70" t="n">
        <v>13</v>
      </c>
      <c r="I741" s="68" t="n">
        <v>13</v>
      </c>
      <c r="J741" s="69" t="n">
        <v>4.7</v>
      </c>
      <c r="K741" s="69" t="inlineStr">
        <is>
          <t>https://amazon.com/dp/B0D637SWNT</t>
        </is>
      </c>
      <c r="L741" s="114">
        <f>HYPERLINK(Table1410[[#This Row],[Column1]])</f>
        <v/>
      </c>
    </row>
    <row r="742" ht="45" customHeight="1" s="314">
      <c r="A742" s="35" t="inlineStr">
        <is>
          <t>Autel J1939 Splitter 9 Pin to OBD 2 Male Adapter Cable, Work with Truck Diagnostic Scanner, Type 2 J-1939 Diagnostic Connector, OBD to 9 Pin J1939 Y Cable, for Heavy Duty Commercial Truck ELD GPS</t>
        </is>
      </c>
      <c r="B742" s="35" t="inlineStr">
        <is>
          <t>B0DCFGPT28</t>
        </is>
      </c>
      <c r="C742" s="35" t="inlineStr">
        <is>
          <t>Cable/Adapter</t>
        </is>
      </c>
      <c r="D742" s="359" t="n">
        <v>20.55923076923077</v>
      </c>
      <c r="E742" s="359" t="n">
        <v>3963.620769230769</v>
      </c>
      <c r="F742" s="359" t="n">
        <v>267.27</v>
      </c>
      <c r="G742" s="68" t="n">
        <v>185</v>
      </c>
      <c r="H742" s="70" t="n">
        <v>13</v>
      </c>
      <c r="I742" s="68" t="n">
        <v>54</v>
      </c>
      <c r="J742" s="69" t="n">
        <v>4.5</v>
      </c>
      <c r="K742" s="69" t="inlineStr">
        <is>
          <t>https://amazon.com/dp/B0DCFGPT28</t>
        </is>
      </c>
      <c r="L742" s="114">
        <f>HYPERLINK(Table1410[[#This Row],[Column1]])</f>
        <v/>
      </c>
    </row>
    <row r="743" ht="45" customHeight="1" s="314">
      <c r="A743" s="35" t="inlineStr">
        <is>
          <t>Autel MD909 PRO MaxiDiag OBD2 Scanner, 2026 MD909PRO BT Lite of MaxiCOM MK808S MX808S MK900, CAN FD, All System Diagnostic Tool, Up of MD906 PRO MD808 MD806, 11 Service, Battery Test, Free Update, FCA</t>
        </is>
      </c>
      <c r="B743" s="35" t="inlineStr">
        <is>
          <t>B0FN44Y8ZV</t>
        </is>
      </c>
      <c r="C743" s="35" t="inlineStr">
        <is>
          <t>Tablet</t>
        </is>
      </c>
      <c r="D743" s="359" t="n">
        <v>330.0123076923077</v>
      </c>
      <c r="E743" s="359" t="n">
        <v>45869.92153846154</v>
      </c>
      <c r="F743" s="359" t="n">
        <v>4290.16</v>
      </c>
      <c r="G743" s="68" t="n">
        <v>45</v>
      </c>
      <c r="H743" s="70" t="n">
        <v>13</v>
      </c>
      <c r="I743" s="68" t="n">
        <v>2</v>
      </c>
      <c r="J743" s="69" t="n">
        <v>5</v>
      </c>
      <c r="K743" s="69" t="inlineStr">
        <is>
          <t>https://amazon.com/dp/B0FN44Y8ZV</t>
        </is>
      </c>
      <c r="L743" s="114">
        <f>HYPERLINK(Table1410[[#This Row],[Column1]])</f>
        <v/>
      </c>
    </row>
    <row r="744" ht="60" customHeight="1" s="314">
      <c r="A744" s="35" t="inlineStr">
        <is>
          <t>Autel PowerScan PS100 Power Circuit Probe Scan Tool Automotive Circuit Tester, Read AC DC Resistance 12-24V Electrical Short/Open Circuit Finder, Relay Tester with 20ft Extension Cable</t>
        </is>
      </c>
      <c r="B744" s="35" t="inlineStr">
        <is>
          <t>B0FF95D2MY</t>
        </is>
      </c>
      <c r="C744" s="35" t="inlineStr">
        <is>
          <t>Probe</t>
        </is>
      </c>
      <c r="D744" s="359" t="n">
        <v>91.61166666666666</v>
      </c>
      <c r="E744" s="359" t="n">
        <v>15280.78153846154</v>
      </c>
      <c r="F744" s="359" t="n">
        <v>1099.34</v>
      </c>
      <c r="G744" s="68" t="n">
        <v>125</v>
      </c>
      <c r="H744" s="70" t="n">
        <v>12</v>
      </c>
      <c r="I744" s="68" t="n">
        <v>6</v>
      </c>
      <c r="J744" s="69" t="n">
        <v>5</v>
      </c>
      <c r="K744" s="69" t="inlineStr">
        <is>
          <t>https://amazon.com/dp/B0FF95D2MY</t>
        </is>
      </c>
      <c r="L744" s="114">
        <f>HYPERLINK(Table1410[[#This Row],[Column1]])</f>
        <v/>
      </c>
    </row>
    <row r="745" ht="30" customHeight="1" s="314">
      <c r="A745" s="35" t="inlineStr">
        <is>
          <t>Autel MaxiPRO MP900-BT Scanner: 2026 MP900BT Same as MS906 PRO MS906 MAX w/OE C0ding, 3000+ Active Test, 40+ Reset, Bidirectional Scan Tool Up of MP900 MP900Z-BT MP808BT PRO MK900BT MK900, DOIP&amp;CAN FD</t>
        </is>
      </c>
      <c r="B745" s="35" t="inlineStr">
        <is>
          <t>B07F4H3WZC</t>
        </is>
      </c>
      <c r="C745" s="35" t="inlineStr">
        <is>
          <t>Tablet</t>
        </is>
      </c>
      <c r="D745" s="359" t="n">
        <v>911.9241666666668</v>
      </c>
      <c r="E745" s="359" t="n">
        <v>212919.81</v>
      </c>
      <c r="F745" s="359" t="n">
        <v>10943.09</v>
      </c>
      <c r="G745" s="68" t="n">
        <v>237</v>
      </c>
      <c r="H745" s="70" t="n">
        <v>12</v>
      </c>
      <c r="I745" s="68" t="n">
        <v>354</v>
      </c>
      <c r="J745" s="69" t="n">
        <v>4.6</v>
      </c>
      <c r="K745" s="69" t="inlineStr">
        <is>
          <t>https://amazon.com/dp/B07F4H3WZC</t>
        </is>
      </c>
      <c r="L745" s="114">
        <f>HYPERLINK(Table1410[[#This Row],[Column1]])</f>
        <v/>
      </c>
    </row>
    <row r="746" ht="30" customHeight="1" s="314">
      <c r="A746" s="35" t="inlineStr">
        <is>
          <t>AUTEL Original OBD2 16Pin Male Connector to Open Plug Wire, OBDII Diagnostic Extension Cable, Universal Pigtail for OBD Scanner Cord Port Replacement, USB Adapter with 16 Color for DIY, 1M, 3.3FT</t>
        </is>
      </c>
      <c r="B746" s="35" t="inlineStr">
        <is>
          <t>B0G12WSSQ6</t>
        </is>
      </c>
      <c r="C746" s="35" t="inlineStr">
        <is>
          <t>Cable/Adapter</t>
        </is>
      </c>
      <c r="D746" s="359" t="n">
        <v>17.15916666666667</v>
      </c>
      <c r="E746" s="359" t="n">
        <v>2459.187692307692</v>
      </c>
      <c r="F746" s="359" t="n">
        <v>205.91</v>
      </c>
      <c r="G746" s="68" t="n">
        <v>32</v>
      </c>
      <c r="H746" s="70" t="n">
        <v>12</v>
      </c>
      <c r="I746" s="68" t="n">
        <v>22</v>
      </c>
      <c r="J746" s="69" t="n">
        <v>4.7</v>
      </c>
      <c r="K746" s="69" t="inlineStr">
        <is>
          <t>https://amazon.com/dp/B0G12WSSQ6</t>
        </is>
      </c>
      <c r="L746" s="114">
        <f>HYPERLINK(Table1410[[#This Row],[Column1]])</f>
        <v/>
      </c>
    </row>
    <row r="747" ht="60" customHeight="1" s="314">
      <c r="A747" s="35" t="inlineStr">
        <is>
          <t>Autel MS906 MAX Bi-Directional Scanner: 2026 MS906MAX Updated of MS906 Pro MP900BT with ECU C0ding, DoIP, CANFD, FCA SGW AutAuth, All System Scan, 40+ Service 3000+ Active Tests as MS908S PRO II</t>
        </is>
      </c>
      <c r="B747" s="35" t="inlineStr">
        <is>
          <t>B0DXKBMLVB</t>
        </is>
      </c>
      <c r="C747" s="35" t="inlineStr">
        <is>
          <t>Tablet</t>
        </is>
      </c>
      <c r="D747" s="359" t="n">
        <v>1610.810833333333</v>
      </c>
      <c r="E747" s="359" t="n">
        <v>185506.8476923077</v>
      </c>
      <c r="F747" s="359" t="n">
        <v>19329.73</v>
      </c>
      <c r="G747" s="68" t="n">
        <v>108</v>
      </c>
      <c r="H747" s="70" t="n">
        <v>12</v>
      </c>
      <c r="I747" s="68" t="n">
        <v>18</v>
      </c>
      <c r="J747" s="69" t="n">
        <v>4.8</v>
      </c>
      <c r="K747" s="69" t="inlineStr">
        <is>
          <t>https://amazon.com/dp/B0DXKBMLVB</t>
        </is>
      </c>
      <c r="L747" s="114">
        <f>HYPERLINK(Table1410[[#This Row],[Column1]])</f>
        <v/>
      </c>
    </row>
    <row r="748" ht="60" customHeight="1" s="314">
      <c r="A748" s="35" t="inlineStr">
        <is>
          <t>Autel AutoLInk AL329, I/M Readiness Key, OBD2 Code Reader, Retrieves VIN CALID and CVN, Freeze Frame Data, Turns Off MIL</t>
        </is>
      </c>
      <c r="B748" s="35" t="inlineStr">
        <is>
          <t>B07TB5BT5G</t>
        </is>
      </c>
      <c r="C748" s="35" t="inlineStr">
        <is>
          <t>Handheld</t>
        </is>
      </c>
      <c r="D748" s="359" t="n">
        <v>34.74</v>
      </c>
      <c r="E748" s="359" t="n">
        <v>5381.28</v>
      </c>
      <c r="F748" s="359" t="n">
        <v>416.88</v>
      </c>
      <c r="G748" s="68" t="n">
        <v>149</v>
      </c>
      <c r="H748" s="70" t="n">
        <v>12</v>
      </c>
      <c r="I748" s="68" t="n">
        <v>81</v>
      </c>
      <c r="J748" s="69" t="n">
        <v>4.5</v>
      </c>
      <c r="K748" s="69" t="inlineStr">
        <is>
          <t>https://amazon.com/dp/B07TB5BT5G</t>
        </is>
      </c>
      <c r="L748" s="114">
        <f>HYPERLINK(Table1410[[#This Row],[Column1]])</f>
        <v/>
      </c>
    </row>
    <row r="749" ht="17" customHeight="1" s="314">
      <c r="A749" s="35" t="inlineStr">
        <is>
          <t>Autel Scanner MaxiSys Elite 2 Pro : 2026 Elite II Pro with 2-Years Update, J2534 Tool as MS Ultra Lite MS909 S2 MS919 Up of MS908S PRO II, 40+ Service, 3K+ Active Test, DOIP CANFD, Intelligent Motor</t>
        </is>
      </c>
      <c r="B749" s="35" t="inlineStr">
        <is>
          <t>B00RD6B6MU</t>
        </is>
      </c>
      <c r="C749" s="35" t="inlineStr">
        <is>
          <t>Tablet</t>
        </is>
      </c>
      <c r="D749" s="359" t="n">
        <v>2404.539166666667</v>
      </c>
      <c r="E749" s="359" t="n">
        <v>453394.9753846154</v>
      </c>
      <c r="F749" s="359" t="n">
        <v>28854.47</v>
      </c>
      <c r="G749" s="68" t="n">
        <v>177</v>
      </c>
      <c r="H749" s="70" t="n">
        <v>12</v>
      </c>
      <c r="I749" s="68" t="n">
        <v>79</v>
      </c>
      <c r="J749" s="69" t="n">
        <v>4.4</v>
      </c>
      <c r="K749" s="69" t="inlineStr">
        <is>
          <t>https://amazon.com/dp/B00RD6B6MU</t>
        </is>
      </c>
      <c r="L749" s="114">
        <f>HYPERLINK(Table1410[[#This Row],[Column1]])</f>
        <v/>
      </c>
    </row>
    <row r="750" ht="60" customHeight="1" s="314">
      <c r="A750" s="35" t="inlineStr">
        <is>
          <t>Autel Scanner MaxiSys Elite 2 PRO: 2026 2-Year Updates Elite II PRO w/ MV105S, J2534 Programming as Ultra MS909 MS919 Up of MS908S PRO II, Motor TruSpeed Repair, 40+ Resets, 3K Active Test, DOIP CANFD</t>
        </is>
      </c>
      <c r="B750" s="35" t="inlineStr">
        <is>
          <t>B0GCJVNQY1</t>
        </is>
      </c>
      <c r="C750" s="35" t="inlineStr">
        <is>
          <t>Tablet</t>
        </is>
      </c>
      <c r="D750" s="359" t="n">
        <v>2579.396666666667</v>
      </c>
      <c r="E750" s="359" t="n">
        <v>332215.3761538462</v>
      </c>
      <c r="F750" s="359" t="n">
        <v>30952.76</v>
      </c>
      <c r="G750" s="68" t="n">
        <v>30</v>
      </c>
      <c r="H750" s="70" t="n">
        <v>12</v>
      </c>
      <c r="I750" s="68" t="n">
        <v>1</v>
      </c>
      <c r="J750" s="69" t="n">
        <v>5</v>
      </c>
      <c r="K750" s="69" t="inlineStr">
        <is>
          <t>https://amazon.com/dp/B0GCJVNQY1</t>
        </is>
      </c>
      <c r="L750" s="114">
        <f>HYPERLINK(Table1410[[#This Row],[Column1]])</f>
        <v/>
      </c>
    </row>
    <row r="751" ht="60" customHeight="1" s="314">
      <c r="A751" s="35" t="inlineStr">
        <is>
          <t>Autel AL549 OBD2 Scanner Code Reader with ABS Diagnostic &amp; Battery Test, Enhanced Check and Reset Engine Fault Code, Live Data, Freeze Frame, CAN Car Diagnostic Scan Tool for All OBDII Car After 1996</t>
        </is>
      </c>
      <c r="B751" s="35" t="inlineStr">
        <is>
          <t>B0D93GFSK1</t>
        </is>
      </c>
      <c r="C751" s="35" t="inlineStr">
        <is>
          <t>Handheld</t>
        </is>
      </c>
      <c r="D751" s="359" t="n">
        <v>69.765</v>
      </c>
      <c r="E751" s="359" t="n">
        <v>20059.80153846154</v>
      </c>
      <c r="F751" s="359" t="n">
        <v>837.1799999999999</v>
      </c>
      <c r="G751" s="68" t="n">
        <v>281</v>
      </c>
      <c r="H751" s="70" t="n">
        <v>12</v>
      </c>
      <c r="I751" s="68" t="n">
        <v>26</v>
      </c>
      <c r="J751" s="69" t="n">
        <v>4.6</v>
      </c>
      <c r="K751" s="69" t="inlineStr">
        <is>
          <t>https://amazon.com/dp/B0D93GFSK1</t>
        </is>
      </c>
      <c r="L751" s="114">
        <f>HYPERLINK(Table1410[[#This Row],[Column1]])</f>
        <v/>
      </c>
    </row>
    <row r="752" ht="30" customHeight="1" s="314">
      <c r="A752" s="35" t="inlineStr">
        <is>
          <t>Autel MaxiCOM Ultra Lite Intelligent Scanner: 2 Years Free Update, 2026 Ultra Lite Up of Elite II Pro MS909 MS919, Same as MaxiSys Ultra, Motor TruSpeed Repair, Topology 2.0, 40+ Services, DOIP CANFD</t>
        </is>
      </c>
      <c r="B752" s="35" t="inlineStr">
        <is>
          <t>B07MNY9VW3</t>
        </is>
      </c>
      <c r="C752" s="35" t="inlineStr">
        <is>
          <t>Tablet</t>
        </is>
      </c>
      <c r="D752" s="359" t="n">
        <v>2900.336666666667</v>
      </c>
      <c r="E752" s="359" t="n">
        <v>484350.91</v>
      </c>
      <c r="F752" s="359" t="n">
        <v>34804.04</v>
      </c>
      <c r="G752" s="68" t="n">
        <v>163</v>
      </c>
      <c r="H752" s="70" t="n">
        <v>12</v>
      </c>
      <c r="I752" s="68" t="n">
        <v>47</v>
      </c>
      <c r="J752" s="69" t="n">
        <v>4.1</v>
      </c>
      <c r="K752" s="69" t="inlineStr">
        <is>
          <t>https://amazon.com/dp/B07MNY9VW3</t>
        </is>
      </c>
      <c r="L752" s="114">
        <f>HYPERLINK(Table1410[[#This Row],[Column1]])</f>
        <v/>
      </c>
    </row>
    <row r="753" ht="60" customHeight="1" s="314">
      <c r="A753" s="35" t="inlineStr">
        <is>
          <t>Autel MaxiVCI Mini Bluetooth, Vehicle Communication Wireless Interface, Diagnostic Connector Compatible for MK808BT MK808TS MX808TS MP808TS TS608</t>
        </is>
      </c>
      <c r="B753" s="35" t="inlineStr">
        <is>
          <t>B09Z24BVGP</t>
        </is>
      </c>
      <c r="C753" s="35" t="inlineStr">
        <is>
          <t>Dongle</t>
        </is>
      </c>
      <c r="D753" s="359" t="n">
        <v>122.9825</v>
      </c>
      <c r="E753" s="359" t="n">
        <v>14379.75</v>
      </c>
      <c r="F753" s="359" t="n">
        <v>1475.79</v>
      </c>
      <c r="G753" s="68" t="n">
        <v>123</v>
      </c>
      <c r="H753" s="70" t="n">
        <v>12</v>
      </c>
      <c r="I753" s="68" t="n">
        <v>17</v>
      </c>
      <c r="J753" s="69" t="n">
        <v>4.6</v>
      </c>
      <c r="K753" s="69" t="inlineStr">
        <is>
          <t>https://amazon.com/dp/B09Z24BVGP</t>
        </is>
      </c>
      <c r="L753" s="114">
        <f>HYPERLINK(Table1410[[#This Row],[Column1]])</f>
        <v/>
      </c>
    </row>
    <row r="754" ht="45" customHeight="1" s="314">
      <c r="A754" s="35" t="inlineStr">
        <is>
          <t>Autel MaxiPRO MP900TS Scanner, 2026 8IN MP900-TS up of MS906 PRO MP900-BT MP900 MS906TS MK900TS, V2.0 DOIP CANFD, Full TPMS as MS906 Pro-TS, OE C0ding, 40+ Services, 3K+ Bidirectional Scan Tool, OS 11</t>
        </is>
      </c>
      <c r="B754" s="35" t="inlineStr">
        <is>
          <t>B08K72QDGQ</t>
        </is>
      </c>
      <c r="C754" s="35" t="inlineStr">
        <is>
          <t>Tablet</t>
        </is>
      </c>
      <c r="D754" s="359" t="n">
        <v>1064.168181818182</v>
      </c>
      <c r="E754" s="359" t="n">
        <v>182106.82</v>
      </c>
      <c r="F754" s="359" t="n">
        <v>11705.85</v>
      </c>
      <c r="G754" s="68" t="n">
        <v>166</v>
      </c>
      <c r="H754" s="70" t="n">
        <v>11</v>
      </c>
      <c r="I754" s="68" t="n">
        <v>78</v>
      </c>
      <c r="J754" s="69" t="n">
        <v>4.5</v>
      </c>
      <c r="K754" s="69" t="inlineStr">
        <is>
          <t>https://amazon.com/dp/B08K72QDGQ</t>
        </is>
      </c>
      <c r="L754" s="114">
        <f>HYPERLINK(Table1410[[#This Row],[Column1]])</f>
        <v/>
      </c>
    </row>
    <row r="755" ht="60" customHeight="1" s="314">
      <c r="A755" s="35" t="inlineStr">
        <is>
          <t>Autel AutoLink AL529HD with Screen Wiper OBD2 Scanner Heavy Duty Truck Code Reader AutoVIN Read/Erase DTCs O2 Monitor Test Check Live Data Advanced AL519/AL529 Compatible SAE-J1939/J1708</t>
        </is>
      </c>
      <c r="B755" s="35" t="inlineStr">
        <is>
          <t>B094VX7S63</t>
        </is>
      </c>
      <c r="C755" s="35" t="inlineStr">
        <is>
          <t>Handheld</t>
        </is>
      </c>
      <c r="D755" s="359" t="n">
        <v>115.0827272727273</v>
      </c>
      <c r="E755" s="359" t="n">
        <v>40664.52461538462</v>
      </c>
      <c r="F755" s="359" t="n">
        <v>1265.91</v>
      </c>
      <c r="G755" s="68" t="n">
        <v>319</v>
      </c>
      <c r="H755" s="70" t="n">
        <v>11</v>
      </c>
      <c r="I755" s="68" t="n">
        <v>31</v>
      </c>
      <c r="J755" s="69" t="n">
        <v>4.2</v>
      </c>
      <c r="K755" s="69" t="inlineStr">
        <is>
          <t>https://amazon.com/dp/B094VX7S63</t>
        </is>
      </c>
      <c r="L755" s="114">
        <f>HYPERLINK(Table1410[[#This Row],[Column1]])</f>
        <v/>
      </c>
    </row>
    <row r="756" ht="60" customHeight="1" s="314">
      <c r="A756" s="35" t="inlineStr">
        <is>
          <t>2026 Autel Original Green Type 2 J1939 Male to 16Pin Female OBD2 Adapter, 16Pin to 9Pin J1939 OBD Port, 30CM Extension Cable</t>
        </is>
      </c>
      <c r="B756" s="35" t="inlineStr">
        <is>
          <t>B0F6752Z4V</t>
        </is>
      </c>
      <c r="C756" s="35" t="inlineStr">
        <is>
          <t>Cable/Adapter</t>
        </is>
      </c>
      <c r="D756" s="359" t="n">
        <v>12.01545454545454</v>
      </c>
      <c r="E756" s="359" t="n">
        <v>1615.566153846154</v>
      </c>
      <c r="F756" s="359" t="n">
        <v>132.17</v>
      </c>
      <c r="G756" s="68" t="n">
        <v>94</v>
      </c>
      <c r="H756" s="70" t="n">
        <v>11</v>
      </c>
      <c r="I756" s="68" t="n">
        <v>10</v>
      </c>
      <c r="J756" s="69" t="n">
        <v>4.5</v>
      </c>
      <c r="K756" s="69" t="inlineStr">
        <is>
          <t>https://amazon.com/dp/B0F6752Z4V</t>
        </is>
      </c>
      <c r="L756" s="114">
        <f>HYPERLINK(Table1410[[#This Row],[Column1]])</f>
        <v/>
      </c>
    </row>
    <row r="757" ht="30" customHeight="1" s="314">
      <c r="A757" s="35" t="inlineStr">
        <is>
          <t>Autel Scanner MaxiPRO MP900TS, 2026 8in MP900-TS Top TPMS as MS906 Pro-TS, Up of MaxiSYS MS906 PRO MS906TS MK900TS, Advanced Function 40+ Service, Bidirectional Scan Tool, Aut0 Scan 2.0 CAN FD&amp;DOIP</t>
        </is>
      </c>
      <c r="B757" s="35" t="inlineStr">
        <is>
          <t>B08P1RBNHY</t>
        </is>
      </c>
      <c r="C757" s="35" t="inlineStr">
        <is>
          <t>Tablet</t>
        </is>
      </c>
      <c r="D757" s="359" t="n">
        <v>1082.259090909091</v>
      </c>
      <c r="E757" s="359" t="n">
        <v>109611.06</v>
      </c>
      <c r="F757" s="359" t="n">
        <v>11904.85</v>
      </c>
      <c r="G757" s="68" t="n">
        <v>99</v>
      </c>
      <c r="H757" s="70" t="n">
        <v>11</v>
      </c>
      <c r="I757" s="68" t="n">
        <v>113</v>
      </c>
      <c r="J757" s="69" t="n">
        <v>4.4</v>
      </c>
      <c r="K757" s="69" t="inlineStr">
        <is>
          <t>https://amazon.com/dp/B08P1RBNHY</t>
        </is>
      </c>
      <c r="L757" s="114">
        <f>HYPERLINK(Table1410[[#This Row],[Column1]])</f>
        <v/>
      </c>
    </row>
    <row r="758" ht="60" customHeight="1" s="314">
      <c r="A758" s="35" t="inlineStr">
        <is>
          <t>Autel MaxiDiag MD909 PRO All-Systems OBD2 Diagnostic Scanner, 11 Services, CAN FD &amp; DoIP, Upgraded from MD808PRO/MD906, FCA AutoAuth, Lifetime Free Updates, 1996+ US, Asian &amp; European Vehicles</t>
        </is>
      </c>
      <c r="B758" s="35" t="inlineStr">
        <is>
          <t>B0FFH14CPB</t>
        </is>
      </c>
      <c r="C758" s="35" t="inlineStr">
        <is>
          <t>Tablet</t>
        </is>
      </c>
      <c r="D758" s="359" t="n">
        <v>326.9545454545454</v>
      </c>
      <c r="E758" s="359" t="n">
        <v>75527.67461538462</v>
      </c>
      <c r="F758" s="359" t="n">
        <v>3596.5</v>
      </c>
      <c r="G758" s="68" t="n">
        <v>186</v>
      </c>
      <c r="H758" s="70" t="n">
        <v>11</v>
      </c>
      <c r="I758" s="68" t="n">
        <v>13</v>
      </c>
      <c r="J758" s="69" t="n">
        <v>4.3</v>
      </c>
      <c r="K758" s="69" t="inlineStr">
        <is>
          <t>https://amazon.com/dp/B0FFH14CPB</t>
        </is>
      </c>
      <c r="L758" s="114">
        <f>HYPERLINK(Table1410[[#This Row],[Column1]])</f>
        <v/>
      </c>
    </row>
    <row r="759" ht="45" customHeight="1" s="314">
      <c r="A759" s="35" t="inlineStr">
        <is>
          <t>Autel Original OBD2 Male to Green J1939 Type 2 Female Adapter, 16pin OBDII to 9pin for Truck Freightliner Code Reader, ELD Tracker, Diagnostic Scanner Device, Plug and Play with High Speed</t>
        </is>
      </c>
      <c r="B759" s="35" t="inlineStr">
        <is>
          <t>B0G41Y52RT</t>
        </is>
      </c>
      <c r="C759" s="35" t="inlineStr">
        <is>
          <t>Cable/Adapter</t>
        </is>
      </c>
      <c r="D759" s="359" t="n">
        <v>15.76727272727273</v>
      </c>
      <c r="E759" s="359" t="n">
        <v>1989.594615384616</v>
      </c>
      <c r="F759" s="359" t="n">
        <v>173.44</v>
      </c>
      <c r="G759" s="68" t="n">
        <v>22</v>
      </c>
      <c r="H759" s="70" t="n">
        <v>11</v>
      </c>
      <c r="I759" s="68" t="n">
        <v>2</v>
      </c>
      <c r="J759" s="69" t="n">
        <v>5</v>
      </c>
      <c r="K759" s="69" t="inlineStr">
        <is>
          <t>https://amazon.com/dp/B0G41Y52RT</t>
        </is>
      </c>
      <c r="L759" s="114">
        <f>HYPERLINK(Table1410[[#This Row],[Column1]])</f>
        <v/>
      </c>
    </row>
    <row r="760" ht="60" customHeight="1" s="314">
      <c r="A760" s="35" t="inlineStr">
        <is>
          <t>Autel OBD2 Scanner Autel MaxiAP AP2500 Bluetooth Code Reader Oil Reset TPMS BMS Reset All-System Code Read/Clear 45+ Car Brands Work with Android/iOS Upgrade AL329 AP200 AP200H</t>
        </is>
      </c>
      <c r="B760" s="35" t="inlineStr">
        <is>
          <t>B0CWV32ZX4</t>
        </is>
      </c>
      <c r="C760" s="35" t="inlineStr">
        <is>
          <t>Dongle</t>
        </is>
      </c>
      <c r="D760" s="359" t="n">
        <v>58.02272727272727</v>
      </c>
      <c r="E760" s="359" t="n">
        <v>2315.61</v>
      </c>
      <c r="F760" s="359" t="n">
        <v>638.25</v>
      </c>
      <c r="G760" s="68" t="n">
        <v>39</v>
      </c>
      <c r="H760" s="70" t="n">
        <v>11</v>
      </c>
      <c r="I760" s="68" t="n">
        <v>10</v>
      </c>
      <c r="J760" s="69" t="n">
        <v>3.6</v>
      </c>
      <c r="K760" s="69" t="inlineStr">
        <is>
          <t>https://amazon.com/dp/B0CWV32ZX4</t>
        </is>
      </c>
      <c r="L760" s="114">
        <f>HYPERLINK(Table1410[[#This Row],[Column1]])</f>
        <v/>
      </c>
    </row>
    <row r="761" ht="45" customHeight="1" s="314">
      <c r="A761" s="35" t="inlineStr">
        <is>
          <t>Autel CAN FD Adapter for GM MY2020 Vehicles Accessories, Mini VCI J2534, Adaptador CAN FD, Compatible with Autel MaxiSys IM608, IM508, MX808, MS906, MS908, Ultra Series</t>
        </is>
      </c>
      <c r="B761" s="35" t="inlineStr">
        <is>
          <t>B0D5XYZTHW</t>
        </is>
      </c>
      <c r="C761" s="35" t="inlineStr">
        <is>
          <t>Cable/Adapter</t>
        </is>
      </c>
      <c r="D761" s="359" t="n">
        <v>115.05</v>
      </c>
      <c r="E761" s="359" t="n">
        <v>18093.99</v>
      </c>
      <c r="F761" s="359" t="n">
        <v>1265.55</v>
      </c>
      <c r="G761" s="68" t="n">
        <v>160</v>
      </c>
      <c r="H761" s="70" t="n">
        <v>11</v>
      </c>
      <c r="I761" s="68" t="n">
        <v>8</v>
      </c>
      <c r="J761" s="69" t="n">
        <v>4.8</v>
      </c>
      <c r="K761" s="69" t="inlineStr">
        <is>
          <t>https://amazon.com/dp/B0D5XYZTHW</t>
        </is>
      </c>
      <c r="L761" s="114">
        <f>HYPERLINK(Table1410[[#This Row],[Column1]])</f>
        <v/>
      </c>
    </row>
    <row r="762" ht="45" customHeight="1" s="314">
      <c r="A762" s="35" t="inlineStr">
        <is>
          <t>Autel Scanner MaxiSYS MS906 PRO, 2026 MS906PRO Same as MS906MAX w/ECU C0ding, CAN FD DoIP, V2.0 of MP900BT MP900 MS906BT Elite 2, Bidirectional Diagnostic Scan Tool, 36+ Service, 3000+ Test, FCA SGW</t>
        </is>
      </c>
      <c r="B762" s="35" t="inlineStr">
        <is>
          <t>B09QX9KV2X</t>
        </is>
      </c>
      <c r="C762" s="35" t="inlineStr">
        <is>
          <t>Tablet</t>
        </is>
      </c>
      <c r="D762" s="359" t="n">
        <v>1402.304545454545</v>
      </c>
      <c r="E762" s="359" t="n">
        <v>315349.06</v>
      </c>
      <c r="F762" s="359" t="n">
        <v>15425.35</v>
      </c>
      <c r="G762" s="68" t="n">
        <v>228</v>
      </c>
      <c r="H762" s="70" t="n">
        <v>11</v>
      </c>
      <c r="I762" s="68" t="n">
        <v>73</v>
      </c>
      <c r="J762" s="69" t="n">
        <v>4.5</v>
      </c>
      <c r="K762" s="69" t="inlineStr">
        <is>
          <t>https://amazon.com/dp/B09QX9KV2X</t>
        </is>
      </c>
      <c r="L762" s="114">
        <f>HYPERLINK(Table1410[[#This Row],[Column1]])</f>
        <v/>
      </c>
    </row>
    <row r="763" ht="45" customHeight="1" s="314">
      <c r="A763" s="35" t="inlineStr">
        <is>
          <t>2026 Autel MaxiIM XP400 PRO Bi-Directional K** Progra-mer I-O Tool, 3000+ Chip Re-d/Wr-te/Learn/F-OB, EEPROM-Data, Work with Autel Scanner IM508 IM608 IM508S IM608 Pro 2 IM608S II</t>
        </is>
      </c>
      <c r="B763" s="35" t="inlineStr">
        <is>
          <t>B0DFWNZPQG</t>
        </is>
      </c>
      <c r="C763" s="35" t="inlineStr">
        <is>
          <t>Other</t>
        </is>
      </c>
      <c r="D763" s="359" t="n">
        <v>499.887</v>
      </c>
      <c r="E763" s="359" t="n">
        <v>29544.32</v>
      </c>
      <c r="F763" s="359" t="n">
        <v>4998.87</v>
      </c>
      <c r="G763" s="68" t="n">
        <v>59</v>
      </c>
      <c r="H763" s="70" t="n">
        <v>10</v>
      </c>
      <c r="I763" s="68" t="n">
        <v>34</v>
      </c>
      <c r="J763" s="69" t="n">
        <v>4.3</v>
      </c>
      <c r="K763" s="69" t="inlineStr">
        <is>
          <t>https://amazon.com/dp/B0DFWNZPQG</t>
        </is>
      </c>
      <c r="L763" s="114">
        <f>HYPERLINK(Table1410[[#This Row],[Column1]])</f>
        <v/>
      </c>
    </row>
    <row r="764" ht="45" customHeight="1" s="314">
      <c r="A764" s="35" t="inlineStr">
        <is>
          <t>Autel Original Green Type 2 J1939 Male to 16pin Female OBD2 Adapter Cable, for Heavy Duty Trucks Scanner and Commercial Vehicles with 9pin Diagnostic Connector</t>
        </is>
      </c>
      <c r="B764" s="35" t="inlineStr">
        <is>
          <t>B0G4CZDCPY</t>
        </is>
      </c>
      <c r="C764" s="35" t="inlineStr">
        <is>
          <t>Cable/Adapter</t>
        </is>
      </c>
      <c r="D764" s="359" t="n">
        <v>16.704</v>
      </c>
      <c r="E764" s="359" t="n">
        <v>2142.557692307693</v>
      </c>
      <c r="F764" s="359" t="n">
        <v>167.04</v>
      </c>
      <c r="G764" s="68" t="n">
        <v>33</v>
      </c>
      <c r="H764" s="70" t="n">
        <v>10</v>
      </c>
      <c r="I764" s="68" t="n">
        <v>2</v>
      </c>
      <c r="J764" s="69" t="n">
        <v>5</v>
      </c>
      <c r="K764" s="69" t="inlineStr">
        <is>
          <t>https://amazon.com/dp/B0G4CZDCPY</t>
        </is>
      </c>
      <c r="L764" s="114">
        <f>HYPERLINK(Table1410[[#This Row],[Column1]])</f>
        <v/>
      </c>
    </row>
    <row r="765" ht="45" customHeight="1" s="314">
      <c r="A765" s="35" t="inlineStr">
        <is>
          <t>Autel MaxiSys MS906 Pro2 TS Scanner Full TPMS Functionality 2.0 Up of MS906 PRO TS MK906 PRO-TS MP900TS MS906PRO MS906MAX OE-Level All Systems Diagnostics &amp; Services Same as MK906S PRO2-TS</t>
        </is>
      </c>
      <c r="B765" s="35" t="inlineStr">
        <is>
          <t>B0FPKHZ6ML</t>
        </is>
      </c>
      <c r="C765" s="35" t="inlineStr">
        <is>
          <t>Tablet</t>
        </is>
      </c>
      <c r="D765" s="359" t="n">
        <v>1718.025</v>
      </c>
      <c r="E765" s="359" t="n">
        <v>183142.6738461539</v>
      </c>
      <c r="F765" s="359" t="n">
        <v>17180.25</v>
      </c>
      <c r="G765" s="68" t="n">
        <v>50</v>
      </c>
      <c r="H765" s="70" t="n">
        <v>10</v>
      </c>
      <c r="I765" s="68" t="n">
        <v>3</v>
      </c>
      <c r="J765" s="69" t="n">
        <v>5</v>
      </c>
      <c r="K765" s="69" t="inlineStr">
        <is>
          <t>https://amazon.com/dp/B0FPKHZ6ML</t>
        </is>
      </c>
      <c r="L765" s="114">
        <f>HYPERLINK(Table1410[[#This Row],[Column1]])</f>
        <v/>
      </c>
    </row>
    <row r="766" ht="45" customHeight="1" s="314">
      <c r="A766" s="35" t="inlineStr">
        <is>
          <t>Autel MaxiIM KM100 (X) OBD2 Scanner, 2026 Car Scan Tool, Lifetime Free Updates, VCI V200 Wireless BT Diagnostic, Auto VIN, 2GB &amp; 64GB, OS 9.0, for Home Mechanics &amp; DIYers, Lite of IM508S IM608 PRO 2</t>
        </is>
      </c>
      <c r="B766" s="35" t="inlineStr">
        <is>
          <t>B0FNN4RL6L</t>
        </is>
      </c>
      <c r="C766" s="35" t="inlineStr">
        <is>
          <t>Dongle</t>
        </is>
      </c>
      <c r="D766" s="359" t="n">
        <v>533.927</v>
      </c>
      <c r="E766" s="359" t="n">
        <v>57196.35153846155</v>
      </c>
      <c r="F766" s="359" t="n">
        <v>5339.27</v>
      </c>
      <c r="G766" s="68" t="n">
        <v>53</v>
      </c>
      <c r="H766" s="70" t="n">
        <v>10</v>
      </c>
      <c r="I766" s="68" t="n">
        <v>9</v>
      </c>
      <c r="J766" s="69" t="n">
        <v>4.4</v>
      </c>
      <c r="K766" s="69" t="inlineStr">
        <is>
          <t>https://amazon.com/dp/B0FNN4RL6L</t>
        </is>
      </c>
      <c r="L766" s="114">
        <f>HYPERLINK(Table1410[[#This Row],[Column1]])</f>
        <v/>
      </c>
    </row>
    <row r="767" ht="45" customHeight="1" s="314">
      <c r="A767" s="35" t="inlineStr">
        <is>
          <t>Autel AutoLink AL529HD Heavy Duty OBD2 Scanner, Code Reader, Retrieve Code VIN, OBDII Monitor Test, Review Read Erase Data View Live Data Freeze Frame Data Lite of MS909 MS919 MS Ultra</t>
        </is>
      </c>
      <c r="B767" s="35" t="inlineStr">
        <is>
          <t>B0BHNW31B6</t>
        </is>
      </c>
      <c r="C767" s="35" t="inlineStr">
        <is>
          <t>Handheld</t>
        </is>
      </c>
      <c r="D767" s="359" t="n">
        <v>116.448</v>
      </c>
      <c r="E767" s="359" t="n">
        <v>16069.13</v>
      </c>
      <c r="F767" s="359" t="n">
        <v>1164.48</v>
      </c>
      <c r="G767" s="68" t="n">
        <v>133</v>
      </c>
      <c r="H767" s="70" t="n">
        <v>10</v>
      </c>
      <c r="I767" s="68" t="n">
        <v>8</v>
      </c>
      <c r="J767" s="69" t="n">
        <v>4.4</v>
      </c>
      <c r="K767" s="69" t="inlineStr">
        <is>
          <t>https://amazon.com/dp/B0BHNW31B6</t>
        </is>
      </c>
      <c r="L767" s="114">
        <f>HYPERLINK(Table1410[[#This Row],[Column1]])</f>
        <v/>
      </c>
    </row>
    <row r="768" ht="45" customHeight="1" s="314">
      <c r="A768" s="35" t="inlineStr">
        <is>
          <t>Autel AT100 Multi-Application Transponder Super Chip Used with XP200, XP400, XP400PRO for Vehicles for ID11/12/13/46/47/48/49/4A/4C/5C/4D/64/8A/8C (Pack of 10)</t>
        </is>
      </c>
      <c r="B768" s="35" t="inlineStr">
        <is>
          <t>B0FD36H36L</t>
        </is>
      </c>
      <c r="C768" s="35" t="inlineStr">
        <is>
          <t>Key</t>
        </is>
      </c>
      <c r="D768" s="359" t="n">
        <v>44.462</v>
      </c>
      <c r="E768" s="359" t="n">
        <v>4835.962307692308</v>
      </c>
      <c r="F768" s="359" t="n">
        <v>444.62</v>
      </c>
      <c r="G768" s="68" t="n">
        <v>57</v>
      </c>
      <c r="H768" s="70" t="n">
        <v>10</v>
      </c>
      <c r="I768" s="68" t="n">
        <v>3</v>
      </c>
      <c r="J768" s="69" t="n">
        <v>5</v>
      </c>
      <c r="K768" s="69" t="inlineStr">
        <is>
          <t>https://amazon.com/dp/B0FD36H36L</t>
        </is>
      </c>
      <c r="L768" s="114">
        <f>HYPERLINK(Table1410[[#This Row],[Column1]])</f>
        <v/>
      </c>
    </row>
    <row r="769" ht="45" customHeight="1" s="314">
      <c r="A769" s="35" t="inlineStr">
        <is>
          <t>Autel MaxiIM IM608S II Scanner: 2026 Global Ver. of IM608 PRO 2 with $1316 Full KIT, Bidirectional Scan Tool, ECU Function as Elite II Pro, 40+ Services, 3K+ Tests, OE Full Sys, CANFD DoIP, OS10, FCA</t>
        </is>
      </c>
      <c r="B769" s="35" t="inlineStr">
        <is>
          <t>B089GGB6TV</t>
        </is>
      </c>
      <c r="C769" s="35" t="inlineStr">
        <is>
          <t>Tablet</t>
        </is>
      </c>
      <c r="D769" s="359" t="n">
        <v>3378.005</v>
      </c>
      <c r="E769" s="359" t="n">
        <v>278937.57</v>
      </c>
      <c r="F769" s="359" t="n">
        <v>33780.05</v>
      </c>
      <c r="G769" s="68" t="n">
        <v>85</v>
      </c>
      <c r="H769" s="70" t="n">
        <v>10</v>
      </c>
      <c r="I769" s="68" t="n">
        <v>42</v>
      </c>
      <c r="J769" s="69" t="n">
        <v>4.5</v>
      </c>
      <c r="K769" s="69" t="inlineStr">
        <is>
          <t>https://amazon.com/dp/B089GGB6TV</t>
        </is>
      </c>
      <c r="L769" s="114">
        <f>HYPERLINK(Table1410[[#This Row],[Column1]])</f>
        <v/>
      </c>
    </row>
    <row r="770" ht="45" customHeight="1" s="314">
      <c r="A770" s="35" t="inlineStr">
        <is>
          <t>Autel MaxiVCI V150 Bluetooth Vehicle Communication Interface, VCI150 OBD Scanner, Comprehensive Diagnostic, Work with TS900, MP900-BT, MP900Z-BT, DS900TS, DS900BT, MP900-TS</t>
        </is>
      </c>
      <c r="B770" s="35" t="inlineStr">
        <is>
          <t>B0DJQQMHNR</t>
        </is>
      </c>
      <c r="C770" s="35" t="inlineStr">
        <is>
          <t>Dongle</t>
        </is>
      </c>
      <c r="D770" s="359" t="n">
        <v>189.215</v>
      </c>
      <c r="E770" s="359" t="n">
        <v>20109.73</v>
      </c>
      <c r="F770" s="359" t="n">
        <v>1892.15</v>
      </c>
      <c r="G770" s="68" t="n">
        <v>101</v>
      </c>
      <c r="H770" s="70" t="n">
        <v>10</v>
      </c>
      <c r="I770" s="68" t="n">
        <v>5</v>
      </c>
      <c r="J770" s="69" t="n">
        <v>5</v>
      </c>
      <c r="K770" s="69" t="inlineStr">
        <is>
          <t>https://amazon.com/dp/B0DJQQMHNR</t>
        </is>
      </c>
      <c r="L770" s="114">
        <f>HYPERLINK(Table1410[[#This Row],[Column1]])</f>
        <v/>
      </c>
    </row>
    <row r="771" ht="45" customHeight="1" s="314">
      <c r="A771" s="35" t="inlineStr">
        <is>
          <t>Autel OBD2 Scanner AutoLink AL549 Code Reader with AutoVin Diagnostic Tool Color-Coded Fault and IM Readiness Universal Car Battery Test Enhanced PCM and ABS Coverage Upgrade Ver. of Autel AL519</t>
        </is>
      </c>
      <c r="B771" s="35" t="inlineStr">
        <is>
          <t>B0D93BTQMG</t>
        </is>
      </c>
      <c r="C771" s="35" t="inlineStr">
        <is>
          <t>Handheld</t>
        </is>
      </c>
      <c r="D771" s="359" t="n">
        <v>71.675</v>
      </c>
      <c r="E771" s="359" t="n">
        <v>7990.19</v>
      </c>
      <c r="F771" s="359" t="n">
        <v>716.75</v>
      </c>
      <c r="G771" s="68" t="n">
        <v>117</v>
      </c>
      <c r="H771" s="70" t="n">
        <v>10</v>
      </c>
      <c r="I771" s="68" t="n">
        <v>12</v>
      </c>
      <c r="J771" s="69" t="n">
        <v>4.8</v>
      </c>
      <c r="K771" s="69" t="inlineStr">
        <is>
          <t>https://amazon.com/dp/B0D93BTQMG</t>
        </is>
      </c>
      <c r="L771" s="114">
        <f>HYPERLINK(Table1410[[#This Row],[Column1]])</f>
        <v/>
      </c>
    </row>
    <row r="772" ht="60" customHeight="1" s="314">
      <c r="A772" s="35" t="inlineStr">
        <is>
          <t>Autel Scanner MaxiCOM MK808Z-BT: Same As MK808BT Pro, Android 11 Bidirectional Scan Tool with 28+ Services, MK808S &amp; MX808S &amp; MK808 Upgraded, Bluetooth OBD2 Scanner Support BT506 &amp; FCA AutoAuth</t>
        </is>
      </c>
      <c r="B772" s="35" t="inlineStr">
        <is>
          <t>B08DG5SL9S</t>
        </is>
      </c>
      <c r="C772" s="35" t="inlineStr">
        <is>
          <t>Tablet</t>
        </is>
      </c>
      <c r="D772" s="359" t="n">
        <v>480.023</v>
      </c>
      <c r="E772" s="359" t="n">
        <v>47106</v>
      </c>
      <c r="F772" s="359" t="n">
        <v>4800.23</v>
      </c>
      <c r="G772" s="68" t="n">
        <v>91</v>
      </c>
      <c r="H772" s="70" t="n">
        <v>10</v>
      </c>
      <c r="I772" s="68" t="n">
        <v>133</v>
      </c>
      <c r="J772" s="69" t="n">
        <v>4.4</v>
      </c>
      <c r="K772" s="69" t="inlineStr">
        <is>
          <t>https://amazon.com/dp/B08DG5SL9S</t>
        </is>
      </c>
      <c r="L772" s="114">
        <f>HYPERLINK(Table1410[[#This Row],[Column1]])</f>
        <v/>
      </c>
    </row>
    <row r="773" ht="60" customHeight="1" s="314">
      <c r="A773" s="35" t="inlineStr">
        <is>
          <t>Autel Scanner MaxiSYS MS908S PRO II 2026: J2534 ECU Pr0gramming C0ding PMI As MSUltra MS919 Elite II PRO w/AutoScan 2.0, US Ver. of MK908 Pro II, Up of MS906 MAX, 4000+ Test, 38+ Reset, 8-Core 4/128G</t>
        </is>
      </c>
      <c r="B773" s="35" t="inlineStr">
        <is>
          <t>B088FRCPTB</t>
        </is>
      </c>
      <c r="C773" s="35" t="inlineStr">
        <is>
          <t>Tablet</t>
        </is>
      </c>
      <c r="D773" s="359" t="n">
        <v>1871.002</v>
      </c>
      <c r="E773" s="359" t="n">
        <v>378262.1899999999</v>
      </c>
      <c r="F773" s="359" t="n">
        <v>18710.02</v>
      </c>
      <c r="G773" s="68" t="n">
        <v>194</v>
      </c>
      <c r="H773" s="70" t="n">
        <v>10</v>
      </c>
      <c r="I773" s="68" t="n">
        <v>106</v>
      </c>
      <c r="J773" s="69" t="n">
        <v>4.6</v>
      </c>
      <c r="K773" s="69" t="inlineStr">
        <is>
          <t>https://amazon.com/dp/B088FRCPTB</t>
        </is>
      </c>
      <c r="L773" s="114">
        <f>HYPERLINK(Table1410[[#This Row],[Column1]])</f>
        <v/>
      </c>
    </row>
    <row r="774" ht="45" customHeight="1" s="314">
      <c r="A774" s="35" t="inlineStr">
        <is>
          <t>Autel Scanner MaxiSys MS909 Intelligent Scan Tool, 2026 Motor TruSpeed Same as MSUltra Ultra S2 MS919, TSB, Topology 2.0, Up of Elite 2 PRO MS908S PRO II, DOIP &amp; CAN FD, 40+ Service, 3K+ Bidirectional</t>
        </is>
      </c>
      <c r="B774" s="35" t="inlineStr">
        <is>
          <t>B08P3CX6MY</t>
        </is>
      </c>
      <c r="C774" s="35" t="inlineStr">
        <is>
          <t>Tablet</t>
        </is>
      </c>
      <c r="D774" s="359" t="n">
        <v>2862.403</v>
      </c>
      <c r="E774" s="359" t="n">
        <v>343921.3215384615</v>
      </c>
      <c r="F774" s="359" t="n">
        <v>28624.03</v>
      </c>
      <c r="G774" s="68" t="n">
        <v>102</v>
      </c>
      <c r="H774" s="70" t="n">
        <v>10</v>
      </c>
      <c r="I774" s="68" t="n">
        <v>24</v>
      </c>
      <c r="J774" s="69" t="n">
        <v>4.8</v>
      </c>
      <c r="K774" s="69" t="inlineStr">
        <is>
          <t>https://amazon.com/dp/B08P3CX6MY</t>
        </is>
      </c>
      <c r="L774" s="114">
        <f>HYPERLINK(Table1410[[#This Row],[Column1]])</f>
        <v/>
      </c>
    </row>
    <row r="775" ht="60" customHeight="1" s="314">
      <c r="A775" s="35" t="inlineStr">
        <is>
          <t>Autel Scanner MaxiSys MS906 PRO, 2026 MS906PRO Same as MS906MAX, 2.0 of MS908S MS906BT, Lite of Elite II PRO, DoIP CAN FD, 36+ Service, 3000+ Active Tests, Auto Scan 2.0, OE Bidirectional Diagnostic</t>
        </is>
      </c>
      <c r="B775" s="35" t="inlineStr">
        <is>
          <t>B09JFZF3ZC</t>
        </is>
      </c>
      <c r="C775" s="35" t="inlineStr">
        <is>
          <t>Tablet</t>
        </is>
      </c>
      <c r="D775" s="359" t="n">
        <v>1531.152</v>
      </c>
      <c r="E775" s="359" t="n">
        <v>363086.4899999999</v>
      </c>
      <c r="F775" s="359" t="n">
        <v>15311.52</v>
      </c>
      <c r="G775" s="68" t="n">
        <v>243</v>
      </c>
      <c r="H775" s="70" t="n">
        <v>10</v>
      </c>
      <c r="I775" s="68" t="n">
        <v>73</v>
      </c>
      <c r="J775" s="69" t="n">
        <v>4.6</v>
      </c>
      <c r="K775" s="69" t="inlineStr">
        <is>
          <t>https://amazon.com/dp/B09JFZF3ZC</t>
        </is>
      </c>
      <c r="L775" s="114">
        <f>HYPERLINK(Table1410[[#This Row],[Column1]])</f>
        <v/>
      </c>
    </row>
    <row r="776" ht="60" customHeight="1" s="314">
      <c r="A776" s="35" t="inlineStr">
        <is>
          <t>Autel Original Diagnostic Cable TCAN003 for Tesla Model 3, Y, S, X, Upgraded 20 Pin+12 Pin to 16 Pin OBDII Adapter, OBD2 Connector, Work with Scanner Ultra, MS919, MS909, Elite, MS908S PRO, MK908 PRO</t>
        </is>
      </c>
      <c r="B776" s="35" t="inlineStr">
        <is>
          <t>B0D9BCSL2W</t>
        </is>
      </c>
      <c r="C776" s="35" t="inlineStr">
        <is>
          <t>Cable/Adapter</t>
        </is>
      </c>
      <c r="D776" s="359" t="n">
        <v>25.459</v>
      </c>
      <c r="E776" s="359" t="n">
        <v>1571.51</v>
      </c>
      <c r="F776" s="359" t="n">
        <v>254.59</v>
      </c>
      <c r="G776" s="68" t="n">
        <v>63</v>
      </c>
      <c r="H776" s="70" t="n">
        <v>10</v>
      </c>
      <c r="I776" s="68" t="n">
        <v>8</v>
      </c>
      <c r="J776" s="69" t="n">
        <v>5</v>
      </c>
      <c r="K776" s="69" t="inlineStr">
        <is>
          <t>https://amazon.com/dp/B0D9BCSL2W</t>
        </is>
      </c>
      <c r="L776" s="114">
        <f>HYPERLINK(Table1410[[#This Row],[Column1]])</f>
        <v/>
      </c>
    </row>
    <row r="777" ht="45" customHeight="1" s="314">
      <c r="A777" s="35" t="inlineStr">
        <is>
          <t>Autel MaxiCOM MK906 PRO2-TS Scanner: 2026 Multilingual of MS906 PRO2-TS, 2.0 Up of MS906 PRO TS MK906PRO-TS MP900TS MS906PRO MS906MAX, TPMS 2.0 &amp; ECU Coding, 3K+ Bidirectional 40+ Reset, DoIP CAN FD</t>
        </is>
      </c>
      <c r="B777" s="35" t="inlineStr">
        <is>
          <t>B07F31NFDB</t>
        </is>
      </c>
      <c r="C777" s="35" t="inlineStr">
        <is>
          <t>Tablet</t>
        </is>
      </c>
      <c r="D777" s="359" t="n">
        <v>1500.803</v>
      </c>
      <c r="E777" s="359" t="n">
        <v>61756.61</v>
      </c>
      <c r="F777" s="359" t="n">
        <v>15008.03</v>
      </c>
      <c r="G777" s="68" t="n">
        <v>40</v>
      </c>
      <c r="H777" s="70" t="n">
        <v>10</v>
      </c>
      <c r="I777" s="68" t="n">
        <v>17</v>
      </c>
      <c r="J777" s="69" t="n">
        <v>4.8</v>
      </c>
      <c r="K777" s="69" t="inlineStr">
        <is>
          <t>https://amazon.com/dp/B07F31NFDB</t>
        </is>
      </c>
      <c r="L777" s="114">
        <f>HYPERLINK(Table1410[[#This Row],[Column1]])</f>
        <v/>
      </c>
    </row>
    <row r="778" ht="60" customHeight="1" s="314">
      <c r="A778" s="35" t="inlineStr">
        <is>
          <t>Autel MaxiCOM MK808S-TS Scanner, 2024 Complete TPMS Check/Activate/Relearn Tool, Same as MX808S-TS MK808Z-TS, 28+Service, BT Full System Scan,Bidirectional, FCA AutoAuth,Upgrade of MK808BT PRO MK808S</t>
        </is>
      </c>
      <c r="B778" s="35" t="inlineStr">
        <is>
          <t>B07GXGZCDW</t>
        </is>
      </c>
      <c r="C778" s="35" t="inlineStr">
        <is>
          <t>Tablet</t>
        </is>
      </c>
      <c r="D778" s="359" t="n">
        <v>697.6288888888889</v>
      </c>
      <c r="E778" s="359" t="n">
        <v>70822.64</v>
      </c>
      <c r="F778" s="359" t="n">
        <v>6278.66</v>
      </c>
      <c r="G778" s="68" t="n">
        <v>109</v>
      </c>
      <c r="H778" s="70" t="n">
        <v>9</v>
      </c>
      <c r="I778" s="68" t="n">
        <v>250</v>
      </c>
      <c r="J778" s="69" t="n">
        <v>4.4</v>
      </c>
      <c r="K778" s="69" t="inlineStr">
        <is>
          <t>https://amazon.com/dp/B07GXGZCDW</t>
        </is>
      </c>
      <c r="L778" s="114">
        <f>HYPERLINK(Table1410[[#This Row],[Column1]])</f>
        <v/>
      </c>
    </row>
    <row r="779" ht="45" customHeight="1" s="314">
      <c r="A779" s="35" t="inlineStr">
        <is>
          <t>Autel MaxiIM IM508S Automotive Diagnostic Scan Tool, 2026 Full System Diagnostic, 3000+ Bidirectional Tests, 40+ Resets, Android 11, 4-Core, 4/64G, FCA AutoAuth, Upgraded of MK808S MK808 MK900</t>
        </is>
      </c>
      <c r="B779" s="35" t="inlineStr">
        <is>
          <t>B0DFH2ZX33</t>
        </is>
      </c>
      <c r="C779" s="35" t="inlineStr">
        <is>
          <t>Tablet</t>
        </is>
      </c>
      <c r="D779" s="359" t="n">
        <v>1261.093333333333</v>
      </c>
      <c r="E779" s="359" t="n">
        <v>160278.18</v>
      </c>
      <c r="F779" s="359" t="n">
        <v>11349.84</v>
      </c>
      <c r="G779" s="68" t="n">
        <v>132</v>
      </c>
      <c r="H779" s="70" t="n">
        <v>9</v>
      </c>
      <c r="I779" s="68" t="n">
        <v>126</v>
      </c>
      <c r="J779" s="69" t="n">
        <v>4.6</v>
      </c>
      <c r="K779" s="69" t="inlineStr">
        <is>
          <t>https://amazon.com/dp/B0DFH2ZX33</t>
        </is>
      </c>
      <c r="L779" s="114">
        <f>HYPERLINK(Table1410[[#This Row],[Column1]])</f>
        <v/>
      </c>
    </row>
    <row r="780" ht="60" customHeight="1" s="314">
      <c r="A780" s="35" t="inlineStr">
        <is>
          <t>Autel MaxiIM OBD2 Scanner, 2026 OBDII Diagnostic Scan Tool with Lifetime Free Updates, Wireless BT Tool, 2GB &amp; 64GB Android 9.0, for Home Mechanics &amp; DIYers</t>
        </is>
      </c>
      <c r="B780" s="35" t="inlineStr">
        <is>
          <t>B0B31C95GX</t>
        </is>
      </c>
      <c r="C780" s="35" t="inlineStr">
        <is>
          <t>Key</t>
        </is>
      </c>
      <c r="D780" s="359" t="n">
        <v>533.2688888888889</v>
      </c>
      <c r="E780" s="359" t="n">
        <v>73048.09692307693</v>
      </c>
      <c r="F780" s="359" t="n">
        <v>4799.42</v>
      </c>
      <c r="G780" s="68" t="n">
        <v>79</v>
      </c>
      <c r="H780" s="70" t="n">
        <v>9</v>
      </c>
      <c r="I780" s="68" t="n">
        <v>225</v>
      </c>
      <c r="J780" s="69" t="n">
        <v>4.4</v>
      </c>
      <c r="K780" s="69" t="inlineStr">
        <is>
          <t>https://amazon.com/dp/B0B31C95GX</t>
        </is>
      </c>
      <c r="L780" s="114">
        <f>HYPERLINK(Table1410[[#This Row],[Column1]])</f>
        <v/>
      </c>
    </row>
    <row r="781" ht="45" customHeight="1" s="314">
      <c r="A781" s="35" t="inlineStr">
        <is>
          <t>Autel Scanner MaxiIM KM100 (X), 2026 OBD2 Car Diagnostic Tool, V200 Wireless BT OBDII Scan Tool with Lifetime Free Updates, 700+ Models, 2GB &amp; 64GB Android 9.0, for Home Mechanics &amp; DIYers</t>
        </is>
      </c>
      <c r="B781" s="35" t="inlineStr">
        <is>
          <t>B0FZBK7KJD</t>
        </is>
      </c>
      <c r="C781" s="35" t="inlineStr">
        <is>
          <t>Tablet</t>
        </is>
      </c>
      <c r="D781" s="359" t="n">
        <v>474.4866666666667</v>
      </c>
      <c r="E781" s="359" t="n">
        <v>59865.36307692307</v>
      </c>
      <c r="F781" s="359" t="n">
        <v>4270.38</v>
      </c>
      <c r="G781" s="68" t="n">
        <v>47</v>
      </c>
      <c r="H781" s="70" t="n">
        <v>9</v>
      </c>
      <c r="I781" s="68" t="n">
        <v>1</v>
      </c>
      <c r="J781" s="69" t="n">
        <v>5</v>
      </c>
      <c r="K781" s="69" t="inlineStr">
        <is>
          <t>https://amazon.com/dp/B0FZBK7KJD</t>
        </is>
      </c>
      <c r="L781" s="114">
        <f>HYPERLINK(Table1410[[#This Row],[Column1]])</f>
        <v/>
      </c>
    </row>
    <row r="782" ht="45" customHeight="1" s="314">
      <c r="A782" s="35" t="inlineStr">
        <is>
          <t>Autel AutoLink AL529HD, Vehicle Code Reader, Advanced AL529 OBD2 Code Scanner, AutoVIN Read Enhanced Codes for Ford/GM/Chrysler, Freeze Frame Data, Code Reader for Cars and Trucks</t>
        </is>
      </c>
      <c r="B782" s="35" t="inlineStr">
        <is>
          <t>B0BBM99RRF</t>
        </is>
      </c>
      <c r="C782" s="35" t="inlineStr">
        <is>
          <t>Handheld</t>
        </is>
      </c>
      <c r="D782" s="359" t="n">
        <v>115.0177777777778</v>
      </c>
      <c r="E782" s="359" t="n">
        <v>19337.49</v>
      </c>
      <c r="F782" s="359" t="n">
        <v>1035.16</v>
      </c>
      <c r="G782" s="68" t="n">
        <v>162</v>
      </c>
      <c r="H782" s="70" t="n">
        <v>9</v>
      </c>
      <c r="I782" s="68" t="n">
        <v>23</v>
      </c>
      <c r="J782" s="69" t="n">
        <v>4.2</v>
      </c>
      <c r="K782" s="69" t="inlineStr">
        <is>
          <t>https://amazon.com/dp/B0BBM99RRF</t>
        </is>
      </c>
      <c r="L782" s="114">
        <f>HYPERLINK(Table1410[[#This Row],[Column1]])</f>
        <v/>
      </c>
    </row>
    <row r="783" ht="45" customHeight="1" s="314">
      <c r="A783" s="35" t="inlineStr">
        <is>
          <t>Autel MaxiSYS MS906MAX Scanner, 2026 10.1" MS906 MAX 2.0 Upgrade of MS906 PRO MP900BT MS906BT MS908S, OE ECU C0ding Bidirectional Scan Tool, 3000+ Active Test, 40+ Reset, All-System, CAN FD DoIP</t>
        </is>
      </c>
      <c r="B783" s="35" t="inlineStr">
        <is>
          <t>B0DXFPD42C</t>
        </is>
      </c>
      <c r="C783" s="35" t="inlineStr">
        <is>
          <t>Tablet</t>
        </is>
      </c>
      <c r="D783" s="359" t="n">
        <v>1649.235</v>
      </c>
      <c r="E783" s="359" t="n">
        <v>163342.1861538462</v>
      </c>
      <c r="F783" s="359" t="n">
        <v>13193.88</v>
      </c>
      <c r="G783" s="68" t="n">
        <v>96</v>
      </c>
      <c r="H783" s="70" t="n">
        <v>8</v>
      </c>
      <c r="I783" s="68" t="n">
        <v>13</v>
      </c>
      <c r="J783" s="69" t="n">
        <v>4.5</v>
      </c>
      <c r="K783" s="69" t="inlineStr">
        <is>
          <t>https://amazon.com/dp/B0DXFPD42C</t>
        </is>
      </c>
      <c r="L783" s="114">
        <f>HYPERLINK(Table1410[[#This Row],[Column1]])</f>
        <v/>
      </c>
    </row>
    <row r="784" ht="60" customHeight="1" s="314">
      <c r="A784" s="35" t="inlineStr">
        <is>
          <t>Autel Scanner MaxiPRO MP808BT PRO, 2 Years Update ($700), 2026 Up of MaxiSys MS906BT MaxiCOM MK900BT MK900, Advanced as MS906MAX MS906 PRO MP900-BT, 3000+ Active Test, 30+ Service, FCA, 11OS 4/ 64GB</t>
        </is>
      </c>
      <c r="B784" s="35" t="inlineStr">
        <is>
          <t>B09F2VJHW1</t>
        </is>
      </c>
      <c r="C784" s="35" t="inlineStr">
        <is>
          <t>Tablet</t>
        </is>
      </c>
      <c r="D784" s="359" t="n">
        <v>711.8512500000001</v>
      </c>
      <c r="E784" s="359" t="n">
        <v>109152.58</v>
      </c>
      <c r="F784" s="359" t="n">
        <v>5694.81</v>
      </c>
      <c r="G784" s="68" t="n">
        <v>146</v>
      </c>
      <c r="H784" s="70" t="n">
        <v>8</v>
      </c>
      <c r="I784" s="68" t="n">
        <v>108</v>
      </c>
      <c r="J784" s="69" t="n">
        <v>4.6</v>
      </c>
      <c r="K784" s="69" t="inlineStr">
        <is>
          <t>https://amazon.com/dp/B09F2VJHW1</t>
        </is>
      </c>
      <c r="L784" s="114">
        <f>HYPERLINK(Table1410[[#This Row],[Column1]])</f>
        <v/>
      </c>
    </row>
    <row r="785" ht="45" customHeight="1" s="314">
      <c r="A785" s="35" t="inlineStr">
        <is>
          <t>Autel MaxiVCI VCI Mini OBD2 Scanner Bluetooth Universal Communication Interface Equipment OEM Diagnostic Functions Work with Autel Scanner MK808BT MK808TS MX808TX MP808TS MS906S TS608</t>
        </is>
      </c>
      <c r="B785" s="35" t="inlineStr">
        <is>
          <t>B0BNPKJH7P</t>
        </is>
      </c>
      <c r="C785" s="35" t="inlineStr">
        <is>
          <t>Dongle</t>
        </is>
      </c>
      <c r="D785" s="359" t="n">
        <v>119.99375</v>
      </c>
      <c r="E785" s="359" t="n">
        <v>15516.72</v>
      </c>
      <c r="F785" s="359" t="n">
        <v>959.95</v>
      </c>
      <c r="G785" s="68" t="n">
        <v>138</v>
      </c>
      <c r="H785" s="70" t="n">
        <v>8</v>
      </c>
      <c r="I785" s="68" t="n">
        <v>16</v>
      </c>
      <c r="J785" s="69" t="n">
        <v>4.1</v>
      </c>
      <c r="K785" s="69" t="inlineStr">
        <is>
          <t>https://amazon.com/dp/B0BNPKJH7P</t>
        </is>
      </c>
      <c r="L785" s="114">
        <f>HYPERLINK(Table1410[[#This Row],[Column1]])</f>
        <v/>
      </c>
    </row>
    <row r="786" ht="45" customHeight="1" s="314">
      <c r="A786" s="35" t="inlineStr">
        <is>
          <t>Autel MaxiPRO MP900TS Scanner: 2026 8in MP900-TS up of MaxiSYS MS906 PRO MS906TS MP900BT MK900-TS, Full TPMS as MS906 Pro-TS, Car Bidirectional Scan Tool, 40+ Service, All System, CAN FD&amp;DOIP, OS 11.0</t>
        </is>
      </c>
      <c r="B786" s="35" t="inlineStr">
        <is>
          <t>B073CS2RLP</t>
        </is>
      </c>
      <c r="C786" s="35" t="inlineStr">
        <is>
          <t>Tablet</t>
        </is>
      </c>
      <c r="D786" s="359" t="n">
        <v>1067.65625</v>
      </c>
      <c r="E786" s="359" t="n">
        <v>190654.32</v>
      </c>
      <c r="F786" s="359" t="n">
        <v>8541.25</v>
      </c>
      <c r="G786" s="68" t="n">
        <v>173</v>
      </c>
      <c r="H786" s="70" t="n">
        <v>8</v>
      </c>
      <c r="I786" s="68" t="n">
        <v>76</v>
      </c>
      <c r="J786" s="69" t="n">
        <v>4.7</v>
      </c>
      <c r="K786" s="69" t="inlineStr">
        <is>
          <t>https://amazon.com/dp/B073CS2RLP</t>
        </is>
      </c>
      <c r="L786" s="114">
        <f>HYPERLINK(Table1410[[#This Row],[Column1]])</f>
        <v/>
      </c>
    </row>
    <row r="787" ht="60" customHeight="1" s="314">
      <c r="A787" s="35" t="inlineStr">
        <is>
          <t>Autel MaxiPRO MP808S-TS Scanner, 2026 Bidirectional Control Scan Tool, 2-Year Free Updated, Full TPMS, ECU Coding Same as MP808BT Pro/MS906TS/MS906 Pro-TS, 31+ Services, All-System Scan &amp; FCA AutoAuth</t>
        </is>
      </c>
      <c r="B787" s="35" t="inlineStr">
        <is>
          <t>B07GWL2HBJ</t>
        </is>
      </c>
      <c r="C787" s="35" t="inlineStr">
        <is>
          <t>Tablet</t>
        </is>
      </c>
      <c r="D787" s="359" t="n">
        <v>861.98625</v>
      </c>
      <c r="E787" s="359" t="n">
        <v>66422.14999999999</v>
      </c>
      <c r="F787" s="359" t="n">
        <v>6895.89</v>
      </c>
      <c r="G787" s="68" t="n">
        <v>74</v>
      </c>
      <c r="H787" s="70" t="n">
        <v>8</v>
      </c>
      <c r="I787" s="68" t="n">
        <v>162</v>
      </c>
      <c r="J787" s="69" t="n">
        <v>4.4</v>
      </c>
      <c r="K787" s="69" t="inlineStr">
        <is>
          <t>https://amazon.com/dp/B07GWL2HBJ</t>
        </is>
      </c>
      <c r="L787" s="114">
        <f>HYPERLINK(Table1410[[#This Row],[Column1]])</f>
        <v/>
      </c>
    </row>
    <row r="788" ht="60" customHeight="1" s="314">
      <c r="A788" s="35" t="inlineStr">
        <is>
          <t>Autel MaxiSys Elite II Pro 2026 Diagnostic Scanner, J2534 ECU Programming Tool (As Ultra/MS908S PRO II), CAN FD &amp; DoIP, Bidirectional Control, 150+ Car Brands, 40+ Services, 2-Year Free Updates</t>
        </is>
      </c>
      <c r="B788" s="35" t="inlineStr">
        <is>
          <t>B0FJLSKLBP</t>
        </is>
      </c>
      <c r="C788" s="35" t="inlineStr">
        <is>
          <t>Tablet</t>
        </is>
      </c>
      <c r="D788" s="359" t="n">
        <v>2397.08375</v>
      </c>
      <c r="E788" s="359" t="n">
        <v>208762.4192307693</v>
      </c>
      <c r="F788" s="359" t="n">
        <v>19176.67</v>
      </c>
      <c r="G788" s="68" t="n">
        <v>45</v>
      </c>
      <c r="H788" s="70" t="n">
        <v>8</v>
      </c>
      <c r="I788" s="68" t="n">
        <v>4</v>
      </c>
      <c r="J788" s="69" t="n">
        <v>5</v>
      </c>
      <c r="K788" s="69" t="inlineStr">
        <is>
          <t>https://amazon.com/dp/B0FJLSKLBP</t>
        </is>
      </c>
      <c r="L788" s="114">
        <f>HYPERLINK(Table1410[[#This Row],[Column1]])</f>
        <v/>
      </c>
    </row>
    <row r="789" ht="60" customHeight="1" s="314">
      <c r="A789" s="35" t="inlineStr">
        <is>
          <t>Autel Diaglink OBDII Code Reader Full Systems Diagnostic Scanner DIY Version of MD802 for Engine/Transmission/ABS/SRS/EPB/Oil Reset Service</t>
        </is>
      </c>
      <c r="B789" s="35" t="inlineStr">
        <is>
          <t>B07QS9VH8V</t>
        </is>
      </c>
      <c r="C789" s="35" t="inlineStr">
        <is>
          <t>Handheld</t>
        </is>
      </c>
      <c r="D789" s="359" t="n">
        <v>94.16125</v>
      </c>
      <c r="E789" s="359" t="n">
        <v>4787.13</v>
      </c>
      <c r="F789" s="359" t="n">
        <v>753.29</v>
      </c>
      <c r="G789" s="68" t="n">
        <v>51</v>
      </c>
      <c r="H789" s="70" t="n">
        <v>8</v>
      </c>
      <c r="I789" s="68" t="n">
        <v>132</v>
      </c>
      <c r="J789" s="69" t="n">
        <v>3.6</v>
      </c>
      <c r="K789" s="69" t="inlineStr">
        <is>
          <t>https://amazon.com/dp/B07QS9VH8V</t>
        </is>
      </c>
      <c r="L789" s="114">
        <f>HYPERLINK(Table1410[[#This Row],[Column1]])</f>
        <v/>
      </c>
    </row>
    <row r="790" ht="45" customHeight="1" s="314">
      <c r="A790" s="35" t="inlineStr">
        <is>
          <t>Autel MaxiDiag MD906 PRO OBD2 Scanner, 2026 MD906PRO All Sys Diagnostic Scan Tool Same as MD909 PRO, BT Lite of MK808S, CAN FD, 11 Services, 10 OBDII Test Modes, FCA, Free Update, Up of MD808Pro MD806</t>
        </is>
      </c>
      <c r="B790" s="35" t="inlineStr">
        <is>
          <t>B07R19JCWR</t>
        </is>
      </c>
      <c r="C790" s="35" t="inlineStr">
        <is>
          <t>Tablet</t>
        </is>
      </c>
      <c r="D790" s="359" t="n">
        <v>290.69125</v>
      </c>
      <c r="E790" s="359" t="n">
        <v>19547.72</v>
      </c>
      <c r="F790" s="359" t="n">
        <v>2325.53</v>
      </c>
      <c r="G790" s="68" t="n">
        <v>56</v>
      </c>
      <c r="H790" s="70" t="n">
        <v>8</v>
      </c>
      <c r="I790" s="68" t="n">
        <v>77</v>
      </c>
      <c r="J790" s="69" t="n">
        <v>4.4</v>
      </c>
      <c r="K790" s="69" t="inlineStr">
        <is>
          <t>https://amazon.com/dp/B07R19JCWR</t>
        </is>
      </c>
      <c r="L790" s="114">
        <f>HYPERLINK(Table1410[[#This Row],[Column1]])</f>
        <v/>
      </c>
    </row>
    <row r="791" ht="45" customHeight="1" s="314">
      <c r="A791" s="35" t="inlineStr">
        <is>
          <t>Autel MaxiSys MS908CV II Top CV Scanner, 2026 V2.0 of MS908CV Heavy Duty Diesel Truck Diagnostic Tool, OE-Level J2534 Functions, Lite of MS909CV, Bidirectional 3000+ Test, 64 Services, 10 OS 4/128GB</t>
        </is>
      </c>
      <c r="B791" s="35" t="inlineStr">
        <is>
          <t>B09FLP47CD</t>
        </is>
      </c>
      <c r="C791" s="35" t="inlineStr">
        <is>
          <t>Tablet</t>
        </is>
      </c>
      <c r="D791" s="359" t="n">
        <v>3035.3975</v>
      </c>
      <c r="E791" s="359" t="n">
        <v>226720.36</v>
      </c>
      <c r="F791" s="359" t="n">
        <v>24283.18</v>
      </c>
      <c r="G791" s="68" t="n">
        <v>78</v>
      </c>
      <c r="H791" s="70" t="n">
        <v>8</v>
      </c>
      <c r="I791" s="68" t="n">
        <v>36</v>
      </c>
      <c r="J791" s="69" t="n">
        <v>4.8</v>
      </c>
      <c r="K791" s="69" t="inlineStr">
        <is>
          <t>https://amazon.com/dp/B09FLP47CD</t>
        </is>
      </c>
      <c r="L791" s="114">
        <f>HYPERLINK(Table1410[[#This Row],[Column1]])</f>
        <v/>
      </c>
    </row>
    <row r="792" ht="45" customHeight="1" s="314">
      <c r="A792" s="35" t="inlineStr">
        <is>
          <t>Autel AutoLink AL529HD Read/Erase Heavy Duty Engine DTCs Deutsch 9-Pin &amp; 6-Pin Adapters One-Touch I/M Readiness/LED Indicator Support All 10 OBDII Test Modes Enhanced Mode 6 Diagnostics</t>
        </is>
      </c>
      <c r="B792" s="35" t="inlineStr">
        <is>
          <t>B0D982BSTZ</t>
        </is>
      </c>
      <c r="C792" s="35" t="inlineStr">
        <is>
          <t>Handheld</t>
        </is>
      </c>
      <c r="D792" s="359" t="n">
        <v>118.64</v>
      </c>
      <c r="E792" s="359" t="n">
        <v>9123.17076923077</v>
      </c>
      <c r="F792" s="359" t="n">
        <v>949.12</v>
      </c>
      <c r="G792" s="68" t="n">
        <v>68</v>
      </c>
      <c r="H792" s="70" t="n">
        <v>8</v>
      </c>
      <c r="I792" s="68" t="n">
        <v>8</v>
      </c>
      <c r="J792" s="69" t="n">
        <v>5</v>
      </c>
      <c r="K792" s="69" t="inlineStr">
        <is>
          <t>https://amazon.com/dp/B0D982BSTZ</t>
        </is>
      </c>
      <c r="L792" s="114">
        <f>HYPERLINK(Table1410[[#This Row],[Column1]])</f>
        <v/>
      </c>
    </row>
    <row r="793" ht="60" customHeight="1" s="314">
      <c r="A793" s="35" t="inlineStr">
        <is>
          <t>Autel Scanner MaxiIM KM100 (X), 2026 OBD2 Diagnostic Scan Tool, Lifetime Free Updates, Compatible with 99% Cars, Auto Scan, V200 Wireless Conneciton, OS 9.0, 2GB+64GB, No IP Limited, Multilingual</t>
        </is>
      </c>
      <c r="B793" s="35" t="inlineStr">
        <is>
          <t>B0GKPBNHWS</t>
        </is>
      </c>
      <c r="C793" s="35" t="inlineStr">
        <is>
          <t>Tablet</t>
        </is>
      </c>
      <c r="D793" s="359" t="n">
        <v>555.35375</v>
      </c>
      <c r="E793" s="359" t="n">
        <v>51406.24846153845</v>
      </c>
      <c r="F793" s="359" t="n">
        <v>4442.83</v>
      </c>
      <c r="G793" s="68" t="n">
        <v>19</v>
      </c>
      <c r="H793" s="70" t="n">
        <v>8</v>
      </c>
      <c r="I793" s="68" t="n">
        <v>1</v>
      </c>
      <c r="J793" s="69" t="n">
        <v>5</v>
      </c>
      <c r="K793" s="69" t="inlineStr">
        <is>
          <t>https://amazon.com/dp/B0GKPBNHWS</t>
        </is>
      </c>
      <c r="L793" s="114">
        <f>HYPERLINK(Table1410[[#This Row],[Column1]])</f>
        <v/>
      </c>
    </row>
    <row r="794" ht="60" customHeight="1" s="314">
      <c r="A794" s="35" t="inlineStr">
        <is>
          <t>Autel Scanner MaxiIM IM608 PRO 2, 2026 IM608 PRO II Same As IM608 II Automotive Diagnostic Tool with $1316 Bundle, Advanced as Elite II Pro 40 Reset Services 3000+ Tests Bidirectional Tool, OS10</t>
        </is>
      </c>
      <c r="B794" s="35" t="inlineStr">
        <is>
          <t>B07NRNHJFP</t>
        </is>
      </c>
      <c r="C794" s="35" t="inlineStr">
        <is>
          <t>Tablet</t>
        </is>
      </c>
      <c r="D794" s="359" t="n">
        <v>3107.401428571429</v>
      </c>
      <c r="E794" s="359" t="n">
        <v>193391.4507692308</v>
      </c>
      <c r="F794" s="359" t="n">
        <v>21751.81</v>
      </c>
      <c r="G794" s="68" t="n">
        <v>10</v>
      </c>
      <c r="H794" s="70" t="n">
        <v>7</v>
      </c>
      <c r="I794" s="68" t="n">
        <v>16</v>
      </c>
      <c r="J794" s="69" t="n">
        <v>4.7</v>
      </c>
      <c r="K794" s="69" t="inlineStr">
        <is>
          <t>https://amazon.com/dp/B07NRNHJFP</t>
        </is>
      </c>
      <c r="L794" s="114">
        <f>HYPERLINK(Table1410[[#This Row],[Column1]])</f>
        <v/>
      </c>
    </row>
    <row r="795" ht="45" customHeight="1" s="314">
      <c r="A795" s="35" t="inlineStr">
        <is>
          <t>Autel MaxiSYS MS906 PRO2-TS Scanner: 2026 MS906Pro2-TS Up of MS906Pro-TS MK900TS MP900BT Kit MS908S MS906 PRO,Top TPMS Function&amp; ECU Coding, Bidirectional Tool, 36+ Service, Auto Scan2.0, CAN FD&amp;DoIP</t>
        </is>
      </c>
      <c r="B795" s="35" t="inlineStr">
        <is>
          <t>B0FN72T1LS</t>
        </is>
      </c>
      <c r="C795" s="35" t="inlineStr">
        <is>
          <t>Tablet</t>
        </is>
      </c>
      <c r="D795" s="359" t="n">
        <v>1690.201428571429</v>
      </c>
      <c r="E795" s="359" t="n">
        <v>160371.1992307692</v>
      </c>
      <c r="F795" s="359" t="n">
        <v>11831.41</v>
      </c>
      <c r="G795" s="68" t="n">
        <v>55</v>
      </c>
      <c r="H795" s="70" t="n">
        <v>7</v>
      </c>
      <c r="I795" s="68" t="n">
        <v>5</v>
      </c>
      <c r="J795" s="69" t="n">
        <v>5</v>
      </c>
      <c r="K795" s="69" t="inlineStr">
        <is>
          <t>https://amazon.com/dp/B0FN72T1LS</t>
        </is>
      </c>
      <c r="L795" s="114">
        <f>HYPERLINK(Table1410[[#This Row],[Column1]])</f>
        <v/>
      </c>
    </row>
    <row r="796" ht="45" customHeight="1" s="314">
      <c r="A796" s="35" t="inlineStr">
        <is>
          <t>Autel MaxiSys MS908CV II: 2026 Heavy Duty Truck Scanner Upgrade of MS908CV, Same as MS909CV, Semi Truck Tool with J2534 Tool, C0ding, Active Test, 64 Service, Diesel Diagnostic Tool</t>
        </is>
      </c>
      <c r="B796" s="35" t="inlineStr">
        <is>
          <t>B08RBR1VHV</t>
        </is>
      </c>
      <c r="C796" s="35" t="inlineStr">
        <is>
          <t>Tablet</t>
        </is>
      </c>
      <c r="D796" s="359" t="n">
        <v>2754.892857142857</v>
      </c>
      <c r="E796" s="359" t="n">
        <v>300954.37</v>
      </c>
      <c r="F796" s="359" t="n">
        <v>19284.25</v>
      </c>
      <c r="G796" s="68" t="n">
        <v>105</v>
      </c>
      <c r="H796" s="70" t="n">
        <v>7</v>
      </c>
      <c r="I796" s="68" t="n">
        <v>20</v>
      </c>
      <c r="J796" s="69" t="n">
        <v>4.6</v>
      </c>
      <c r="K796" s="69" t="inlineStr">
        <is>
          <t>https://amazon.com/dp/B08RBR1VHV</t>
        </is>
      </c>
      <c r="L796" s="114">
        <f>HYPERLINK(Table1410[[#This Row],[Column1]])</f>
        <v/>
      </c>
    </row>
    <row r="797" ht="60" customHeight="1" s="314">
      <c r="A797" s="35" t="inlineStr">
        <is>
          <t>Autel MaxiVCI V100 Bluetooth Vehicle Communication Interface OBD Scanner Comprehensive Diagnostics Work with MS906BT, MK906BT, MS906TS, MK908, MS908, MS908S Pro, MS908 Pro, MK908P, MaxiSYS Elite</t>
        </is>
      </c>
      <c r="B797" s="35" t="inlineStr">
        <is>
          <t>B0BNM91GZH</t>
        </is>
      </c>
      <c r="C797" s="35" t="inlineStr">
        <is>
          <t>Dongle</t>
        </is>
      </c>
      <c r="D797" s="359" t="n">
        <v>204.3457142857143</v>
      </c>
      <c r="E797" s="359" t="n">
        <v>25465.96</v>
      </c>
      <c r="F797" s="359" t="n">
        <v>1430.42</v>
      </c>
      <c r="G797" s="68" t="n">
        <v>131</v>
      </c>
      <c r="H797" s="70" t="n">
        <v>7</v>
      </c>
      <c r="I797" s="68" t="n">
        <v>9</v>
      </c>
      <c r="J797" s="69" t="n">
        <v>5</v>
      </c>
      <c r="K797" s="69" t="inlineStr">
        <is>
          <t>https://amazon.com/dp/B0BNM91GZH</t>
        </is>
      </c>
      <c r="L797" s="114">
        <f>HYPERLINK(Table1410[[#This Row],[Column1]])</f>
        <v/>
      </c>
    </row>
    <row r="798" ht="60" customHeight="1" s="314">
      <c r="A798" s="35" t="inlineStr">
        <is>
          <t>2026 Autel Scanner MaxiPRO MP808BT PRO KIT, 2 Years Update with 11PCS OBD Adapters, Function as MaxiSYS MS906 PRO MS906MAX, Up of MS906BT MK900BT MK900, Bidirectional 3000+Test, 30+ Services, FCA</t>
        </is>
      </c>
      <c r="B798" s="35" t="inlineStr">
        <is>
          <t>B098PXKRRL</t>
        </is>
      </c>
      <c r="C798" s="35" t="inlineStr">
        <is>
          <t>Tablet</t>
        </is>
      </c>
      <c r="D798" s="359" t="n">
        <v>714.6028571428571</v>
      </c>
      <c r="E798" s="359" t="n">
        <v>57069.42</v>
      </c>
      <c r="F798" s="359" t="n">
        <v>5002.22</v>
      </c>
      <c r="G798" s="68" t="n">
        <v>77</v>
      </c>
      <c r="H798" s="70" t="n">
        <v>7</v>
      </c>
      <c r="I798" s="68" t="n">
        <v>50</v>
      </c>
      <c r="J798" s="69" t="n">
        <v>4.7</v>
      </c>
      <c r="K798" s="69" t="inlineStr">
        <is>
          <t>https://amazon.com/dp/B098PXKRRL</t>
        </is>
      </c>
      <c r="L798" s="114">
        <f>HYPERLINK(Table1410[[#This Row],[Column1]])</f>
        <v/>
      </c>
    </row>
    <row r="799" ht="30" customHeight="1" s="314">
      <c r="A799" s="35" t="inlineStr">
        <is>
          <t>Autel MaxiCOM MK908 Pro II: 2026 MK908PRO II Same as MaxiSys MS908S Pro II Ultra Elite 2 Pro, J2534 Programming Scan Tool Up of MS908S Pro Elite MS906MAX MS906PRO, 38+ Resets, 3K+ Test, 4+128G</t>
        </is>
      </c>
      <c r="B799" s="35" t="inlineStr">
        <is>
          <t>B06WRSXPX1</t>
        </is>
      </c>
      <c r="C799" s="35" t="inlineStr">
        <is>
          <t>Tablet</t>
        </is>
      </c>
      <c r="D799" s="359" t="n">
        <v>2034.058571428571</v>
      </c>
      <c r="E799" s="359" t="n">
        <v>65345.5</v>
      </c>
      <c r="F799" s="359" t="n">
        <v>14238.41</v>
      </c>
      <c r="G799" s="68" t="n">
        <v>34</v>
      </c>
      <c r="H799" s="70" t="n">
        <v>7</v>
      </c>
      <c r="I799" s="68" t="n">
        <v>70</v>
      </c>
      <c r="J799" s="69" t="n">
        <v>4.4</v>
      </c>
      <c r="K799" s="69" t="inlineStr">
        <is>
          <t>https://amazon.com/dp/B06WRSXPX1</t>
        </is>
      </c>
      <c r="L799" s="114">
        <f>HYPERLINK(Table1410[[#This Row],[Column1]])</f>
        <v/>
      </c>
    </row>
    <row r="800" ht="45" customHeight="1" s="314">
      <c r="A800" s="35" t="inlineStr">
        <is>
          <t>Autel OBD2 Memory Saver for Car Battery, MaxiBAS BTMS Car Memory Saver, Preserve ECU Code &amp; Electronic Presets During Battery Replacement</t>
        </is>
      </c>
      <c r="B800" s="35" t="inlineStr">
        <is>
          <t>B0CQM1RR61</t>
        </is>
      </c>
      <c r="C800" s="35" t="inlineStr">
        <is>
          <t>Other</t>
        </is>
      </c>
      <c r="D800" s="359" t="n">
        <v>44.29714285714285</v>
      </c>
      <c r="E800" s="359" t="n">
        <v>13592.23</v>
      </c>
      <c r="F800" s="359" t="n">
        <v>310.08</v>
      </c>
      <c r="G800" s="68" t="n">
        <v>306</v>
      </c>
      <c r="H800" s="70" t="n">
        <v>7</v>
      </c>
      <c r="I800" s="68" t="n">
        <v>25</v>
      </c>
      <c r="J800" s="69" t="n">
        <v>4.4</v>
      </c>
      <c r="K800" s="69" t="inlineStr">
        <is>
          <t>https://amazon.com/dp/B0CQM1RR61</t>
        </is>
      </c>
      <c r="L800" s="114">
        <f>HYPERLINK(Table1410[[#This Row],[Column1]])</f>
        <v/>
      </c>
    </row>
    <row r="801" ht="45" customHeight="1" s="314">
      <c r="A801" s="35" t="inlineStr">
        <is>
          <t>Autel MaxiCheck MX900 Scanner, 2026 Bidirectional Scan Tool with 3000+ Active Tests, All System Diagnosis, CAN FD/Do IP, OE No-IP Limited, Upgrade MK808S MK808BT MX808S MK808Z Same as MK900</t>
        </is>
      </c>
      <c r="B801" s="35" t="inlineStr">
        <is>
          <t>B0C1RPXXQ8</t>
        </is>
      </c>
      <c r="C801" s="35" t="inlineStr">
        <is>
          <t>Tablet</t>
        </is>
      </c>
      <c r="D801" s="359" t="n">
        <v>560.5085714285714</v>
      </c>
      <c r="E801" s="359" t="n">
        <v>73302.65769230769</v>
      </c>
      <c r="F801" s="359" t="n">
        <v>3923.56</v>
      </c>
      <c r="G801" s="68" t="n">
        <v>128</v>
      </c>
      <c r="H801" s="70" t="n">
        <v>7</v>
      </c>
      <c r="I801" s="68" t="n">
        <v>55</v>
      </c>
      <c r="J801" s="69" t="n">
        <v>4.4</v>
      </c>
      <c r="K801" s="69" t="inlineStr">
        <is>
          <t>https://amazon.com/dp/B0C1RPXXQ8</t>
        </is>
      </c>
      <c r="L801" s="114">
        <f>HYPERLINK(Table1410[[#This Row],[Column1]])</f>
        <v/>
      </c>
    </row>
    <row r="802" ht="45" customHeight="1" s="314">
      <c r="A802" s="35" t="inlineStr">
        <is>
          <t>Autel MaxiPRO MP900-BT Kit Scanner w/ 200 Bucks OBD1 Kit: 2026 MP900BT Kit New Model of MK900BT MP900-BT(No Cables), Pro C0ding as MS906 Pro MS906 MAX, 40+ Service, 3000+ Tests, OS 11, CAN FD FCA SGW</t>
        </is>
      </c>
      <c r="B802" s="35" t="inlineStr">
        <is>
          <t>B01CQNNBA4</t>
        </is>
      </c>
      <c r="C802" s="35" t="inlineStr">
        <is>
          <t>Tablet</t>
        </is>
      </c>
      <c r="D802" s="359" t="n">
        <v>1012.644285714286</v>
      </c>
      <c r="E802" s="359" t="n">
        <v>114711.97</v>
      </c>
      <c r="F802" s="359" t="n">
        <v>7088.51</v>
      </c>
      <c r="G802" s="68" t="n">
        <v>119</v>
      </c>
      <c r="H802" s="70" t="n">
        <v>7</v>
      </c>
      <c r="I802" s="68" t="n">
        <v>245</v>
      </c>
      <c r="J802" s="69" t="n">
        <v>4.5</v>
      </c>
      <c r="K802" s="69" t="inlineStr">
        <is>
          <t>https://amazon.com/dp/B01CQNNBA4</t>
        </is>
      </c>
      <c r="L802" s="114">
        <f>HYPERLINK(Table1410[[#This Row],[Column1]])</f>
        <v/>
      </c>
    </row>
    <row r="803" ht="45" customHeight="1" s="314">
      <c r="A803" s="35" t="inlineStr">
        <is>
          <t>Autel MaxiCOM MK808S-TS OBD2 Scanner: 2026 Same TPMS Tool as MX808S-TS MP900-TS MS906 Pro w/ 3000+ Active Tests, 32 Service, TPMS Pr0gramming Relearn Retrofit, Full System, Up of MK900BT MK808BT Pro</t>
        </is>
      </c>
      <c r="B803" s="35" t="inlineStr">
        <is>
          <t>B07GZBCH7K</t>
        </is>
      </c>
      <c r="C803" s="35" t="inlineStr">
        <is>
          <t>Tablet</t>
        </is>
      </c>
      <c r="D803" s="359" t="n">
        <v>686.2214285714286</v>
      </c>
      <c r="E803" s="359" t="n">
        <v>225043.52</v>
      </c>
      <c r="F803" s="359" t="n">
        <v>4803.55</v>
      </c>
      <c r="G803" s="68" t="n">
        <v>326</v>
      </c>
      <c r="H803" s="70" t="n">
        <v>7</v>
      </c>
      <c r="I803" s="68" t="n">
        <v>630</v>
      </c>
      <c r="J803" s="69" t="n">
        <v>4.5</v>
      </c>
      <c r="K803" s="69" t="inlineStr">
        <is>
          <t>https://amazon.com/dp/B07GZBCH7K</t>
        </is>
      </c>
      <c r="L803" s="114">
        <f>HYPERLINK(Table1410[[#This Row],[Column1]])</f>
        <v/>
      </c>
    </row>
    <row r="804" ht="60" customHeight="1" s="314">
      <c r="A804" s="35" t="inlineStr">
        <is>
          <t>2026 Autel MaxiSYS Elite 2 PRO Scanner, Elite II Pro 2-Year Free Update ($2590) OE-Level J2534 Programming Coding Tool as MSUltra MS919 MS909, Motor TruSpeed, 40+ Service 3000+ Active Test CAN FD DoIP</t>
        </is>
      </c>
      <c r="B804" s="35" t="inlineStr">
        <is>
          <t>B09TT2GQ6P</t>
        </is>
      </c>
      <c r="C804" s="35" t="inlineStr">
        <is>
          <t>Tablet</t>
        </is>
      </c>
      <c r="D804" s="359" t="n">
        <v>2418.074285714286</v>
      </c>
      <c r="E804" s="359" t="n">
        <v>307030.77</v>
      </c>
      <c r="F804" s="359" t="n">
        <v>16926.52</v>
      </c>
      <c r="G804" s="68" t="n">
        <v>127</v>
      </c>
      <c r="H804" s="70" t="n">
        <v>7</v>
      </c>
      <c r="I804" s="68" t="n">
        <v>17</v>
      </c>
      <c r="J804" s="69" t="n">
        <v>4.8</v>
      </c>
      <c r="K804" s="69" t="inlineStr">
        <is>
          <t>https://amazon.com/dp/B09TT2GQ6P</t>
        </is>
      </c>
      <c r="L804" s="114">
        <f>HYPERLINK(Table1410[[#This Row],[Column1]])</f>
        <v/>
      </c>
    </row>
    <row r="805" ht="45" customHeight="1" s="314">
      <c r="A805" s="35" t="inlineStr">
        <is>
          <t>2026 Autel Scanner MaxiPRO MP900 KIT, 11PCS OBD Adapters $200, DoIP CAN FD Same as MS906 PRO MS906MAX, ECU Function Up of MS906 MX900 MK900 MK808S, Full Bidirectional as MP900BT, 40+ Reset, 3000+ Test</t>
        </is>
      </c>
      <c r="B805" s="35" t="inlineStr">
        <is>
          <t>B08PDJ21WS</t>
        </is>
      </c>
      <c r="C805" s="35" t="inlineStr">
        <is>
          <t>Tablet</t>
        </is>
      </c>
      <c r="D805" s="359" t="n">
        <v>889.8557142857143</v>
      </c>
      <c r="E805" s="359" t="n">
        <v>88164.02999999998</v>
      </c>
      <c r="F805" s="359" t="n">
        <v>6228.99</v>
      </c>
      <c r="G805" s="68" t="n">
        <v>102</v>
      </c>
      <c r="H805" s="70" t="n">
        <v>7</v>
      </c>
      <c r="I805" s="68" t="n">
        <v>56</v>
      </c>
      <c r="J805" s="69" t="n">
        <v>4.3</v>
      </c>
      <c r="K805" s="69" t="inlineStr">
        <is>
          <t>https://amazon.com/dp/B08PDJ21WS</t>
        </is>
      </c>
      <c r="L805" s="114">
        <f>HYPERLINK(Table1410[[#This Row],[Column1]])</f>
        <v/>
      </c>
    </row>
    <row r="806" ht="60" customHeight="1" s="314">
      <c r="A806" s="35" t="inlineStr">
        <is>
          <t>2026 Autel Scanner MaxiIM IM508S PRO, Plus Upgraded $569 PRO Bundle, Same as IM608 PRO 2, Bidirectional Scan Tool, 40+ Service, 3000+ Tests, OE All System Diagnostics, Auto Scan 2.0, FCA, OS 11.0</t>
        </is>
      </c>
      <c r="B806" s="35" t="inlineStr">
        <is>
          <t>B08DLGGXP6</t>
        </is>
      </c>
      <c r="C806" s="35" t="inlineStr">
        <is>
          <t>Tablet</t>
        </is>
      </c>
      <c r="D806" s="359" t="n">
        <v>1629.407142857143</v>
      </c>
      <c r="E806" s="359" t="n">
        <v>112981.6169230769</v>
      </c>
      <c r="F806" s="359" t="n">
        <v>11405.85</v>
      </c>
      <c r="G806" s="68" t="n">
        <v>63</v>
      </c>
      <c r="H806" s="70" t="n">
        <v>7</v>
      </c>
      <c r="I806" s="68" t="n">
        <v>36</v>
      </c>
      <c r="J806" s="69" t="n">
        <v>4.6</v>
      </c>
      <c r="K806" s="69" t="inlineStr">
        <is>
          <t>https://amazon.com/dp/B08DLGGXP6</t>
        </is>
      </c>
      <c r="L806" s="114">
        <f>HYPERLINK(Table1410[[#This Row],[Column1]])</f>
        <v/>
      </c>
    </row>
    <row r="807" ht="60" customHeight="1" s="314">
      <c r="A807" s="35" t="inlineStr">
        <is>
          <t>Autel Scanner MaxiCOM MK906S PRO2-TS, 2026 Multilingual of MS906 PRO2-TS, 2.0 Up of MS906 PRO TS MK906 PRO-TS MP900TS MS906PRO MS906MAX, TPMS 2.0, 3K+ Bidirectional Diagnostic, 40+ Reset, CAN FD DoIP</t>
        </is>
      </c>
      <c r="B807" s="35" t="inlineStr">
        <is>
          <t>B09YM9HHGL</t>
        </is>
      </c>
      <c r="C807" s="35" t="inlineStr">
        <is>
          <t>Tablet</t>
        </is>
      </c>
      <c r="D807" s="359" t="n">
        <v>1599.138333333333</v>
      </c>
      <c r="E807" s="359" t="n">
        <v>81613.35000000001</v>
      </c>
      <c r="F807" s="359" t="n">
        <v>9594.83</v>
      </c>
      <c r="G807" s="68" t="n">
        <v>51</v>
      </c>
      <c r="H807" s="70" t="n">
        <v>6</v>
      </c>
      <c r="I807" s="68" t="n">
        <v>11</v>
      </c>
      <c r="J807" s="69" t="n">
        <v>4.5</v>
      </c>
      <c r="K807" s="69" t="inlineStr">
        <is>
          <t>https://amazon.com/dp/B09YM9HHGL</t>
        </is>
      </c>
      <c r="L807" s="114">
        <f>HYPERLINK(Table1410[[#This Row],[Column1]])</f>
        <v/>
      </c>
    </row>
    <row r="808" ht="60" customHeight="1" s="314">
      <c r="A808" s="35" t="inlineStr">
        <is>
          <t>Autel MaxiCheck MX900 Bidirectional Scanner: 2026 Up of MaxiCOM MK808S MX808S, Work as MK900-BT MK900BT OBD2 Diagnostic Tool w/ 3000+ Active Test, 40+ Service, CAN-FD&amp;DOIP, All System, FCA 11 OS</t>
        </is>
      </c>
      <c r="B808" s="35" t="inlineStr">
        <is>
          <t>B00LPIRY6E</t>
        </is>
      </c>
      <c r="C808" s="35" t="inlineStr">
        <is>
          <t>Tablet</t>
        </is>
      </c>
      <c r="D808" s="359" t="n">
        <v>568.5716666666666</v>
      </c>
      <c r="E808" s="359" t="n">
        <v>69897.99999999999</v>
      </c>
      <c r="F808" s="359" t="n">
        <v>3411.43</v>
      </c>
      <c r="G808" s="68" t="n">
        <v>115</v>
      </c>
      <c r="H808" s="70" t="n">
        <v>6</v>
      </c>
      <c r="I808" s="68" t="n">
        <v>466</v>
      </c>
      <c r="J808" s="69" t="n">
        <v>4.4</v>
      </c>
      <c r="K808" s="69" t="inlineStr">
        <is>
          <t>https://amazon.com/dp/B00LPIRY6E</t>
        </is>
      </c>
      <c r="L808" s="114">
        <f>HYPERLINK(Table1410[[#This Row],[Column1]])</f>
        <v/>
      </c>
    </row>
    <row r="809" ht="60" customHeight="1" s="314">
      <c r="A809" s="35" t="inlineStr">
        <is>
          <t>Autel Scanner MaxiPRO MP900-BT w/ MV108S: 2026 MP900BT V2.0 Newer of MP900 MS906BT MS906 MP808BT PRO, 40+ Reset, OE Bidirectional Diagnostic Scan Tool as MS906 PRO/MAX, CAN FD/DoIP, 3K+ Tests, OS11</t>
        </is>
      </c>
      <c r="B809" s="35" t="inlineStr">
        <is>
          <t>B01B1P8JQ4</t>
        </is>
      </c>
      <c r="C809" s="35" t="inlineStr">
        <is>
          <t>Tablet</t>
        </is>
      </c>
      <c r="D809" s="359" t="n">
        <v>879.875</v>
      </c>
      <c r="E809" s="359" t="n">
        <v>157715.93</v>
      </c>
      <c r="F809" s="359" t="n">
        <v>5279.25</v>
      </c>
      <c r="G809" s="68" t="n">
        <v>169</v>
      </c>
      <c r="H809" s="70" t="n">
        <v>6</v>
      </c>
      <c r="I809" s="68" t="n">
        <v>319</v>
      </c>
      <c r="J809" s="69" t="n">
        <v>4.6</v>
      </c>
      <c r="K809" s="69" t="inlineStr">
        <is>
          <t>https://amazon.com/dp/B01B1P8JQ4</t>
        </is>
      </c>
      <c r="L809" s="114">
        <f>HYPERLINK(Table1410[[#This Row],[Column1]])</f>
        <v/>
      </c>
    </row>
    <row r="810" ht="45" customHeight="1" s="314">
      <c r="A810" s="35" t="inlineStr">
        <is>
          <t>2026 Autel MaxiSYS MS908S PRO II Scanner, w/ $219 TS501 PRO TPMS Relearn Tool, Bidirectional Diagnostic Scan as Ultra MS909 Elite 2 Pro, J2534 ECU Functions, Up of MK908P MS906MAX, 3K+Tests, 40+ Reset</t>
        </is>
      </c>
      <c r="B810" s="35" t="inlineStr">
        <is>
          <t>B07NN6J4BH</t>
        </is>
      </c>
      <c r="C810" s="35" t="inlineStr">
        <is>
          <t>Tablet</t>
        </is>
      </c>
      <c r="D810" s="359" t="n">
        <v>2111.086666666667</v>
      </c>
      <c r="E810" s="359" t="n">
        <v>97603.88</v>
      </c>
      <c r="F810" s="359" t="n">
        <v>12666.52</v>
      </c>
      <c r="G810" s="68" t="n">
        <v>45</v>
      </c>
      <c r="H810" s="70" t="n">
        <v>6</v>
      </c>
      <c r="I810" s="68" t="n">
        <v>23</v>
      </c>
      <c r="J810" s="69" t="n">
        <v>4.7</v>
      </c>
      <c r="K810" s="69" t="inlineStr">
        <is>
          <t>https://amazon.com/dp/B07NN6J4BH</t>
        </is>
      </c>
      <c r="L810" s="114">
        <f>HYPERLINK(Table1410[[#This Row],[Column1]])</f>
        <v/>
      </c>
    </row>
    <row r="811" ht="45" customHeight="1" s="314">
      <c r="A811" s="35" t="inlineStr">
        <is>
          <t>Autel MaxiPRO MP808S Scanner, 2026 MP808S Scan Tool with 2-Year Update, OE ECU Function as MP900-BT MP900 MaxiSys MS906 PRO MS906MAX, 31+ Resets, 3K+ Tests, Up of MP808BT PRO MX900 MK900BT MK900</t>
        </is>
      </c>
      <c r="B811" s="35" t="inlineStr">
        <is>
          <t>B06XY1PY6D</t>
        </is>
      </c>
      <c r="C811" s="35" t="inlineStr">
        <is>
          <t>Tablet</t>
        </is>
      </c>
      <c r="D811" s="359" t="n">
        <v>678.1116666666667</v>
      </c>
      <c r="E811" s="359" t="n">
        <v>40795.9653846154</v>
      </c>
      <c r="F811" s="359" t="n">
        <v>4068.67</v>
      </c>
      <c r="G811" s="68" t="n">
        <v>56</v>
      </c>
      <c r="H811" s="70" t="n">
        <v>6</v>
      </c>
      <c r="I811" s="68" t="n">
        <v>346</v>
      </c>
      <c r="J811" s="69" t="n">
        <v>4.4</v>
      </c>
      <c r="K811" s="69" t="inlineStr">
        <is>
          <t>https://amazon.com/dp/B06XY1PY6D</t>
        </is>
      </c>
      <c r="L811" s="114">
        <f>HYPERLINK(Table1410[[#This Row],[Column1]])</f>
        <v/>
      </c>
    </row>
    <row r="812" ht="45" customHeight="1" s="314">
      <c r="A812" s="35" t="inlineStr">
        <is>
          <t>Autel MaxiSys MS908CV II Truck Scanner: 2026 Heavy Duty Tool for Commercial Semi Trucks, OE C0ding, J-2534 Pr0grammer, 64 Service as MS909CV MS908S Pro II Elite II Pro Ultra Lite</t>
        </is>
      </c>
      <c r="B812" s="35" t="inlineStr">
        <is>
          <t>B0749MHKXT</t>
        </is>
      </c>
      <c r="C812" s="35" t="inlineStr">
        <is>
          <t>Tablet</t>
        </is>
      </c>
      <c r="D812" s="359" t="n">
        <v>3092.245</v>
      </c>
      <c r="E812" s="359" t="n">
        <v>207689.36</v>
      </c>
      <c r="F812" s="359" t="n">
        <v>18553.47</v>
      </c>
      <c r="G812" s="68" t="n">
        <v>72</v>
      </c>
      <c r="H812" s="70" t="n">
        <v>6</v>
      </c>
      <c r="I812" s="68" t="n">
        <v>26</v>
      </c>
      <c r="J812" s="69" t="n">
        <v>4.4</v>
      </c>
      <c r="K812" s="69" t="inlineStr">
        <is>
          <t>https://amazon.com/dp/B0749MHKXT</t>
        </is>
      </c>
      <c r="L812" s="114">
        <f>HYPERLINK(Table1410[[#This Row],[Column1]])</f>
        <v/>
      </c>
    </row>
    <row r="813" ht="45" customHeight="1" s="314">
      <c r="A813" s="35" t="inlineStr">
        <is>
          <t>Autel MaxiPRO MP808S Scanner, 2026 Bidirectional Scan Tool, 2-Year Update, Upgraded of MK808S MX900 MK900BT MP808BT PRO, Advanced ECU Coding as MP900-BT / MS906 PRO, 31+ Resets, All System Diagnostic</t>
        </is>
      </c>
      <c r="B813" s="35" t="inlineStr">
        <is>
          <t>B0BGJBJGQM</t>
        </is>
      </c>
      <c r="C813" s="35" t="inlineStr">
        <is>
          <t>Tablet</t>
        </is>
      </c>
      <c r="D813" s="359" t="n">
        <v>629.7466666666667</v>
      </c>
      <c r="E813" s="359" t="n">
        <v>48720.97000000001</v>
      </c>
      <c r="F813" s="359" t="n">
        <v>3778.48</v>
      </c>
      <c r="G813" s="68" t="n">
        <v>75</v>
      </c>
      <c r="H813" s="70" t="n">
        <v>6</v>
      </c>
      <c r="I813" s="68" t="n">
        <v>48</v>
      </c>
      <c r="J813" s="69" t="n">
        <v>4.7</v>
      </c>
      <c r="K813" s="69" t="inlineStr">
        <is>
          <t>https://amazon.com/dp/B0BGJBJGQM</t>
        </is>
      </c>
      <c r="L813" s="114">
        <f>HYPERLINK(Table1410[[#This Row],[Column1]])</f>
        <v/>
      </c>
    </row>
    <row r="814" ht="45" customHeight="1" s="314">
      <c r="A814" s="35" t="inlineStr">
        <is>
          <t>Autel Scanner MP900Z-BT 2026: Bidirectional OBD2 Scanner with ECU Coding &amp; 40+ Services, Upgraded of MP900/MP900E, Wireless VCI150, DoIP/CAN FD, All-System Diagnostic Tool, Alternative to MS906 Pro</t>
        </is>
      </c>
      <c r="B814" s="35" t="inlineStr">
        <is>
          <t>B0FL7N86JT</t>
        </is>
      </c>
      <c r="C814" s="35" t="inlineStr">
        <is>
          <t>Tablet</t>
        </is>
      </c>
      <c r="D814" s="359" t="n">
        <v>848.3266666666667</v>
      </c>
      <c r="E814" s="359" t="n">
        <v>45822.64769230771</v>
      </c>
      <c r="F814" s="359" t="n">
        <v>5089.96</v>
      </c>
      <c r="G814" s="68" t="n">
        <v>22</v>
      </c>
      <c r="H814" s="70" t="n">
        <v>6</v>
      </c>
      <c r="I814" s="68" t="n">
        <v>6</v>
      </c>
      <c r="J814" s="69" t="n">
        <v>5</v>
      </c>
      <c r="K814" s="69" t="inlineStr">
        <is>
          <t>https://amazon.com/dp/B0FL7N86JT</t>
        </is>
      </c>
      <c r="L814" s="114">
        <f>HYPERLINK(Table1410[[#This Row],[Column1]])</f>
        <v/>
      </c>
    </row>
    <row r="815" ht="45" customHeight="1" s="314">
      <c r="A815" s="35" t="inlineStr">
        <is>
          <t>Autel MaxiCOM MK808S OBD2 Scanner, 2026 Bidirectional Diagnostic Tool as MaxiCheck MX900 MX808S MK900BT MK808BT Pro, 3000+ Active Tests, 28+ Service, All System, Injector Coding, FCA Autoauth OS11</t>
        </is>
      </c>
      <c r="B815" s="35" t="inlineStr">
        <is>
          <t>B07T9J34HT</t>
        </is>
      </c>
      <c r="C815" s="35" t="inlineStr">
        <is>
          <t>Tablet</t>
        </is>
      </c>
      <c r="D815" s="359" t="n">
        <v>476.935</v>
      </c>
      <c r="E815" s="359" t="n">
        <v>32256.45</v>
      </c>
      <c r="F815" s="359" t="n">
        <v>2861.61</v>
      </c>
      <c r="G815" s="68" t="n">
        <v>70</v>
      </c>
      <c r="H815" s="70" t="n">
        <v>6</v>
      </c>
      <c r="I815" s="68" t="n">
        <v>381</v>
      </c>
      <c r="J815" s="69" t="n">
        <v>4.4</v>
      </c>
      <c r="K815" s="69" t="inlineStr">
        <is>
          <t>https://amazon.com/dp/B07T9J34HT</t>
        </is>
      </c>
      <c r="L815" s="114">
        <f>HYPERLINK(Table1410[[#This Row],[Column1]])</f>
        <v/>
      </c>
    </row>
    <row r="816" ht="60" customHeight="1" s="314">
      <c r="A816" s="35" t="inlineStr">
        <is>
          <t>Autel Scanner MAXIDIAG MD600CV Heavy Duty Truck Scanner D-P-F Regen Full System Diesel Diagnostic Scan Tool Wireless Android Touchscreen Tablet for Truck Light Medium and Heavy Duty Truck Vehicle</t>
        </is>
      </c>
      <c r="B816" s="35" t="inlineStr">
        <is>
          <t>B0D97BL8PJ</t>
        </is>
      </c>
      <c r="C816" s="35" t="inlineStr">
        <is>
          <t>Handheld</t>
        </is>
      </c>
      <c r="D816" s="359" t="n">
        <v>997.165</v>
      </c>
      <c r="E816" s="359" t="n">
        <v>61809.55</v>
      </c>
      <c r="F816" s="359" t="n">
        <v>5982.99</v>
      </c>
      <c r="G816" s="68" t="n">
        <v>63</v>
      </c>
      <c r="H816" s="70" t="n">
        <v>6</v>
      </c>
      <c r="I816" s="68" t="n">
        <v>8</v>
      </c>
      <c r="J816" s="69" t="n">
        <v>4.8</v>
      </c>
      <c r="K816" s="69" t="inlineStr">
        <is>
          <t>https://amazon.com/dp/B0D97BL8PJ</t>
        </is>
      </c>
      <c r="L816" s="114">
        <f>HYPERLINK(Table1410[[#This Row],[Column1]])</f>
        <v/>
      </c>
    </row>
    <row r="817" ht="45" customHeight="1" s="314">
      <c r="A817" s="35" t="inlineStr">
        <is>
          <t>Autel MaxiSys Elite II PRO Scanner, 2026 2-Year Free Update [$2590] Elite 2 PRO, J2534 Programming Coding as MSUltra MS919 MS909 UP of MK908P, Motor TruSpeed, 40+ Reset, 3K+ Bidirectional, DoIP CAN FD</t>
        </is>
      </c>
      <c r="B817" s="35" t="inlineStr">
        <is>
          <t>B0F6LPJ94T</t>
        </is>
      </c>
      <c r="C817" s="35" t="inlineStr">
        <is>
          <t>Tablet</t>
        </is>
      </c>
      <c r="D817" s="359" t="n">
        <v>2455.343333333333</v>
      </c>
      <c r="E817" s="359" t="n">
        <v>155824.9446153846</v>
      </c>
      <c r="F817" s="359" t="n">
        <v>14732.06</v>
      </c>
      <c r="G817" s="68" t="n">
        <v>59</v>
      </c>
      <c r="H817" s="70" t="n">
        <v>6</v>
      </c>
      <c r="I817" s="68" t="n">
        <v>2</v>
      </c>
      <c r="J817" s="69" t="n">
        <v>5</v>
      </c>
      <c r="K817" s="69" t="inlineStr">
        <is>
          <t>https://amazon.com/dp/B0F6LPJ94T</t>
        </is>
      </c>
      <c r="L817" s="114">
        <f>HYPERLINK(Table1410[[#This Row],[Column1]])</f>
        <v/>
      </c>
    </row>
    <row r="818" ht="45" customHeight="1" s="314">
      <c r="A818" s="35" t="inlineStr">
        <is>
          <t>Autel Scanner Maxicom MK908 Pro II 2026, J2534 Diagnostic Tool As MS908S PRO II Elite 2 Pro MSUltra w/AutoScan 2.0, Up of MS906MAX/MS906 PRO, 3000+ Active Test 38+ Services OS10.0 4/128G</t>
        </is>
      </c>
      <c r="B818" s="35" t="inlineStr">
        <is>
          <t>B07MV26KVM</t>
        </is>
      </c>
      <c r="C818" s="35" t="inlineStr">
        <is>
          <t>Tablet</t>
        </is>
      </c>
      <c r="D818" s="359" t="n">
        <v>1885.476666666667</v>
      </c>
      <c r="E818" s="359" t="n">
        <v>220170.58</v>
      </c>
      <c r="F818" s="359" t="n">
        <v>11312.86</v>
      </c>
      <c r="G818" s="68" t="n">
        <v>112</v>
      </c>
      <c r="H818" s="70" t="n">
        <v>6</v>
      </c>
      <c r="I818" s="68" t="n">
        <v>71</v>
      </c>
      <c r="J818" s="69" t="n">
        <v>4.2</v>
      </c>
      <c r="K818" s="69" t="inlineStr">
        <is>
          <t>https://amazon.com/dp/B07MV26KVM</t>
        </is>
      </c>
      <c r="L818" s="114">
        <f>HYPERLINK(Table1410[[#This Row],[Column1]])</f>
        <v/>
      </c>
    </row>
    <row r="819" ht="60" customHeight="1" s="314">
      <c r="A819" s="35" t="inlineStr">
        <is>
          <t>Autel Scanner MaxiIM KM100 (X), 2026 Car Diagnostic Scan Tool, OBD-Learn for 99% Cars, Lifetime Free Update, IM508S IM608 PRO II Lite Model, 2.0 Hardware for Home Mechanics &amp; DIYers (KM Series 100)</t>
        </is>
      </c>
      <c r="B819" s="35" t="inlineStr">
        <is>
          <t>B0FX88STZH</t>
        </is>
      </c>
      <c r="C819" s="35" t="inlineStr">
        <is>
          <t>Tablet</t>
        </is>
      </c>
      <c r="D819" s="359" t="n">
        <v>496</v>
      </c>
      <c r="E819" s="359" t="n">
        <v>37547.27846153845</v>
      </c>
      <c r="F819" s="359" t="n">
        <v>2976</v>
      </c>
      <c r="G819" s="68" t="n">
        <v>34</v>
      </c>
      <c r="H819" s="70" t="n">
        <v>6</v>
      </c>
      <c r="I819" s="68" t="n">
        <v>86</v>
      </c>
      <c r="J819" s="69" t="n">
        <v>4.6</v>
      </c>
      <c r="K819" s="69" t="inlineStr">
        <is>
          <t>https://amazon.com/dp/B0FX88STZH</t>
        </is>
      </c>
      <c r="L819" s="114">
        <f>HYPERLINK(Table1410[[#This Row],[Column1]])</f>
        <v/>
      </c>
    </row>
    <row r="820" ht="45" customHeight="1" s="314">
      <c r="A820" s="35" t="inlineStr">
        <is>
          <t>Autel Scanner MaxiCOM MX900, OE All-System OBD2 Scanner &amp; Bidirectional Tool, 8in Up of MK808S MK808BT MX808S MK808Z, 3000+ Active Tests, 40+ Service, CAN-FD&amp;DOIP, Smart Auto VI-N, FCA Auto Auth 11OS</t>
        </is>
      </c>
      <c r="B820" s="35" t="inlineStr">
        <is>
          <t>B0FLY2HCN7</t>
        </is>
      </c>
      <c r="C820" s="35" t="inlineStr">
        <is>
          <t>Tablet</t>
        </is>
      </c>
      <c r="D820" s="359" t="n">
        <v>570.5616666666666</v>
      </c>
      <c r="E820" s="359" t="n">
        <v>56306.50307692309</v>
      </c>
      <c r="F820" s="359" t="n">
        <v>3423.37</v>
      </c>
      <c r="G820" s="68" t="n">
        <v>69</v>
      </c>
      <c r="H820" s="70" t="n">
        <v>6</v>
      </c>
      <c r="I820" s="68" t="n">
        <v>369</v>
      </c>
      <c r="J820" s="69" t="n">
        <v>4.4</v>
      </c>
      <c r="K820" s="69" t="inlineStr">
        <is>
          <t>https://amazon.com/dp/B0FLY2HCN7</t>
        </is>
      </c>
      <c r="L820" s="114">
        <f>HYPERLINK(Table1410[[#This Row],[Column1]])</f>
        <v/>
      </c>
    </row>
    <row r="821" ht="45" customHeight="1" s="314">
      <c r="A821" s="35" t="inlineStr">
        <is>
          <t>Autel MaxiVCI V200 VCI200 OBD2 Adapter Connector, 2026 VCI 200 Car Wireless Communication Interface, Work w/Autel Scanner MaxiSys MS906PRO MS906 PRO-TS KM100 BT608 BT609 ITS600 MK906 PRO MK906 PRO TS</t>
        </is>
      </c>
      <c r="B821" s="35" t="inlineStr">
        <is>
          <t>B0GWPXFNL8</t>
        </is>
      </c>
      <c r="C821" s="35" t="inlineStr">
        <is>
          <t>Dongle</t>
        </is>
      </c>
      <c r="D821" s="359" t="n">
        <v>219</v>
      </c>
      <c r="E821" s="359" t="n">
        <v>15869.07692307692</v>
      </c>
      <c r="F821" s="359" t="n">
        <v>1314</v>
      </c>
      <c r="G821" s="68" t="n">
        <v>6</v>
      </c>
      <c r="H821" s="70" t="n">
        <v>6</v>
      </c>
      <c r="I821" s="68" t="n"/>
      <c r="J821" s="69" t="n"/>
      <c r="K821" s="69" t="inlineStr">
        <is>
          <t>https://amazon.com/dp/B0GWPXFNL8</t>
        </is>
      </c>
      <c r="L821" s="114">
        <f>HYPERLINK(Table1410[[#This Row],[Column1]])</f>
        <v/>
      </c>
    </row>
    <row r="822" ht="60" customHeight="1" s="314">
      <c r="A822" s="35" t="inlineStr">
        <is>
          <t>Autel Scanner MaxiIM IM608 PRO 2, 2026 IM608 PRO II Bidirectional Diagnostic Tool with XP400 PRO GBOX3 APB112, Up of IM508S PRO/ IM608, Advanced Function as Elite II Pro, 3000+ Tests, 40 Reset, OS10</t>
        </is>
      </c>
      <c r="B822" s="35" t="inlineStr">
        <is>
          <t>B08PDMD8ZT</t>
        </is>
      </c>
      <c r="C822" s="35" t="inlineStr">
        <is>
          <t>Tablet</t>
        </is>
      </c>
      <c r="D822" s="359" t="n">
        <v>3012.308333333333</v>
      </c>
      <c r="E822" s="359" t="n">
        <v>173254.9038461539</v>
      </c>
      <c r="F822" s="359" t="n">
        <v>18073.85</v>
      </c>
      <c r="G822" s="68" t="n">
        <v>53</v>
      </c>
      <c r="H822" s="70" t="n">
        <v>6</v>
      </c>
      <c r="I822" s="68" t="n">
        <v>155</v>
      </c>
      <c r="J822" s="69" t="n">
        <v>4.5</v>
      </c>
      <c r="K822" s="69" t="inlineStr">
        <is>
          <t>https://amazon.com/dp/B08PDMD8ZT</t>
        </is>
      </c>
      <c r="L822" s="114">
        <f>HYPERLINK(Table1410[[#This Row],[Column1]])</f>
        <v/>
      </c>
    </row>
    <row r="823" ht="45" customHeight="1" s="314">
      <c r="A823" s="35" t="inlineStr">
        <is>
          <t>Autel MaxiSys MS906MAX OBD2 Scanner, Way Better Than MS906 Pro, 2026 MS906 MAX Up of MS906S MS906BT MS908, ECU Coding, 3000+ Active Test, 40+ Service, All System Diagnostic, CAN FD/DoIP, AutoScan 2.0</t>
        </is>
      </c>
      <c r="B823" s="35" t="inlineStr">
        <is>
          <t>B0DRG4YXXJ</t>
        </is>
      </c>
      <c r="C823" s="35" t="inlineStr">
        <is>
          <t>Tablet</t>
        </is>
      </c>
      <c r="D823" s="359" t="n">
        <v>1685.475</v>
      </c>
      <c r="E823" s="359" t="n">
        <v>141515.55</v>
      </c>
      <c r="F823" s="359" t="n">
        <v>10112.85</v>
      </c>
      <c r="G823" s="68" t="n">
        <v>97</v>
      </c>
      <c r="H823" s="70" t="n">
        <v>6</v>
      </c>
      <c r="I823" s="68" t="n">
        <v>9</v>
      </c>
      <c r="J823" s="69" t="n">
        <v>4.7</v>
      </c>
      <c r="K823" s="69" t="inlineStr">
        <is>
          <t>https://amazon.com/dp/B0DRG4YXXJ</t>
        </is>
      </c>
      <c r="L823" s="114">
        <f>HYPERLINK(Table1410[[#This Row],[Column1]])</f>
        <v/>
      </c>
    </row>
    <row r="824" ht="45" customHeight="1" s="314">
      <c r="A824" s="35" t="inlineStr">
        <is>
          <t>Autel Scanner MaxiDAS DS808S-BT PRO w/ 11pcs Adapters[$200], 2026 Work as MS906 Pro MP900BT MS906MAX, Bidirectional Scan Tool, All-Sys, Up DS808 DS708 MaxiPro MP808S MP808BT, 32+ Service, OS 11</t>
        </is>
      </c>
      <c r="B824" s="35" t="inlineStr">
        <is>
          <t>B0FCSB14KN</t>
        </is>
      </c>
      <c r="C824" s="35" t="inlineStr">
        <is>
          <t>Tablet</t>
        </is>
      </c>
      <c r="D824" s="359" t="n">
        <v>675.4116666666666</v>
      </c>
      <c r="E824" s="359" t="n">
        <v>40243.22461538462</v>
      </c>
      <c r="F824" s="359" t="n">
        <v>4052.47</v>
      </c>
      <c r="G824" s="68" t="n">
        <v>44</v>
      </c>
      <c r="H824" s="70" t="n">
        <v>6</v>
      </c>
      <c r="I824" s="68" t="n"/>
      <c r="J824" s="69" t="n"/>
      <c r="K824" s="69" t="inlineStr">
        <is>
          <t>https://amazon.com/dp/B0FCSB14KN</t>
        </is>
      </c>
      <c r="L824" s="114">
        <f>HYPERLINK(Table1410[[#This Row],[Column1]])</f>
        <v/>
      </c>
    </row>
    <row r="825" ht="60" customHeight="1" s="314">
      <c r="A825" s="35" t="inlineStr">
        <is>
          <t>Autel Maxilink ML619 OBD2 Scanner, New Autel Scanner Upgraded Version of AL519/AL619, Code Reader with ABS SRS Diagnoses for Warning Light Turn Off (Including MIL), Graphs Data, 10 OBD2 Test Modes</t>
        </is>
      </c>
      <c r="B825" s="35" t="inlineStr">
        <is>
          <t>B07HCF5S3M</t>
        </is>
      </c>
      <c r="C825" s="35" t="inlineStr">
        <is>
          <t>Handheld</t>
        </is>
      </c>
      <c r="D825" s="359" t="n">
        <v>105.955</v>
      </c>
      <c r="E825" s="359" t="n">
        <v>17930.66</v>
      </c>
      <c r="F825" s="359" t="n">
        <v>635.73</v>
      </c>
      <c r="G825" s="68" t="n">
        <v>183</v>
      </c>
      <c r="H825" s="70" t="n">
        <v>6</v>
      </c>
      <c r="I825" s="68" t="n">
        <v>13</v>
      </c>
      <c r="J825" s="69" t="n">
        <v>4.2</v>
      </c>
      <c r="K825" s="69" t="inlineStr">
        <is>
          <t>https://amazon.com/dp/B07HCF5S3M</t>
        </is>
      </c>
      <c r="L825" s="114">
        <f>HYPERLINK(Table1410[[#This Row],[Column1]])</f>
        <v/>
      </c>
    </row>
    <row r="826" ht="45" customHeight="1" s="314">
      <c r="A826" s="35" t="inlineStr">
        <is>
          <t>2026 Autel MaxiSYS CV MS908CV II Heavy Duty Truck Scanner, Same as MS909CV Up of MS908CV, J2534 Pr0-grammer, C0ding, Semi Truck Full System Diagnostic Tool, Bidirectional Diesel Scan Tool, 3000+ Tests</t>
        </is>
      </c>
      <c r="B826" s="35" t="inlineStr">
        <is>
          <t>B0CWTM3KVX</t>
        </is>
      </c>
      <c r="C826" s="35" t="inlineStr">
        <is>
          <t>Tablet</t>
        </is>
      </c>
      <c r="D826" s="359" t="n">
        <v>2921.86</v>
      </c>
      <c r="E826" s="359" t="n">
        <v>187675.01</v>
      </c>
      <c r="F826" s="359" t="n">
        <v>17531.16</v>
      </c>
      <c r="G826" s="68" t="n">
        <v>65</v>
      </c>
      <c r="H826" s="70" t="n">
        <v>6</v>
      </c>
      <c r="I826" s="68" t="n">
        <v>16</v>
      </c>
      <c r="J826" s="69" t="n">
        <v>4.8</v>
      </c>
      <c r="K826" s="69" t="inlineStr">
        <is>
          <t>https://amazon.com/dp/B0CWTM3KVX</t>
        </is>
      </c>
      <c r="L826" s="114">
        <f>HYPERLINK(Table1410[[#This Row],[Column1]])</f>
        <v/>
      </c>
    </row>
    <row r="827" ht="45" customHeight="1" s="314">
      <c r="A827" s="35" t="inlineStr">
        <is>
          <t>Autel MaxiAP AP2500 Upgraded AP200/AP200C/AP200H/AP200M Bluetooth OBD2 Code Reader Auto Scanner Car Scan Tool 5+ Service Functions 45+ Car Brands Free APP for Android/iOS Advanced AP2500E</t>
        </is>
      </c>
      <c r="B827" s="35" t="inlineStr">
        <is>
          <t>B0CWNKXDDS</t>
        </is>
      </c>
      <c r="C827" s="35" t="inlineStr">
        <is>
          <t>Dongle</t>
        </is>
      </c>
      <c r="D827" s="359" t="n">
        <v>69.84333333333333</v>
      </c>
      <c r="E827" s="359" t="n">
        <v>7648.724615384615</v>
      </c>
      <c r="F827" s="359" t="n">
        <v>419.06</v>
      </c>
      <c r="G827" s="68" t="n">
        <v>107</v>
      </c>
      <c r="H827" s="70" t="n">
        <v>6</v>
      </c>
      <c r="I827" s="68" t="n">
        <v>28</v>
      </c>
      <c r="J827" s="69" t="n">
        <v>3.2</v>
      </c>
      <c r="K827" s="69" t="inlineStr">
        <is>
          <t>https://amazon.com/dp/B0CWNKXDDS</t>
        </is>
      </c>
      <c r="L827" s="114">
        <f>HYPERLINK(Table1410[[#This Row],[Column1]])</f>
        <v/>
      </c>
    </row>
    <row r="828" ht="17" customHeight="1" s="314">
      <c r="A828" s="35" t="inlineStr">
        <is>
          <t>Autel MaxiDiag MD909 PRO OBD2 Scanner, 2026 MD909PRO Car Code Reader All System Diagnostic Tool, 11 Reset Services, AutoVIN, No Subscription Fee, Lite of MaxiCOM MK808S MX808S MK808BT, CAN FD&amp; FCA SGW</t>
        </is>
      </c>
      <c r="B828" s="35" t="inlineStr">
        <is>
          <t>B0FMRPF7W1</t>
        </is>
      </c>
      <c r="C828" s="35" t="inlineStr">
        <is>
          <t>Tablet</t>
        </is>
      </c>
      <c r="D828" s="359" t="n">
        <v>351.7683333333334</v>
      </c>
      <c r="E828" s="359" t="n">
        <v>32233.5876923077</v>
      </c>
      <c r="F828" s="359" t="n">
        <v>2110.61</v>
      </c>
      <c r="G828" s="68" t="n">
        <v>55</v>
      </c>
      <c r="H828" s="70" t="n">
        <v>6</v>
      </c>
      <c r="I828" s="68" t="n">
        <v>2</v>
      </c>
      <c r="J828" s="69" t="n">
        <v>4.5</v>
      </c>
      <c r="K828" s="69" t="inlineStr">
        <is>
          <t>https://amazon.com/dp/B0FMRPF7W1</t>
        </is>
      </c>
      <c r="L828" s="114">
        <f>HYPERLINK(Table1410[[#This Row],[Column1]])</f>
        <v/>
      </c>
    </row>
    <row r="829" ht="45" customHeight="1" s="314">
      <c r="A829" s="35" t="inlineStr">
        <is>
          <t>Autel Scanner IM608 PRO 2, 2026 IM608 II Automotive Diagnostic Tool with XP400 PRO GBOX3 Up of IM508S PRO/IM608 Advanced Function as Elite II Pro, 3000+ Tests, 40 Reset, OS10 4/128GB CAN FD DoIP</t>
        </is>
      </c>
      <c r="B829" s="35" t="inlineStr">
        <is>
          <t>B0FMKDJD8S</t>
        </is>
      </c>
      <c r="C829" s="35" t="inlineStr">
        <is>
          <t>Tablet</t>
        </is>
      </c>
      <c r="D829" s="359" t="n">
        <v>2967.208</v>
      </c>
      <c r="E829" s="359" t="n">
        <v>167874.543076923</v>
      </c>
      <c r="F829" s="359" t="n">
        <v>14836.04</v>
      </c>
      <c r="G829" s="68" t="n">
        <v>23</v>
      </c>
      <c r="H829" s="70" t="n">
        <v>5</v>
      </c>
      <c r="I829" s="68" t="n">
        <v>4</v>
      </c>
      <c r="J829" s="69" t="n">
        <v>5</v>
      </c>
      <c r="K829" s="69" t="inlineStr">
        <is>
          <t>https://amazon.com/dp/B0FMKDJD8S</t>
        </is>
      </c>
      <c r="L829" s="114">
        <f>HYPERLINK(Table1410[[#This Row],[Column1]])</f>
        <v/>
      </c>
    </row>
    <row r="830" ht="45" customHeight="1" s="314">
      <c r="A830" s="35" t="inlineStr">
        <is>
          <t>Autel MaxiSYS MS906 PRO-TS Scanner, 2026 MS906 Pro TS Up of MS906 MAX MS906Pro MP900TS MS906TS MP900BT, OE TPMS &amp; Code, Bidirectional Scan Tool, 3000+ Test, 36+ Service, DOIP&amp;CAN FD, FCA</t>
        </is>
      </c>
      <c r="B830" s="35" t="inlineStr">
        <is>
          <t>B008PTN992</t>
        </is>
      </c>
      <c r="C830" s="35" t="inlineStr">
        <is>
          <t>Handheld</t>
        </is>
      </c>
      <c r="D830" s="359" t="n">
        <v>1681.67</v>
      </c>
      <c r="E830" s="359" t="n">
        <v>110950.19</v>
      </c>
      <c r="F830" s="359" t="n">
        <v>8408.35</v>
      </c>
      <c r="G830" s="68" t="n">
        <v>70</v>
      </c>
      <c r="H830" s="70" t="n">
        <v>5</v>
      </c>
      <c r="I830" s="68" t="n">
        <v>122</v>
      </c>
      <c r="J830" s="69" t="n">
        <v>4.6</v>
      </c>
      <c r="K830" s="69" t="inlineStr">
        <is>
          <t>https://amazon.com/dp/B008PTN992</t>
        </is>
      </c>
      <c r="L830" s="114">
        <f>HYPERLINK(Table1410[[#This Row],[Column1]])</f>
        <v/>
      </c>
    </row>
    <row r="831" ht="45" customHeight="1" s="314">
      <c r="A831" s="35" t="inlineStr">
        <is>
          <t>Autel Scanner MaxiCOM MK900BT, 2026 MK900-BT Bidirectional OBD2 Diagnostic Tool CAN FD DoIP, BT 2.0 Up. of MK900 MK808S MK808BT PRO MX900 MX808S, 40+ Service 3000+ Active Tests, OE Diagnostic, FCA SGW</t>
        </is>
      </c>
      <c r="B831" s="35" t="inlineStr">
        <is>
          <t>B0BSB1CZ8H</t>
        </is>
      </c>
      <c r="C831" s="35" t="inlineStr">
        <is>
          <t>Tablet</t>
        </is>
      </c>
      <c r="D831" s="359" t="n">
        <v>645.302</v>
      </c>
      <c r="E831" s="359" t="n">
        <v>49952.37</v>
      </c>
      <c r="F831" s="359" t="n">
        <v>3226.51</v>
      </c>
      <c r="G831" s="68" t="n">
        <v>80</v>
      </c>
      <c r="H831" s="70" t="n">
        <v>5</v>
      </c>
      <c r="I831" s="68" t="n">
        <v>22</v>
      </c>
      <c r="J831" s="69" t="n">
        <v>4.7</v>
      </c>
      <c r="K831" s="69" t="inlineStr">
        <is>
          <t>https://amazon.com/dp/B0BSB1CZ8H</t>
        </is>
      </c>
      <c r="L831" s="114">
        <f>HYPERLINK(Table1410[[#This Row],[Column1]])</f>
        <v/>
      </c>
    </row>
    <row r="832" ht="45" customHeight="1" s="314">
      <c r="A832" s="35" t="inlineStr">
        <is>
          <t>Autel MaxiCOM MK908 II Scanner: 2026 Up of MS906 PRO MS906MAX MP900BT MS906BT MK908, 38+ Services as Elite 2 PRO MK908P II MS908S Pro II, 3K+ Bidirectional Scan Tool, OE All Sys, Auto Scan 2.0, OS 10</t>
        </is>
      </c>
      <c r="B832" s="35" t="inlineStr">
        <is>
          <t>B07PDG5YR9</t>
        </is>
      </c>
      <c r="C832" s="35" t="inlineStr">
        <is>
          <t>Tablet</t>
        </is>
      </c>
      <c r="D832" s="359" t="n">
        <v>1481.594</v>
      </c>
      <c r="E832" s="359" t="n">
        <v>84657.20999999998</v>
      </c>
      <c r="F832" s="359" t="n">
        <v>7407.97</v>
      </c>
      <c r="G832" s="68" t="n">
        <v>55</v>
      </c>
      <c r="H832" s="70" t="n">
        <v>5</v>
      </c>
      <c r="I832" s="68" t="n">
        <v>36</v>
      </c>
      <c r="J832" s="69" t="n">
        <v>4.8</v>
      </c>
      <c r="K832" s="69" t="inlineStr">
        <is>
          <t>https://amazon.com/dp/B07PDG5YR9</t>
        </is>
      </c>
      <c r="L832" s="114">
        <f>HYPERLINK(Table1410[[#This Row],[Column1]])</f>
        <v/>
      </c>
    </row>
    <row r="833" ht="45" customHeight="1" s="314">
      <c r="A833" s="35" t="inlineStr">
        <is>
          <t>Autel MaxiIM IMKPA KIT - 12Pcs Expanded Fo-b Programming Chips w/Case, Work with XP400 PRO + Autel IM608 PRO II IM608S II IM608 PRO IM608 II IM508S IM508, Advanced for Benz/BWM/VW/Audi</t>
        </is>
      </c>
      <c r="B833" s="35" t="inlineStr">
        <is>
          <t>B08PPFNLSR</t>
        </is>
      </c>
      <c r="C833" s="35" t="inlineStr">
        <is>
          <t>Key</t>
        </is>
      </c>
      <c r="D833" s="359" t="n">
        <v>244.77</v>
      </c>
      <c r="E833" s="359" t="n">
        <v>10799</v>
      </c>
      <c r="F833" s="359" t="n">
        <v>1223.85</v>
      </c>
      <c r="G833" s="68" t="n">
        <v>45</v>
      </c>
      <c r="H833" s="70" t="n">
        <v>5</v>
      </c>
      <c r="I833" s="68" t="n">
        <v>15</v>
      </c>
      <c r="J833" s="69" t="n">
        <v>4.8</v>
      </c>
      <c r="K833" s="69" t="inlineStr">
        <is>
          <t>https://amazon.com/dp/B08PPFNLSR</t>
        </is>
      </c>
      <c r="L833" s="114">
        <f>HYPERLINK(Table1410[[#This Row],[Column1]])</f>
        <v/>
      </c>
    </row>
    <row r="834" ht="60" customHeight="1" s="314">
      <c r="A834" s="35" t="inlineStr">
        <is>
          <t>Autel Maxisys Elite 2 Pro Scanner, 2026 2-Year Free Update Elite II Pro,Same as MS Ultra MS908S PRO II, Motor TruSpeed Repair, 40+ Hot Services 3K+ Active Test, CANFD &amp;DoIP</t>
        </is>
      </c>
      <c r="B834" s="35" t="inlineStr">
        <is>
          <t>B0761SHWQC</t>
        </is>
      </c>
      <c r="C834" s="35" t="inlineStr">
        <is>
          <t>Tablet</t>
        </is>
      </c>
      <c r="D834" s="359" t="n">
        <v>2208.582</v>
      </c>
      <c r="E834" s="359" t="n">
        <v>113943.44</v>
      </c>
      <c r="F834" s="359" t="n">
        <v>11042.91</v>
      </c>
      <c r="G834" s="68" t="n">
        <v>50</v>
      </c>
      <c r="H834" s="70" t="n">
        <v>5</v>
      </c>
      <c r="I834" s="68" t="n">
        <v>28</v>
      </c>
      <c r="J834" s="69" t="n">
        <v>4.5</v>
      </c>
      <c r="K834" s="69" t="inlineStr">
        <is>
          <t>https://amazon.com/dp/B0761SHWQC</t>
        </is>
      </c>
      <c r="L834" s="114">
        <f>HYPERLINK(Table1410[[#This Row],[Column1]])</f>
        <v/>
      </c>
    </row>
    <row r="835" ht="60" customHeight="1" s="314">
      <c r="A835" s="35" t="inlineStr">
        <is>
          <t>Autel MaxiCheck MX900 Bidirectional Scanner, 2026 OBD2 Scan Tool Up of MaxiCOM MK808S MX808S MK808BT Pro, US Ver. of MK900BT w/ 3000+ Active Test, 40+ Service, CAN-FD&amp;DOIP, All-Sys Diagnose, FCA 11 OS</t>
        </is>
      </c>
      <c r="B835" s="35" t="inlineStr">
        <is>
          <t>B0GNTKBQD8</t>
        </is>
      </c>
      <c r="C835" s="35" t="inlineStr">
        <is>
          <t>Tablet</t>
        </is>
      </c>
      <c r="D835" s="359" t="n">
        <v>633.292</v>
      </c>
      <c r="E835" s="359" t="n">
        <v>35318.20769230769</v>
      </c>
      <c r="F835" s="359" t="n">
        <v>3166.46</v>
      </c>
      <c r="G835" s="68" t="n">
        <v>5</v>
      </c>
      <c r="H835" s="70" t="n">
        <v>5</v>
      </c>
      <c r="I835" s="68" t="n">
        <v>6</v>
      </c>
      <c r="J835" s="69" t="n">
        <v>4.7</v>
      </c>
      <c r="K835" s="69" t="inlineStr">
        <is>
          <t>https://amazon.com/dp/B0GNTKBQD8</t>
        </is>
      </c>
      <c r="L835" s="114">
        <f>HYPERLINK(Table1410[[#This Row],[Column1]])</f>
        <v/>
      </c>
    </row>
    <row r="836" ht="60" customHeight="1" s="314">
      <c r="A836" s="35" t="inlineStr">
        <is>
          <t>Autel MD600CV Heavy Duty Truck Scanner with D-P*F Regen/VGT Programming, Diesel Truck Full-System Diagnostic Scan Tool, 30+ Reset for Cummins, Detroit, Caterpillar, Volvo, Paccar, Dodge, Hino,Thomas</t>
        </is>
      </c>
      <c r="B836" s="35" t="inlineStr">
        <is>
          <t>B0D95SMX19</t>
        </is>
      </c>
      <c r="C836" s="35" t="inlineStr">
        <is>
          <t>Handheld</t>
        </is>
      </c>
      <c r="D836" s="359" t="n">
        <v>891.256</v>
      </c>
      <c r="E836" s="359" t="n">
        <v>36330.42</v>
      </c>
      <c r="F836" s="359" t="n">
        <v>4456.28</v>
      </c>
      <c r="G836" s="68" t="n">
        <v>36</v>
      </c>
      <c r="H836" s="70" t="n">
        <v>5</v>
      </c>
      <c r="I836" s="68" t="n">
        <v>3</v>
      </c>
      <c r="J836" s="69" t="n">
        <v>5</v>
      </c>
      <c r="K836" s="69" t="inlineStr">
        <is>
          <t>https://amazon.com/dp/B0D95SMX19</t>
        </is>
      </c>
      <c r="L836" s="114">
        <f>HYPERLINK(Table1410[[#This Row],[Column1]])</f>
        <v/>
      </c>
    </row>
    <row r="837" ht="45" customHeight="1" s="314">
      <c r="A837" s="35" t="inlineStr">
        <is>
          <t>Autel Scanner MaxiCheck MX808S-TS, 2026 TPMS &amp; Bidirectional Diagnostic Scan Tool, Same as MK900TS MK808S-TS TS900 Up of MK808S MX808S, Top TPMS Programming Tool, 3000+ Test, 28+ Service, FCA, OS 11</t>
        </is>
      </c>
      <c r="B837" s="35" t="inlineStr">
        <is>
          <t>B09QX781WY</t>
        </is>
      </c>
      <c r="C837" s="35" t="inlineStr">
        <is>
          <t>Tablet</t>
        </is>
      </c>
      <c r="D837" s="359" t="n">
        <v>605.15</v>
      </c>
      <c r="E837" s="359" t="n">
        <v>76293.39999999999</v>
      </c>
      <c r="F837" s="359" t="n">
        <v>3025.75</v>
      </c>
      <c r="G837" s="68" t="n">
        <v>118</v>
      </c>
      <c r="H837" s="70" t="n">
        <v>5</v>
      </c>
      <c r="I837" s="68" t="n">
        <v>76</v>
      </c>
      <c r="J837" s="69" t="n">
        <v>4.5</v>
      </c>
      <c r="K837" s="69" t="inlineStr">
        <is>
          <t>https://amazon.com/dp/B09QX781WY</t>
        </is>
      </c>
      <c r="L837" s="114">
        <f>HYPERLINK(Table1410[[#This Row],[Column1]])</f>
        <v/>
      </c>
    </row>
    <row r="838" ht="45" customHeight="1" s="314">
      <c r="A838" s="35" t="inlineStr">
        <is>
          <t>Autel AP2500E Bluetooth Code Reader OBD2 Scanner, Oil Reset, TPMS, EV Battery, BMS Reset, All-System Code Read/Clear, OBD2 10 Tests, Check Engine Light, 45+ Car Brands, for Android/iOS</t>
        </is>
      </c>
      <c r="B838" s="35" t="inlineStr">
        <is>
          <t>B0CPDTN8SB</t>
        </is>
      </c>
      <c r="C838" s="35" t="inlineStr">
        <is>
          <t>Dongle</t>
        </is>
      </c>
      <c r="D838" s="359" t="n">
        <v>57.252</v>
      </c>
      <c r="E838" s="359" t="n">
        <v>18053.16</v>
      </c>
      <c r="F838" s="359" t="n">
        <v>286.26</v>
      </c>
      <c r="G838" s="68" t="n">
        <v>309</v>
      </c>
      <c r="H838" s="70" t="n">
        <v>5</v>
      </c>
      <c r="I838" s="68" t="n">
        <v>150</v>
      </c>
      <c r="J838" s="69" t="n">
        <v>3.6</v>
      </c>
      <c r="K838" s="69" t="inlineStr">
        <is>
          <t>https://amazon.com/dp/B0CPDTN8SB</t>
        </is>
      </c>
      <c r="L838" s="114">
        <f>HYPERLINK(Table1410[[#This Row],[Column1]])</f>
        <v/>
      </c>
    </row>
    <row r="839" ht="45" customHeight="1" s="314">
      <c r="A839" s="35" t="inlineStr">
        <is>
          <t>Autel Scanner MK906 PRO2-TS with V2.0 Full TPMS &amp; ECU Coding, Bi-Directional Diagnostic Scan Tool, Upgrade of MS906 PRO-TS MK906 PRO-TS MP900TS MS906 MAX, 40+ Resets, 3000+ Active Tests, CAN FD &amp; DoIP</t>
        </is>
      </c>
      <c r="B839" s="35" t="inlineStr">
        <is>
          <t>B0GCN51PM5</t>
        </is>
      </c>
      <c r="C839" s="35" t="inlineStr">
        <is>
          <t>Tablet</t>
        </is>
      </c>
      <c r="D839" s="359" t="n">
        <v>1626.222</v>
      </c>
      <c r="E839" s="359" t="n">
        <v>88434.12999999999</v>
      </c>
      <c r="F839" s="359" t="n">
        <v>8131.11</v>
      </c>
      <c r="G839" s="68" t="n">
        <v>8</v>
      </c>
      <c r="H839" s="70" t="n">
        <v>5</v>
      </c>
      <c r="I839" s="68" t="n">
        <v>1</v>
      </c>
      <c r="J839" s="69" t="n">
        <v>5</v>
      </c>
      <c r="K839" s="69" t="inlineStr">
        <is>
          <t>https://amazon.com/dp/B0GCN51PM5</t>
        </is>
      </c>
      <c r="L839" s="114">
        <f>HYPERLINK(Table1410[[#This Row],[Column1]])</f>
        <v/>
      </c>
    </row>
    <row r="840" ht="60" customHeight="1" s="314">
      <c r="A840" s="35" t="inlineStr">
        <is>
          <t>Autel Scanner MaxiCOM MK906S PRO 2-TS: 2026 Up of MaxiSYS MS906 PRO2-TS/ MS906 MAX/ MS906PRO TS, Coding Same as Elite II PRO, Top TPMS Programming Tool, 40+ Services 3000+ Active Tests CAN FD DOIP</t>
        </is>
      </c>
      <c r="B840" s="35" t="inlineStr">
        <is>
          <t>B09YM9KJ1F</t>
        </is>
      </c>
      <c r="C840" s="35" t="inlineStr">
        <is>
          <t>Tablet</t>
        </is>
      </c>
      <c r="D840" s="359" t="n">
        <v>1492.94</v>
      </c>
      <c r="E840" s="359" t="n">
        <v>68594.70153846154</v>
      </c>
      <c r="F840" s="359" t="n">
        <v>7464.7</v>
      </c>
      <c r="G840" s="68" t="n">
        <v>22</v>
      </c>
      <c r="H840" s="70" t="n">
        <v>5</v>
      </c>
      <c r="I840" s="68" t="n">
        <v>9</v>
      </c>
      <c r="J840" s="69" t="n">
        <v>4.5</v>
      </c>
      <c r="K840" s="69" t="inlineStr">
        <is>
          <t>https://amazon.com/dp/B09YM9KJ1F</t>
        </is>
      </c>
      <c r="L840" s="114">
        <f>HYPERLINK(Table1410[[#This Row],[Column1]])</f>
        <v/>
      </c>
    </row>
    <row r="841" ht="45" customHeight="1" s="314">
      <c r="A841" s="35" t="inlineStr">
        <is>
          <t>Autel MaxiSYS MS906 PRO-TS Scanner: 2026 MS906Pro TS Up of MP900TS MK900TS MP900BT Kit MS906 MAX, Full TPMS &amp; OE C0ding, Bidirectional Tool, 3000+ Active Test, 36+ Service, CAN FD&amp;DoIP, Auto Scan 2.0</t>
        </is>
      </c>
      <c r="B841" s="35" t="inlineStr">
        <is>
          <t>B073ZMGT2R</t>
        </is>
      </c>
      <c r="C841" s="35" t="inlineStr">
        <is>
          <t>Tablet</t>
        </is>
      </c>
      <c r="D841" s="359" t="n">
        <v>1651.378</v>
      </c>
      <c r="E841" s="359" t="n">
        <v>89065.42923076922</v>
      </c>
      <c r="F841" s="359" t="n">
        <v>8256.889999999999</v>
      </c>
      <c r="G841" s="68" t="n">
        <v>47</v>
      </c>
      <c r="H841" s="70" t="n">
        <v>5</v>
      </c>
      <c r="I841" s="68" t="n">
        <v>48</v>
      </c>
      <c r="J841" s="69" t="n">
        <v>4.8</v>
      </c>
      <c r="K841" s="69" t="inlineStr">
        <is>
          <t>https://amazon.com/dp/B073ZMGT2R</t>
        </is>
      </c>
      <c r="L841" s="114">
        <f>HYPERLINK(Table1410[[#This Row],[Column1]])</f>
        <v/>
      </c>
    </row>
    <row r="842" ht="45" customHeight="1" s="314">
      <c r="A842" s="35" t="inlineStr">
        <is>
          <t>Autel MaxiSYS MS906 PRO Scanner, 2026 MS906PRO Same as MS906MAX, V2.0 Upgraded of MS908S Elite 2 MS906BT MP900BT, DoIP CAN FD, 36+ Service, Bidirectional 3000+ Active Test, VAG Guided</t>
        </is>
      </c>
      <c r="B842" s="35" t="inlineStr">
        <is>
          <t>B07GWHXWBQ</t>
        </is>
      </c>
      <c r="C842" s="35" t="inlineStr">
        <is>
          <t>Other</t>
        </is>
      </c>
      <c r="D842" s="359" t="n">
        <v>1589.736</v>
      </c>
      <c r="E842" s="359" t="n">
        <v>72117.50153846154</v>
      </c>
      <c r="F842" s="359" t="n">
        <v>7948.68</v>
      </c>
      <c r="G842" s="68" t="n">
        <v>14</v>
      </c>
      <c r="H842" s="70" t="n">
        <v>5</v>
      </c>
      <c r="I842" s="68" t="n">
        <v>39</v>
      </c>
      <c r="J842" s="69" t="n">
        <v>4.6</v>
      </c>
      <c r="K842" s="69" t="inlineStr">
        <is>
          <t>https://amazon.com/dp/B07GWHXWBQ</t>
        </is>
      </c>
      <c r="L842" s="114">
        <f>HYPERLINK(Table1410[[#This Row],[Column1]])</f>
        <v/>
      </c>
    </row>
    <row r="843" ht="45" customHeight="1" s="314">
      <c r="A843" s="35" t="inlineStr">
        <is>
          <t>Autel MaxiPRO MP900TS Scanner: 2026 MP900-TS Same as MS906 Pro-TS, Top TPMS Up of MaxiSYS MS906 PRO MS906TS MP900-BT MK900-TS, Bidirectional Scan Tool, 40+ Resets, Full Diagnostic, CAN FD&amp;DOIP</t>
        </is>
      </c>
      <c r="B843" s="35" t="inlineStr">
        <is>
          <t>B07YJGHSD4</t>
        </is>
      </c>
      <c r="C843" s="35" t="inlineStr">
        <is>
          <t>Tablet</t>
        </is>
      </c>
      <c r="D843" s="359" t="n">
        <v>1032.894</v>
      </c>
      <c r="E843" s="359" t="n">
        <v>45523.29</v>
      </c>
      <c r="F843" s="359" t="n">
        <v>5164.47</v>
      </c>
      <c r="G843" s="68" t="n">
        <v>42</v>
      </c>
      <c r="H843" s="70" t="n">
        <v>5</v>
      </c>
      <c r="I843" s="68" t="n">
        <v>169</v>
      </c>
      <c r="J843" s="69" t="n">
        <v>4.5</v>
      </c>
      <c r="K843" s="69" t="inlineStr">
        <is>
          <t>https://amazon.com/dp/B07YJGHSD4</t>
        </is>
      </c>
      <c r="L843" s="114">
        <f>HYPERLINK(Table1410[[#This Row],[Column1]])</f>
        <v/>
      </c>
    </row>
    <row r="844" ht="45" customHeight="1" s="314">
      <c r="A844" s="35" t="inlineStr">
        <is>
          <t>Autel AutoLink AL439 OBD2 Scanner, 2024 OBD2/EOBD Code Reader &amp; Electrical Testing Diagnostic Scan Tool, I/M Readiness, Reads &amp; Clears Codes, Live Data, Work on 1996 &amp; Newer for DIYers Professionals</t>
        </is>
      </c>
      <c r="B844" s="35" t="inlineStr">
        <is>
          <t>B0D2CY68J1</t>
        </is>
      </c>
      <c r="C844" s="35" t="inlineStr">
        <is>
          <t>Handheld</t>
        </is>
      </c>
      <c r="D844" s="359" t="n">
        <v>70.97799999999999</v>
      </c>
      <c r="E844" s="359" t="n">
        <v>663.34</v>
      </c>
      <c r="F844" s="359" t="n">
        <v>354.89</v>
      </c>
      <c r="G844" s="68" t="n">
        <v>9</v>
      </c>
      <c r="H844" s="70" t="n">
        <v>5</v>
      </c>
      <c r="I844" s="68" t="n">
        <v>5</v>
      </c>
      <c r="J844" s="69" t="n">
        <v>5</v>
      </c>
      <c r="K844" s="69" t="inlineStr">
        <is>
          <t>https://amazon.com/dp/B0D2CY68J1</t>
        </is>
      </c>
      <c r="L844" s="114">
        <f>HYPERLINK(Table1410[[#This Row],[Column1]])</f>
        <v/>
      </c>
    </row>
    <row r="845" ht="45" customHeight="1" s="314">
      <c r="A845" s="35" t="inlineStr">
        <is>
          <t>Autel MaxiSys Ultra Scanner, 2026 Top Intelligent Scan Tool with MV108 &amp; 5-in-1 VCMI [$2000], Up of Ultra Lite/ MS919/ MS909 S2/ Elite, Motor TruSpeed, Topology Map 2.0, 40+ Service, Programming ﻿</t>
        </is>
      </c>
      <c r="B845" s="35" t="inlineStr">
        <is>
          <t>B0C1FFYHFF</t>
        </is>
      </c>
      <c r="C845" s="35" t="inlineStr">
        <is>
          <t>Tablet</t>
        </is>
      </c>
      <c r="D845" s="359" t="n">
        <v>3945.218</v>
      </c>
      <c r="E845" s="359" t="n">
        <v>520259.9400000001</v>
      </c>
      <c r="F845" s="359" t="n">
        <v>19726.09</v>
      </c>
      <c r="G845" s="68" t="n">
        <v>135</v>
      </c>
      <c r="H845" s="70" t="n">
        <v>5</v>
      </c>
      <c r="I845" s="68" t="n">
        <v>20</v>
      </c>
      <c r="J845" s="69" t="n">
        <v>4.1</v>
      </c>
      <c r="K845" s="69" t="inlineStr">
        <is>
          <t>https://amazon.com/dp/B0C1FFYHFF</t>
        </is>
      </c>
      <c r="L845" s="114">
        <f>HYPERLINK(Table1410[[#This Row],[Column1]])</f>
        <v/>
      </c>
    </row>
    <row r="846" ht="45" customHeight="1" s="314">
      <c r="A846" s="35" t="inlineStr">
        <is>
          <t>Autel EVDiag Box EV Diagnostics Upgrade Kit Professional Electric Vehicle Scanner for EV High-Voltage Sys &amp; Battery Pack Diagnostics Test Compatible with MaxiSys Ultra/Ultra ADAS/ MS919/ MS909</t>
        </is>
      </c>
      <c r="B846" s="35" t="inlineStr">
        <is>
          <t>B0BS8MC2V7</t>
        </is>
      </c>
      <c r="C846" s="35" t="inlineStr">
        <is>
          <t>VCI</t>
        </is>
      </c>
      <c r="D846" s="359" t="n">
        <v>820.778</v>
      </c>
      <c r="E846" s="359" t="n">
        <v>11775.47615384616</v>
      </c>
      <c r="F846" s="359" t="n">
        <v>4103.89</v>
      </c>
      <c r="G846" s="68" t="n">
        <v>9</v>
      </c>
      <c r="H846" s="70" t="n">
        <v>5</v>
      </c>
      <c r="I846" s="68" t="n"/>
      <c r="J846" s="69" t="n"/>
      <c r="K846" s="69" t="inlineStr">
        <is>
          <t>https://amazon.com/dp/B0BS8MC2V7</t>
        </is>
      </c>
      <c r="L846" s="114">
        <f>HYPERLINK(Table1410[[#This Row],[Column1]])</f>
        <v/>
      </c>
    </row>
    <row r="847" ht="17" customHeight="1" s="314">
      <c r="A847" s="35" t="inlineStr">
        <is>
          <t>Autel MaxiVCI VCI200 OBDII Connector, Bluetooth Vehicle Communication Interface Comprehensive Diagnosis DoIP CAN FD Work with BT508 BT608 BT609 ITS600 KM100 MS906Pro MS906Pro-TS MK906SPRO MK906 Pro-TS</t>
        </is>
      </c>
      <c r="B847" s="35" t="inlineStr">
        <is>
          <t>B0BNHS5XKV</t>
        </is>
      </c>
      <c r="C847" s="35" t="inlineStr">
        <is>
          <t>Dongle</t>
        </is>
      </c>
      <c r="D847" s="359" t="n">
        <v>208.966</v>
      </c>
      <c r="E847" s="359" t="n">
        <v>15170.76</v>
      </c>
      <c r="F847" s="359" t="n">
        <v>1044.83</v>
      </c>
      <c r="G847" s="68" t="n">
        <v>73</v>
      </c>
      <c r="H847" s="70" t="n">
        <v>5</v>
      </c>
      <c r="I847" s="68" t="n">
        <v>7</v>
      </c>
      <c r="J847" s="69" t="n">
        <v>5</v>
      </c>
      <c r="K847" s="69" t="inlineStr">
        <is>
          <t>https://amazon.com/dp/B0BNHS5XKV</t>
        </is>
      </c>
      <c r="L847" s="114">
        <f>HYPERLINK(Table1410[[#This Row],[Column1]])</f>
        <v/>
      </c>
    </row>
    <row r="848" ht="45" customHeight="1" s="314">
      <c r="A848" s="35" t="inlineStr">
        <is>
          <t>Autel MaxiSys Elite II Pro Scanner, 2026 2 Years Free Update Elite 2 Pro, J2534 Reprogramming Tool as Ultra MS909 MS919 Up of MS908SP II MK908P II, Motor TruSpeed, 45+ Resets, CAN FD DoIP, 3K+ Test</t>
        </is>
      </c>
      <c r="B848" s="35" t="inlineStr">
        <is>
          <t>B01EHL39ZU</t>
        </is>
      </c>
      <c r="C848" s="35" t="inlineStr">
        <is>
          <t>Tablet</t>
        </is>
      </c>
      <c r="D848" s="359" t="n">
        <v>2586.468</v>
      </c>
      <c r="E848" s="359" t="n">
        <v>182636.34</v>
      </c>
      <c r="F848" s="359" t="n">
        <v>12932.34</v>
      </c>
      <c r="G848" s="68" t="n">
        <v>77</v>
      </c>
      <c r="H848" s="70" t="n">
        <v>5</v>
      </c>
      <c r="I848" s="68" t="n">
        <v>161</v>
      </c>
      <c r="J848" s="69" t="n">
        <v>4.4</v>
      </c>
      <c r="K848" s="69" t="inlineStr">
        <is>
          <t>https://amazon.com/dp/B01EHL39ZU</t>
        </is>
      </c>
      <c r="L848" s="114">
        <f>HYPERLINK(Table1410[[#This Row],[Column1]])</f>
        <v/>
      </c>
    </row>
    <row r="849" ht="60" customHeight="1" s="314">
      <c r="A849" s="35" t="inlineStr">
        <is>
          <t>Autel MaxiIM IM608 PRO 2 Scanner with Full Kit ($1316), 2026 IM608 PRO II Diagnostic Tool Upgrade of IM608 Pro IM608S II IM508S, ECU as Elite II Pro, 40+Reset, 3000+ Active Tests, Full System</t>
        </is>
      </c>
      <c r="B849" s="35" t="inlineStr">
        <is>
          <t>B07NYR2STX</t>
        </is>
      </c>
      <c r="C849" s="35" t="inlineStr">
        <is>
          <t>Tablet</t>
        </is>
      </c>
      <c r="D849" s="359" t="n">
        <v>3318.036</v>
      </c>
      <c r="E849" s="359" t="n">
        <v>117504.1623076923</v>
      </c>
      <c r="F849" s="359" t="n">
        <v>16590.18</v>
      </c>
      <c r="G849" s="68" t="n">
        <v>31</v>
      </c>
      <c r="H849" s="70" t="n">
        <v>5</v>
      </c>
      <c r="I849" s="68" t="n">
        <v>8</v>
      </c>
      <c r="J849" s="69" t="n">
        <v>4.5</v>
      </c>
      <c r="K849" s="69" t="inlineStr">
        <is>
          <t>https://amazon.com/dp/B07NYR2STX</t>
        </is>
      </c>
      <c r="L849" s="114">
        <f>HYPERLINK(Table1410[[#This Row],[Column1]])</f>
        <v/>
      </c>
    </row>
    <row r="850" ht="60" customHeight="1" s="314">
      <c r="A850" s="35" t="inlineStr">
        <is>
          <t>Autel MaxiCOM MK900-TS TPMS Scanner, 2026 Bidirectional Tool Updated of MaxiCheck MX808S-TS, MK808S-TS, MS906TS w/ 40+ Service, 3000+ Active Tests, All System Diagnose, No-IP Limited Ver. of MX900TS</t>
        </is>
      </c>
      <c r="B850" s="35" t="inlineStr">
        <is>
          <t>B08DFPK2HC</t>
        </is>
      </c>
      <c r="C850" s="35" t="inlineStr">
        <is>
          <t>Tablet</t>
        </is>
      </c>
      <c r="D850" s="359" t="n">
        <v>864.324</v>
      </c>
      <c r="E850" s="359" t="n">
        <v>63102.88999999999</v>
      </c>
      <c r="F850" s="359" t="n">
        <v>4321.62</v>
      </c>
      <c r="G850" s="68" t="n">
        <v>72</v>
      </c>
      <c r="H850" s="70" t="n">
        <v>5</v>
      </c>
      <c r="I850" s="68" t="n">
        <v>20</v>
      </c>
      <c r="J850" s="69" t="n">
        <v>4.4</v>
      </c>
      <c r="K850" s="69" t="inlineStr">
        <is>
          <t>https://amazon.com/dp/B08DFPK2HC</t>
        </is>
      </c>
      <c r="L850" s="114">
        <f>HYPERLINK(Table1410[[#This Row],[Column1]])</f>
        <v/>
      </c>
    </row>
    <row r="851" ht="60" customHeight="1" s="314">
      <c r="A851" s="35" t="inlineStr">
        <is>
          <t>AutoLINK AL629</t>
        </is>
      </c>
      <c r="B851" s="35" t="inlineStr">
        <is>
          <t>B073RDY1PX</t>
        </is>
      </c>
      <c r="C851" s="35" t="inlineStr">
        <is>
          <t>Handheld</t>
        </is>
      </c>
      <c r="D851" s="359" t="n">
        <v>140.8975</v>
      </c>
      <c r="E851" s="359" t="n">
        <v>11934.3</v>
      </c>
      <c r="F851" s="359" t="n">
        <v>563.59</v>
      </c>
      <c r="G851" s="68" t="n">
        <v>83</v>
      </c>
      <c r="H851" s="70" t="n">
        <v>4</v>
      </c>
      <c r="I851" s="68" t="n">
        <v>139</v>
      </c>
      <c r="J851" s="69" t="n">
        <v>4.2</v>
      </c>
      <c r="K851" s="69" t="inlineStr">
        <is>
          <t>https://amazon.com/dp/B073RDY1PX</t>
        </is>
      </c>
      <c r="L851" s="114">
        <f>HYPERLINK(Table1410[[#This Row],[Column1]])</f>
        <v/>
      </c>
    </row>
    <row r="852" ht="45" customHeight="1" s="314">
      <c r="A852" s="35" t="inlineStr">
        <is>
          <t>Autel Scanner Maxicom MK900TS, 2026 MK900-TS Up of MS906-TS MX900TS MK808S-TS MK900BT MK900, Top TPMS Program/Relearn, 3000+ Active Test, 40+ Service, CAN FD &amp; DoIP, Bidirectional Scan Tool OS 11.0</t>
        </is>
      </c>
      <c r="B852" s="35" t="inlineStr">
        <is>
          <t>B06VW6HM8C</t>
        </is>
      </c>
      <c r="C852" s="35" t="inlineStr">
        <is>
          <t>Tablet</t>
        </is>
      </c>
      <c r="D852" s="359" t="n">
        <v>888.8825000000001</v>
      </c>
      <c r="E852" s="359" t="n">
        <v>48402.86</v>
      </c>
      <c r="F852" s="359" t="n">
        <v>3555.53</v>
      </c>
      <c r="G852" s="68" t="n">
        <v>55</v>
      </c>
      <c r="H852" s="70" t="n">
        <v>4</v>
      </c>
      <c r="I852" s="68" t="n">
        <v>91</v>
      </c>
      <c r="J852" s="69" t="n">
        <v>4.5</v>
      </c>
      <c r="K852" s="69" t="inlineStr">
        <is>
          <t>https://amazon.com/dp/B06VW6HM8C</t>
        </is>
      </c>
      <c r="L852" s="114">
        <f>HYPERLINK(Table1410[[#This Row],[Column1]])</f>
        <v/>
      </c>
    </row>
    <row r="853" ht="45" customHeight="1" s="314">
      <c r="A853" s="35" t="inlineStr">
        <is>
          <t>Autel Original Tesla Diagnostic Cables Set for Tesla S/Y/3/X, Compatible with MaxiSYS MS909/919/908SPro/Elite/Elite II/Ultra Tablets</t>
        </is>
      </c>
      <c r="B853" s="35" t="inlineStr">
        <is>
          <t>B0D93DF9MY</t>
        </is>
      </c>
      <c r="C853" s="35" t="inlineStr">
        <is>
          <t>Cable/Adapter</t>
        </is>
      </c>
      <c r="D853" s="359" t="n">
        <v>28.3725</v>
      </c>
      <c r="E853" s="359" t="n">
        <v>753.67</v>
      </c>
      <c r="F853" s="359" t="n">
        <v>113.49</v>
      </c>
      <c r="G853" s="68" t="n">
        <v>25</v>
      </c>
      <c r="H853" s="70" t="n">
        <v>4</v>
      </c>
      <c r="I853" s="68" t="n">
        <v>4</v>
      </c>
      <c r="J853" s="69" t="n">
        <v>5</v>
      </c>
      <c r="K853" s="69" t="inlineStr">
        <is>
          <t>https://amazon.com/dp/B0D93DF9MY</t>
        </is>
      </c>
      <c r="L853" s="114">
        <f>HYPERLINK(Table1410[[#This Row],[Column1]])</f>
        <v/>
      </c>
    </row>
    <row r="854" ht="60" customHeight="1" s="314">
      <c r="A854" s="35" t="inlineStr">
        <is>
          <t>Autel Scanner MaxiSys Elite 2 PRO, 2026 Elite II PRO 2-Year Update $2590, ECU Functions as Ultra MS919 MS909, Up of MK908P, Bidirectional Diagnostic Scan Tool, Intelligent Motor, 40+ Reset, CANFD DoIP</t>
        </is>
      </c>
      <c r="B854" s="35" t="inlineStr">
        <is>
          <t>B09YGZRW51</t>
        </is>
      </c>
      <c r="C854" s="35" t="inlineStr">
        <is>
          <t>Tablet</t>
        </is>
      </c>
      <c r="D854" s="359" t="n">
        <v>2559.28</v>
      </c>
      <c r="E854" s="359" t="n">
        <v>157036.7792307692</v>
      </c>
      <c r="F854" s="359" t="n">
        <v>10237.12</v>
      </c>
      <c r="G854" s="68" t="n">
        <v>62</v>
      </c>
      <c r="H854" s="70" t="n">
        <v>4</v>
      </c>
      <c r="I854" s="68" t="n">
        <v>12</v>
      </c>
      <c r="J854" s="69" t="n">
        <v>4.6</v>
      </c>
      <c r="K854" s="69" t="inlineStr">
        <is>
          <t>https://amazon.com/dp/B09YGZRW51</t>
        </is>
      </c>
      <c r="L854" s="114">
        <f>HYPERLINK(Table1410[[#This Row],[Column1]])</f>
        <v/>
      </c>
    </row>
    <row r="855" ht="45" customHeight="1" s="314">
      <c r="A855" s="35" t="inlineStr">
        <is>
          <t>Autel MaxiIM Ikey, IKEYBW004AL, Programmable Smart Universal Key Replacement, 4pcs, OE-Quality Key Fob for BMW, IMMO Learning, Dual-Band, Work with KM100 XP400PRO XP200 for IM508S IM608 PRO</t>
        </is>
      </c>
      <c r="B855" s="35" t="inlineStr">
        <is>
          <t>B0BQ6GLDDX</t>
        </is>
      </c>
      <c r="C855" s="35" t="inlineStr">
        <is>
          <t>Key</t>
        </is>
      </c>
      <c r="D855" s="359" t="n">
        <v>129.49</v>
      </c>
      <c r="E855" s="359" t="n">
        <v>7367.35</v>
      </c>
      <c r="F855" s="359" t="n">
        <v>517.96</v>
      </c>
      <c r="G855" s="68" t="n">
        <v>49</v>
      </c>
      <c r="H855" s="70" t="n">
        <v>4</v>
      </c>
      <c r="I855" s="68" t="n">
        <v>12</v>
      </c>
      <c r="J855" s="69" t="n">
        <v>5</v>
      </c>
      <c r="K855" s="69" t="inlineStr">
        <is>
          <t>https://amazon.com/dp/B0BQ6GLDDX</t>
        </is>
      </c>
      <c r="L855" s="114">
        <f>HYPERLINK(Table1410[[#This Row],[Column1]])</f>
        <v/>
      </c>
    </row>
    <row r="856" ht="45" customHeight="1" s="314">
      <c r="A856" s="35" t="inlineStr">
        <is>
          <t>Autel MaxiAP AP2500 Obd2 Scanner Bluetooth 5 Service Functions Auto OBDII Diagnostic Scan Tool iOS &amp; Android Full Systems Code Reader Same Functions as AP2500E, Advanced AL329, 45+ Car Brands</t>
        </is>
      </c>
      <c r="B856" s="35" t="inlineStr">
        <is>
          <t>B094XRDH7S</t>
        </is>
      </c>
      <c r="C856" s="35" t="inlineStr">
        <is>
          <t>Dongle</t>
        </is>
      </c>
      <c r="D856" s="359" t="n">
        <v>62.33</v>
      </c>
      <c r="E856" s="359" t="n">
        <v>2788.78</v>
      </c>
      <c r="F856" s="359" t="n">
        <v>249.32</v>
      </c>
      <c r="G856" s="68" t="n">
        <v>48</v>
      </c>
      <c r="H856" s="70" t="n">
        <v>4</v>
      </c>
      <c r="I856" s="68" t="n">
        <v>65</v>
      </c>
      <c r="J856" s="69" t="n">
        <v>3.7</v>
      </c>
      <c r="K856" s="69" t="inlineStr">
        <is>
          <t>https://amazon.com/dp/B094XRDH7S</t>
        </is>
      </c>
      <c r="L856" s="114">
        <f>HYPERLINK(Table1410[[#This Row],[Column1]])</f>
        <v/>
      </c>
    </row>
    <row r="857" ht="45" customHeight="1" s="314">
      <c r="A857" s="35" t="inlineStr">
        <is>
          <t>Autel MaxiSys MS906 MAX Scanner, 2026 MS906MAX 10.1" 2.0 Ver. of MS906 PRO-TS/MS906 PRO/MP900BT KIT/ MK900BT, Bi-Directional Diagnostic Tool, 3000+Tests 40+ Services, CAN FD&amp;DoIP, 160+ Brands</t>
        </is>
      </c>
      <c r="B857" s="35" t="inlineStr">
        <is>
          <t>B0DXFK2ZGD</t>
        </is>
      </c>
      <c r="C857" s="35" t="inlineStr">
        <is>
          <t>Tablet</t>
        </is>
      </c>
      <c r="D857" s="359" t="n">
        <v>1538.4975</v>
      </c>
      <c r="E857" s="359" t="n">
        <v>57358.5</v>
      </c>
      <c r="F857" s="359" t="n">
        <v>6153.99</v>
      </c>
      <c r="G857" s="68" t="n">
        <v>41</v>
      </c>
      <c r="H857" s="70" t="n">
        <v>4</v>
      </c>
      <c r="I857" s="68" t="n">
        <v>113</v>
      </c>
      <c r="J857" s="69" t="n">
        <v>4.4</v>
      </c>
      <c r="K857" s="69" t="inlineStr">
        <is>
          <t>https://amazon.com/dp/B0DXFK2ZGD</t>
        </is>
      </c>
      <c r="L857" s="114">
        <f>HYPERLINK(Table1410[[#This Row],[Column1]])</f>
        <v/>
      </c>
    </row>
    <row r="858" ht="45" customHeight="1" s="314">
      <c r="A858" s="35" t="inlineStr">
        <is>
          <t>Autel Scanner MaxiSYS MS906 MAX, 2026 10'' MS906MAX 2.0 Ver. of MS906 PRO MS908S MK908 II, Lite of Elite 2 PRO, Top Scan Tool Bidirectional, 3000+ Active Test, 40+ Resets, CAN FD DoIP Auto Scan2.0 FCA</t>
        </is>
      </c>
      <c r="B858" s="35" t="inlineStr">
        <is>
          <t>B09PG3L6K1</t>
        </is>
      </c>
      <c r="C858" s="35" t="inlineStr">
        <is>
          <t>Tablet</t>
        </is>
      </c>
      <c r="D858" s="359" t="n">
        <v>1729.81</v>
      </c>
      <c r="E858" s="359" t="n">
        <v>159490.5007692308</v>
      </c>
      <c r="F858" s="359" t="n">
        <v>6919.24</v>
      </c>
      <c r="G858" s="68" t="n">
        <v>98</v>
      </c>
      <c r="H858" s="70" t="n">
        <v>4</v>
      </c>
      <c r="I858" s="68" t="n">
        <v>12</v>
      </c>
      <c r="J858" s="69" t="n">
        <v>4.8</v>
      </c>
      <c r="K858" s="69" t="inlineStr">
        <is>
          <t>https://amazon.com/dp/B09PG3L6K1</t>
        </is>
      </c>
      <c r="L858" s="114">
        <f>HYPERLINK(Table1410[[#This Row],[Column1]])</f>
        <v/>
      </c>
    </row>
    <row r="859" ht="60" customHeight="1" s="314">
      <c r="A859" s="35" t="inlineStr">
        <is>
          <t>Autel OBD2 Main Test Cable MaxiSys MS908/Mini MS905/DS808/MK808/MP808/MP808K</t>
        </is>
      </c>
      <c r="B859" s="35" t="inlineStr">
        <is>
          <t>B08MZZZJBM</t>
        </is>
      </c>
      <c r="C859" s="35" t="inlineStr">
        <is>
          <t>Cable/Adapter</t>
        </is>
      </c>
      <c r="D859" s="359" t="n">
        <v>21.18</v>
      </c>
      <c r="E859" s="359" t="n">
        <v>12709.84</v>
      </c>
      <c r="F859" s="359" t="n">
        <v>84.72</v>
      </c>
      <c r="G859" s="68" t="n">
        <v>772</v>
      </c>
      <c r="H859" s="70" t="n">
        <v>4</v>
      </c>
      <c r="I859" s="68" t="n">
        <v>237</v>
      </c>
      <c r="J859" s="69" t="n">
        <v>4.7</v>
      </c>
      <c r="K859" s="69" t="inlineStr">
        <is>
          <t>https://amazon.com/dp/B08MZZZJBM</t>
        </is>
      </c>
      <c r="L859" s="114">
        <f>HYPERLINK(Table1410[[#This Row],[Column1]])</f>
        <v/>
      </c>
    </row>
    <row r="860" ht="60" customHeight="1" s="314">
      <c r="A860" s="35" t="inlineStr">
        <is>
          <t>Autel OBD2 Scanner AutoLink AL549: 2025 Check Engine Code Reader ABS Diagnostic Tool, Universal Car Battery &amp; Alternator Test, Upgrade Ver. of Autel AL519 MaxiLink ML519 OBDII CAN Diagnostic Scan Tool</t>
        </is>
      </c>
      <c r="B860" s="35" t="inlineStr">
        <is>
          <t>B0CP3YLDLH</t>
        </is>
      </c>
      <c r="C860" s="35" t="inlineStr">
        <is>
          <t>Handheld</t>
        </is>
      </c>
      <c r="D860" s="359" t="n">
        <v>60.8975</v>
      </c>
      <c r="E860" s="359" t="n">
        <v>49515.7</v>
      </c>
      <c r="F860" s="359" t="n">
        <v>243.59</v>
      </c>
      <c r="G860" s="68" t="n">
        <v>650</v>
      </c>
      <c r="H860" s="70" t="n">
        <v>4</v>
      </c>
      <c r="I860" s="68" t="n">
        <v>322</v>
      </c>
      <c r="J860" s="69" t="n">
        <v>4.5</v>
      </c>
      <c r="K860" s="69" t="inlineStr">
        <is>
          <t>https://amazon.com/dp/B0CP3YLDLH</t>
        </is>
      </c>
      <c r="L860" s="114">
        <f>HYPERLINK(Table1410[[#This Row],[Column1]])</f>
        <v/>
      </c>
    </row>
    <row r="861" ht="60" customHeight="1" s="314">
      <c r="A861" s="35" t="inlineStr">
        <is>
          <t>Autel MaxiPRO MP900-TS Scanner: 2026 Level-up of MP808S-TS, MP808BT Pro, MS906TS w/DoIP CAN-FD, 40+ Services, OE ECU C0ding, TPMS Pr0gramming Relearn, Bi-Directional Test, All System Scan, FCA SGW</t>
        </is>
      </c>
      <c r="B861" s="35" t="inlineStr">
        <is>
          <t>B01IVFC0GW</t>
        </is>
      </c>
      <c r="C861" s="35" t="inlineStr">
        <is>
          <t>Tablet</t>
        </is>
      </c>
      <c r="D861" s="359" t="n">
        <v>1082.9425</v>
      </c>
      <c r="E861" s="359" t="n">
        <v>79524.41999999998</v>
      </c>
      <c r="F861" s="359" t="n">
        <v>4331.77</v>
      </c>
      <c r="G861" s="68" t="n">
        <v>73</v>
      </c>
      <c r="H861" s="70" t="n">
        <v>4</v>
      </c>
      <c r="I861" s="68" t="n">
        <v>42</v>
      </c>
      <c r="J861" s="69" t="n">
        <v>4.5</v>
      </c>
      <c r="K861" s="69" t="inlineStr">
        <is>
          <t>https://amazon.com/dp/B01IVFC0GW</t>
        </is>
      </c>
      <c r="L861" s="114">
        <f>HYPERLINK(Table1410[[#This Row],[Column1]])</f>
        <v/>
      </c>
    </row>
    <row r="862" ht="60" customHeight="1" s="314">
      <c r="A862" s="35" t="inlineStr">
        <is>
          <t>Autel MaxiIM KM100 OBD2 Diagnostic Scan Tool, Lifetime Free Update 2026 New Autel Scanner (95% Covered), 10+ Service, 2+64G, 10X Fast Hardware, No IP Limit</t>
        </is>
      </c>
      <c r="B862" s="35" t="inlineStr">
        <is>
          <t>B0FPC6GQ8K</t>
        </is>
      </c>
      <c r="C862" s="35" t="inlineStr">
        <is>
          <t>Tablet</t>
        </is>
      </c>
      <c r="D862" s="359" t="n">
        <v>474.0425</v>
      </c>
      <c r="E862" s="359" t="n">
        <v>21684.56846153846</v>
      </c>
      <c r="F862" s="359" t="n">
        <v>1896.17</v>
      </c>
      <c r="G862" s="68" t="n">
        <v>5</v>
      </c>
      <c r="H862" s="70" t="n">
        <v>4</v>
      </c>
      <c r="I862" s="68" t="n"/>
      <c r="J862" s="69" t="n"/>
      <c r="K862" s="69" t="inlineStr">
        <is>
          <t>https://amazon.com/dp/B0FPC6GQ8K</t>
        </is>
      </c>
      <c r="L862" s="114">
        <f>HYPERLINK(Table1410[[#This Row],[Column1]])</f>
        <v/>
      </c>
    </row>
    <row r="863" ht="60" customHeight="1" s="314">
      <c r="A863" s="35" t="inlineStr">
        <is>
          <t>Autel Scanner MaxiPro MP900Z-BT: 2026 ECU Coding OBD2 Bidirectional Scan Tool with 40+ Services, Upgraded of MP900 MS906BT MP900BT All System OBDII Car Code Reader CAN FD, Alternative to MS906 Pro</t>
        </is>
      </c>
      <c r="B863" s="35" t="inlineStr">
        <is>
          <t>B0CCJMF7PY</t>
        </is>
      </c>
      <c r="C863" s="35" t="inlineStr">
        <is>
          <t>Tablet</t>
        </is>
      </c>
      <c r="D863" s="359" t="n">
        <v>882.3575</v>
      </c>
      <c r="E863" s="359" t="n">
        <v>29335.19</v>
      </c>
      <c r="F863" s="359" t="n">
        <v>3529.43</v>
      </c>
      <c r="G863" s="68" t="n">
        <v>31</v>
      </c>
      <c r="H863" s="70" t="n">
        <v>4</v>
      </c>
      <c r="I863" s="68" t="n">
        <v>133</v>
      </c>
      <c r="J863" s="69" t="n">
        <v>4.4</v>
      </c>
      <c r="K863" s="69" t="inlineStr">
        <is>
          <t>https://amazon.com/dp/B0CCJMF7PY</t>
        </is>
      </c>
      <c r="L863" s="114">
        <f>HYPERLINK(Table1410[[#This Row],[Column1]])</f>
        <v/>
      </c>
    </row>
    <row r="864" ht="17" customHeight="1" s="314">
      <c r="A864" s="35" t="inlineStr">
        <is>
          <t>Autel TESKIT3Y Compatible Diagnostic Cable Adapter for Tesla Model 3 and Model Y, Read and Erase Codes, View Live Data, Work with Ultra/ MS919/ MS909/ Elite II PRO/UltraEV etc</t>
        </is>
      </c>
      <c r="B864" s="35" t="inlineStr">
        <is>
          <t>B0CJNKHKBB</t>
        </is>
      </c>
      <c r="C864" s="35" t="inlineStr">
        <is>
          <t>Cable/Adapter</t>
        </is>
      </c>
      <c r="D864" s="359" t="n">
        <v>48.775</v>
      </c>
      <c r="E864" s="359" t="n">
        <v>5740.429999999999</v>
      </c>
      <c r="F864" s="359" t="n">
        <v>195.1</v>
      </c>
      <c r="G864" s="68" t="n">
        <v>115</v>
      </c>
      <c r="H864" s="70" t="n">
        <v>4</v>
      </c>
      <c r="I864" s="68" t="n">
        <v>7</v>
      </c>
      <c r="J864" s="69" t="n">
        <v>4.1</v>
      </c>
      <c r="K864" s="69" t="inlineStr">
        <is>
          <t>https://amazon.com/dp/B0CJNKHKBB</t>
        </is>
      </c>
      <c r="L864" s="114">
        <f>HYPERLINK(Table1410[[#This Row],[Column1]])</f>
        <v/>
      </c>
    </row>
    <row r="865" ht="60" customHeight="1" s="314">
      <c r="A865" s="35" t="inlineStr">
        <is>
          <t>Autel TPMS Programming Tool MaxiTPMS ITS600 2023 Version Read/Activate/Relearn TPMS Sensor Program MX Sensor OLS/SAS/BMS/EPB AutoVIN VINscan Free TPMS Software Update Compatible TBE200 TBE100</t>
        </is>
      </c>
      <c r="B865" s="35" t="inlineStr">
        <is>
          <t>B0BDRBDDX6</t>
        </is>
      </c>
      <c r="C865" s="35" t="inlineStr">
        <is>
          <t>Handheld</t>
        </is>
      </c>
      <c r="D865" s="359" t="n">
        <v>547.0075000000001</v>
      </c>
      <c r="E865" s="359" t="n">
        <v>9261.529999999999</v>
      </c>
      <c r="F865" s="359" t="n">
        <v>2188.03</v>
      </c>
      <c r="G865" s="68" t="n">
        <v>19</v>
      </c>
      <c r="H865" s="70" t="n">
        <v>4</v>
      </c>
      <c r="I865" s="68" t="n">
        <v>1</v>
      </c>
      <c r="J865" s="69" t="n">
        <v>5</v>
      </c>
      <c r="K865" s="69" t="inlineStr">
        <is>
          <t>https://amazon.com/dp/B0BDRBDDX6</t>
        </is>
      </c>
      <c r="L865" s="114">
        <f>HYPERLINK(Table1410[[#This Row],[Column1]])</f>
        <v/>
      </c>
    </row>
    <row r="866" ht="60" customHeight="1" s="314">
      <c r="A866" s="35" t="inlineStr">
        <is>
          <t>Autel MaxiCom Ultra Lite Scanner, 2 Years Free Updates, Same as MaxiSys Ultra, 2026 Up of MS919 MS909 MS906 Elite II Pro, Topology 2.0, Motor TruSpeed Repair, 40+ Service, Repair Tips, FCA SGW,</t>
        </is>
      </c>
      <c r="B866" s="35" t="inlineStr">
        <is>
          <t>B0FJLZ19KF</t>
        </is>
      </c>
      <c r="C866" s="35" t="inlineStr">
        <is>
          <t>Tablet</t>
        </is>
      </c>
      <c r="D866" s="359" t="n">
        <v>3055.933333333333</v>
      </c>
      <c r="E866" s="359" t="n">
        <v>134026.323076923</v>
      </c>
      <c r="F866" s="359" t="n">
        <v>9167.799999999999</v>
      </c>
      <c r="G866" s="68" t="n">
        <v>32</v>
      </c>
      <c r="H866" s="70" t="n">
        <v>3</v>
      </c>
      <c r="I866" s="68" t="n">
        <v>8</v>
      </c>
      <c r="J866" s="69" t="n">
        <v>5</v>
      </c>
      <c r="K866" s="69" t="inlineStr">
        <is>
          <t>https://amazon.com/dp/B0FJLZ19KF</t>
        </is>
      </c>
      <c r="L866" s="114">
        <f>HYPERLINK(Table1410[[#This Row],[Column1]])</f>
        <v/>
      </c>
    </row>
    <row r="867" ht="45" customHeight="1" s="314">
      <c r="A867" s="35" t="inlineStr">
        <is>
          <t>XP400PRO</t>
        </is>
      </c>
      <c r="B867" s="35" t="inlineStr">
        <is>
          <t>B09PVQZPK5</t>
        </is>
      </c>
      <c r="C867" s="35" t="inlineStr">
        <is>
          <t>Tablet</t>
        </is>
      </c>
      <c r="D867" s="359" t="n">
        <v>401.6333333333334</v>
      </c>
      <c r="E867" s="359" t="n">
        <v>16294.20846153847</v>
      </c>
      <c r="F867" s="359" t="n">
        <v>1204.9</v>
      </c>
      <c r="G867" s="68" t="n">
        <v>16</v>
      </c>
      <c r="H867" s="70" t="n">
        <v>3</v>
      </c>
      <c r="I867" s="68" t="n">
        <v>2</v>
      </c>
      <c r="J867" s="69" t="n">
        <v>5</v>
      </c>
      <c r="K867" s="69" t="inlineStr">
        <is>
          <t>https://amazon.com/dp/B09PVQZPK5</t>
        </is>
      </c>
      <c r="L867" s="114">
        <f>HYPERLINK(Table1410[[#This Row],[Column1]])</f>
        <v/>
      </c>
    </row>
    <row r="868" ht="45" customHeight="1" s="314">
      <c r="A868" s="35" t="inlineStr">
        <is>
          <t>Autel Scanner MaxiSYS MS906 MAX, 2026 MS906MAX Bi-Directional Tool Up of MS906 Pro MP900BT w/ECU C0ding, DoIP CANFD, FCA SGW AutAuth, All System Scan, 40+ Service 3000+ Active Tests as MS908S PRO II</t>
        </is>
      </c>
      <c r="B868" s="35" t="inlineStr">
        <is>
          <t>B089XWCTX3</t>
        </is>
      </c>
      <c r="C868" s="35" t="inlineStr">
        <is>
          <t>Tablet</t>
        </is>
      </c>
      <c r="D868" s="359" t="n">
        <v>1463.016666666667</v>
      </c>
      <c r="E868" s="359" t="n">
        <v>44903.3576923077</v>
      </c>
      <c r="F868" s="359" t="n">
        <v>4389.05</v>
      </c>
      <c r="G868" s="68" t="n">
        <v>3</v>
      </c>
      <c r="H868" s="70" t="n">
        <v>3</v>
      </c>
      <c r="I868" s="68" t="n">
        <v>191</v>
      </c>
      <c r="J868" s="69" t="n">
        <v>4.4</v>
      </c>
      <c r="K868" s="69" t="inlineStr">
        <is>
          <t>https://amazon.com/dp/B089XWCTX3</t>
        </is>
      </c>
      <c r="L868" s="114">
        <f>HYPERLINK(Table1410[[#This Row],[Column1]])</f>
        <v/>
      </c>
    </row>
    <row r="869" ht="60" customHeight="1" s="314">
      <c r="A869" s="35" t="inlineStr">
        <is>
          <t>Autel MaxiCOM MK900 Bidirectional Scanner, New Autel Scanner Upgrade from MK808S MX808S MK808Z, 40+ OBD2 Service Mode, All System Scan Tool for Car, WiFi Print, DoIP CAN FD, FCA Auto Auth</t>
        </is>
      </c>
      <c r="B869" s="35" t="inlineStr">
        <is>
          <t>B0DHG4FP45</t>
        </is>
      </c>
      <c r="C869" s="35" t="inlineStr">
        <is>
          <t>Tablet</t>
        </is>
      </c>
      <c r="D869" s="359" t="n">
        <v>586.2233333333334</v>
      </c>
      <c r="E869" s="359" t="n">
        <v>85943.76999999999</v>
      </c>
      <c r="F869" s="359" t="n">
        <v>1758.67</v>
      </c>
      <c r="G869" s="68" t="n">
        <v>157</v>
      </c>
      <c r="H869" s="70" t="n">
        <v>3</v>
      </c>
      <c r="I869" s="68" t="n">
        <v>5</v>
      </c>
      <c r="J869" s="69" t="n">
        <v>4.6</v>
      </c>
      <c r="K869" s="69" t="inlineStr">
        <is>
          <t>https://amazon.com/dp/B0DHG4FP45</t>
        </is>
      </c>
      <c r="L869" s="114">
        <f>HYPERLINK(Table1410[[#This Row],[Column1]])</f>
        <v/>
      </c>
    </row>
    <row r="870" ht="30" customHeight="1" s="314">
      <c r="A870" s="35" t="inlineStr">
        <is>
          <t>Autel MaxiTPMS TS508WF TPMS Programming Tool, w/$120 4PCS Autel TPMS Sensors, 2026 WiFi Ver. of TS408S TS501 TS508 TS601, Relearn/Activate/Diagnosis All Sensor, Read/Clear DTCs, Lifetime Update</t>
        </is>
      </c>
      <c r="B870" s="35" t="inlineStr">
        <is>
          <t>B0CRTXTR9D</t>
        </is>
      </c>
      <c r="C870" s="35" t="inlineStr">
        <is>
          <t>Handheld</t>
        </is>
      </c>
      <c r="D870" s="359" t="n">
        <v>341.4933333333333</v>
      </c>
      <c r="E870" s="359" t="n">
        <v>11120.65384615385</v>
      </c>
      <c r="F870" s="359" t="n">
        <v>1024.48</v>
      </c>
      <c r="G870" s="68" t="n">
        <v>33</v>
      </c>
      <c r="H870" s="70" t="n">
        <v>3</v>
      </c>
      <c r="I870" s="68" t="n">
        <v>6</v>
      </c>
      <c r="J870" s="69" t="n">
        <v>5</v>
      </c>
      <c r="K870" s="69" t="inlineStr">
        <is>
          <t>https://amazon.com/dp/B0CRTXTR9D</t>
        </is>
      </c>
      <c r="L870" s="114">
        <f>HYPERLINK(Table1410[[#This Row],[Column1]])</f>
        <v/>
      </c>
    </row>
    <row r="871" ht="45" customHeight="1" s="314">
      <c r="A871" s="35" t="inlineStr">
        <is>
          <t>Autel AL539 AutoLink OBD ll Professional Electrical Test Tool</t>
        </is>
      </c>
      <c r="B871" s="35" t="inlineStr">
        <is>
          <t>B0091DJWKG</t>
        </is>
      </c>
      <c r="C871" s="35" t="inlineStr">
        <is>
          <t>Handheld</t>
        </is>
      </c>
      <c r="D871" s="359" t="n">
        <v>74.11333333333333</v>
      </c>
      <c r="E871" s="359" t="n">
        <v>5348.94</v>
      </c>
      <c r="F871" s="359" t="n">
        <v>222.34</v>
      </c>
      <c r="G871" s="68" t="n">
        <v>82</v>
      </c>
      <c r="H871" s="70" t="n">
        <v>3</v>
      </c>
      <c r="I871" s="68" t="n">
        <v>191</v>
      </c>
      <c r="J871" s="69" t="n">
        <v>4.5</v>
      </c>
      <c r="K871" s="69" t="inlineStr">
        <is>
          <t>https://amazon.com/dp/B0091DJWKG</t>
        </is>
      </c>
      <c r="L871" s="114">
        <f>HYPERLINK(Table1410[[#This Row],[Column1]])</f>
        <v/>
      </c>
    </row>
    <row r="872" ht="45" customHeight="1" s="314">
      <c r="A872" s="35" t="inlineStr">
        <is>
          <t>Autel Original MaxiSYS 8-Pin CV Adapter for Volvo, 8 Pins to OBD2 16 Pins for Volvo Off-Highway Cable Connector, Work w/Autel Heavy Duty Truck Scanner MS908CV MS908CV II MS909CV MS906CV MaxiFlash VCI</t>
        </is>
      </c>
      <c r="B872" s="35" t="inlineStr">
        <is>
          <t>B0FF55JXG1</t>
        </is>
      </c>
      <c r="C872" s="35" t="inlineStr">
        <is>
          <t>Cable/Adapter</t>
        </is>
      </c>
      <c r="D872" s="359" t="n">
        <v>23.29333333333333</v>
      </c>
      <c r="E872" s="359" t="n">
        <v>1053.663076923077</v>
      </c>
      <c r="F872" s="359" t="n">
        <v>69.88</v>
      </c>
      <c r="G872" s="68" t="n">
        <v>28</v>
      </c>
      <c r="H872" s="70" t="n">
        <v>3</v>
      </c>
      <c r="I872" s="68" t="n">
        <v>2</v>
      </c>
      <c r="J872" s="69" t="n">
        <v>5</v>
      </c>
      <c r="K872" s="69" t="inlineStr">
        <is>
          <t>https://amazon.com/dp/B0FF55JXG1</t>
        </is>
      </c>
      <c r="L872" s="114">
        <f>HYPERLINK(Table1410[[#This Row],[Column1]])</f>
        <v/>
      </c>
    </row>
    <row r="873" ht="45" customHeight="1" s="314">
      <c r="A873" s="35" t="inlineStr">
        <is>
          <t>2026 Autel MaxiCOM Ultra Lite Intelligent Scanner, 2 Years Free Update, Up of MS919 Elite II Pro Same as MaxiSys Ultra, Motor TruSpeed, Topology 2.0, 40+ Service, 3000+ Active Test, FCA SGW</t>
        </is>
      </c>
      <c r="B873" s="35" t="inlineStr">
        <is>
          <t>B0GVXCG3S3</t>
        </is>
      </c>
      <c r="C873" s="35" t="inlineStr">
        <is>
          <t>Tablet</t>
        </is>
      </c>
      <c r="D873" s="359" t="n">
        <v>2969</v>
      </c>
      <c r="E873" s="359" t="n">
        <v>107569.1538461539</v>
      </c>
      <c r="F873" s="359" t="n">
        <v>8907</v>
      </c>
      <c r="G873" s="68" t="n">
        <v>3</v>
      </c>
      <c r="H873" s="70" t="n">
        <v>3</v>
      </c>
      <c r="I873" s="68" t="n"/>
      <c r="J873" s="69" t="n"/>
      <c r="K873" s="69" t="inlineStr">
        <is>
          <t>https://amazon.com/dp/B0GVXCG3S3</t>
        </is>
      </c>
      <c r="L873" s="114">
        <f>HYPERLINK(Table1410[[#This Row],[Column1]])</f>
        <v/>
      </c>
    </row>
    <row r="874" ht="60" customHeight="1" s="314">
      <c r="A874" s="35" t="inlineStr">
        <is>
          <t>Autel MaxiLink ML629 OBD2 Scanner Upgraded Version of AL519 AL619 ML619 Full OBDII Code Reader ABS SRS Engine Transmission Diagnostics Tool with DTC Lookup Auto VIN</t>
        </is>
      </c>
      <c r="B874" s="35" t="inlineStr">
        <is>
          <t>B0FJ1PL3NR</t>
        </is>
      </c>
      <c r="C874" s="35" t="inlineStr">
        <is>
          <t>Handheld</t>
        </is>
      </c>
      <c r="D874" s="359" t="n">
        <v>110.7566666666667</v>
      </c>
      <c r="E874" s="359" t="n">
        <v>5146.903076923077</v>
      </c>
      <c r="F874" s="359" t="n">
        <v>332.27</v>
      </c>
      <c r="G874" s="68" t="n">
        <v>35</v>
      </c>
      <c r="H874" s="70" t="n">
        <v>3</v>
      </c>
      <c r="I874" s="68" t="n">
        <v>4</v>
      </c>
      <c r="J874" s="69" t="n">
        <v>4.1</v>
      </c>
      <c r="K874" s="69" t="inlineStr">
        <is>
          <t>https://amazon.com/dp/B0FJ1PL3NR</t>
        </is>
      </c>
      <c r="L874" s="114">
        <f>HYPERLINK(Table1410[[#This Row],[Column1]])</f>
        <v/>
      </c>
    </row>
    <row r="875" ht="60" customHeight="1" s="314">
      <c r="A875" s="35" t="inlineStr">
        <is>
          <t>Autel MaxiSys MSOBD2KIT Non-OBDII Adapter Kit 11 Adapters for Vehicles Without OBD2 Port Within Blow-Molded Carrying Case OBD2 Connectors Support MS Ultra MS919 MS909 MX808 TS608</t>
        </is>
      </c>
      <c r="B875" s="35" t="inlineStr">
        <is>
          <t>B093X3S6QY</t>
        </is>
      </c>
      <c r="C875" s="35" t="inlineStr">
        <is>
          <t>Cable/Adapter</t>
        </is>
      </c>
      <c r="D875" s="359" t="n">
        <v>137.1266666666667</v>
      </c>
      <c r="E875" s="359" t="n">
        <v>9492.735384615384</v>
      </c>
      <c r="F875" s="359" t="n">
        <v>411.38</v>
      </c>
      <c r="G875" s="68" t="n">
        <v>71</v>
      </c>
      <c r="H875" s="70" t="n">
        <v>3</v>
      </c>
      <c r="I875" s="68" t="n">
        <v>11</v>
      </c>
      <c r="J875" s="69" t="n">
        <v>4.8</v>
      </c>
      <c r="K875" s="69" t="inlineStr">
        <is>
          <t>https://amazon.com/dp/B093X3S6QY</t>
        </is>
      </c>
      <c r="L875" s="114">
        <f>HYPERLINK(Table1410[[#This Row],[Column1]])</f>
        <v/>
      </c>
    </row>
    <row r="876" ht="45" customHeight="1" s="314">
      <c r="A876" s="35" t="inlineStr">
        <is>
          <t>Autel Scanner KM100E OBD2 Tool: 2026 Lite Version of IM508 Pro, IM608 Pro 2 IM608S II, V200 Wireless BT Connect, Auto Scan 2.0, Android 9.0, 10X Faster Hardware, Full Functions, Support 150-200 Brands</t>
        </is>
      </c>
      <c r="B876" s="35" t="inlineStr">
        <is>
          <t>B07Q2LMS7J</t>
        </is>
      </c>
      <c r="C876" s="35" t="inlineStr">
        <is>
          <t>Tablet</t>
        </is>
      </c>
      <c r="D876" s="359" t="n">
        <v>461.8699999999999</v>
      </c>
      <c r="E876" s="359" t="n">
        <v>21754.89</v>
      </c>
      <c r="F876" s="359" t="n">
        <v>1385.61</v>
      </c>
      <c r="G876" s="68" t="n">
        <v>40</v>
      </c>
      <c r="H876" s="70" t="n">
        <v>3</v>
      </c>
      <c r="I876" s="68" t="n">
        <v>180</v>
      </c>
      <c r="J876" s="69" t="n">
        <v>4.5</v>
      </c>
      <c r="K876" s="69" t="inlineStr">
        <is>
          <t>https://amazon.com/dp/B07Q2LMS7J</t>
        </is>
      </c>
      <c r="L876" s="114">
        <f>HYPERLINK(Table1410[[#This Row],[Column1]])</f>
        <v/>
      </c>
    </row>
    <row r="877" ht="60" customHeight="1" s="314">
      <c r="A877" s="35" t="inlineStr">
        <is>
          <t>Autel Scanner MaxiCOM MK908 II w/ $60 MV108S | 2026 10.1" Up of MaxiSYS MS908S II MS906 PRO MS906MAX, 3000+ Active Tests, 38+ Service as Elite II Pro MK908 PRO II, AutoScan2.0, OS10, OE All-Sys</t>
        </is>
      </c>
      <c r="B877" s="35" t="inlineStr">
        <is>
          <t>B07SKVMYK8</t>
        </is>
      </c>
      <c r="C877" s="35" t="inlineStr">
        <is>
          <t>Tablet</t>
        </is>
      </c>
      <c r="D877" s="359" t="n">
        <v>1605.133333333333</v>
      </c>
      <c r="E877" s="359" t="n">
        <v>46762.8</v>
      </c>
      <c r="F877" s="359" t="n">
        <v>4815.4</v>
      </c>
      <c r="G877" s="68" t="n">
        <v>30</v>
      </c>
      <c r="H877" s="70" t="n">
        <v>3</v>
      </c>
      <c r="I877" s="68" t="n">
        <v>78</v>
      </c>
      <c r="J877" s="69" t="n">
        <v>4.6</v>
      </c>
      <c r="K877" s="69" t="inlineStr">
        <is>
          <t>https://amazon.com/dp/B07SKVMYK8</t>
        </is>
      </c>
      <c r="L877" s="114">
        <f>HYPERLINK(Table1410[[#This Row],[Column1]])</f>
        <v/>
      </c>
    </row>
    <row r="878" ht="60" customHeight="1" s="314">
      <c r="A878" s="35" t="inlineStr">
        <is>
          <t>Autel MaxiSys MS909CV 2026 Top Heavy Duty Truck Scanner for Semi Commercial Cars, Upgrade of MS908CV with Intelligent Scan, 60+ Services, J2534 Programmer Coding, 3000+ Test,Topology 2.0</t>
        </is>
      </c>
      <c r="B878" s="35" t="inlineStr">
        <is>
          <t>B094XRTNPK</t>
        </is>
      </c>
      <c r="C878" s="35" t="inlineStr">
        <is>
          <t>Tablet</t>
        </is>
      </c>
      <c r="D878" s="359" t="n">
        <v>4854.066666666667</v>
      </c>
      <c r="E878" s="359" t="n">
        <v>164926.48</v>
      </c>
      <c r="F878" s="359" t="n">
        <v>14562.2</v>
      </c>
      <c r="G878" s="68" t="n">
        <v>38</v>
      </c>
      <c r="H878" s="70" t="n">
        <v>3</v>
      </c>
      <c r="I878" s="68" t="n">
        <v>8</v>
      </c>
      <c r="J878" s="69" t="n">
        <v>4.6</v>
      </c>
      <c r="K878" s="69" t="inlineStr">
        <is>
          <t>https://amazon.com/dp/B094XRTNPK</t>
        </is>
      </c>
      <c r="L878" s="114">
        <f>HYPERLINK(Table1410[[#This Row],[Column1]])</f>
        <v/>
      </c>
    </row>
    <row r="879" ht="45" customHeight="1" s="314">
      <c r="A879" s="35" t="inlineStr">
        <is>
          <t>Autel MaxiSys Ultra S2 AI Scanner, 2026 UltraS2 Top Intelligent Scan Tool, Up of MS919 S2 MSUltra EV, 6IN1 VCMI2, Multi-Point DVI, Topology 3.0, Motor Truspeed, 48+ Service, EV Tests, 3K+ Active Tests</t>
        </is>
      </c>
      <c r="B879" s="35" t="inlineStr">
        <is>
          <t>B0936PQ6Y8</t>
        </is>
      </c>
      <c r="C879" s="35" t="inlineStr">
        <is>
          <t>Tablet</t>
        </is>
      </c>
      <c r="D879" s="359" t="n">
        <v>5715.826666666667</v>
      </c>
      <c r="E879" s="359" t="n">
        <v>122687.2330769231</v>
      </c>
      <c r="F879" s="359" t="n">
        <v>17147.48</v>
      </c>
      <c r="G879" s="68" t="n">
        <v>20</v>
      </c>
      <c r="H879" s="70" t="n">
        <v>3</v>
      </c>
      <c r="I879" s="68" t="n">
        <v>8</v>
      </c>
      <c r="J879" s="69" t="n">
        <v>5</v>
      </c>
      <c r="K879" s="69" t="inlineStr">
        <is>
          <t>https://amazon.com/dp/B0936PQ6Y8</t>
        </is>
      </c>
      <c r="L879" s="114">
        <f>HYPERLINK(Table1410[[#This Row],[Column1]])</f>
        <v/>
      </c>
    </row>
    <row r="880" ht="17" customHeight="1" s="314">
      <c r="A880" s="35" t="inlineStr">
        <is>
          <t>Autel Original MaxiSYS 14-PIN CV Adapter for Volvo, Volvo14 Off-Road Construction Cable Connector, Work w/Truck Scanner Diagnostic Scan Tool MS908CV, MS908CV II, MS909CV, MS906CV, and MaxiFlash VCI</t>
        </is>
      </c>
      <c r="B880" s="35" t="inlineStr">
        <is>
          <t>B0FF4SD9ZL</t>
        </is>
      </c>
      <c r="C880" s="35" t="inlineStr">
        <is>
          <t>Cable/Adapter</t>
        </is>
      </c>
      <c r="D880" s="359" t="n">
        <v>18.88</v>
      </c>
      <c r="E880" s="359" t="n">
        <v>1063.452307692308</v>
      </c>
      <c r="F880" s="359" t="n">
        <v>56.64</v>
      </c>
      <c r="G880" s="68" t="n">
        <v>31</v>
      </c>
      <c r="H880" s="70" t="n">
        <v>3</v>
      </c>
      <c r="I880" s="68" t="n">
        <v>6</v>
      </c>
      <c r="J880" s="69" t="n">
        <v>4.7</v>
      </c>
      <c r="K880" s="69" t="inlineStr">
        <is>
          <t>https://amazon.com/dp/B0FF4SD9ZL</t>
        </is>
      </c>
      <c r="L880" s="114">
        <f>HYPERLINK(Table1410[[#This Row],[Column1]])</f>
        <v/>
      </c>
    </row>
    <row r="881" ht="45" customHeight="1" s="314">
      <c r="A881" s="35" t="inlineStr">
        <is>
          <t>Autel MaxiDiag Advanced MD808 (MD808 Pro) All System OBDII Scanner (Combination of MaxiCheck Pro and MD802) for Oil and Battery Reset Registration, Parking Brake Pad Relearn,SAS,SRS,ABS,EPB,DPF,BMS</t>
        </is>
      </c>
      <c r="B881" s="35" t="inlineStr">
        <is>
          <t>B0714GBRZK</t>
        </is>
      </c>
      <c r="C881" s="35" t="inlineStr">
        <is>
          <t>Handheld</t>
        </is>
      </c>
      <c r="D881" s="359" t="n">
        <v>234.9933333333333</v>
      </c>
      <c r="E881" s="359" t="n">
        <v>8231.661538461538</v>
      </c>
      <c r="F881" s="359" t="n">
        <v>704.98</v>
      </c>
      <c r="G881" s="68" t="n">
        <v>26</v>
      </c>
      <c r="H881" s="70" t="n">
        <v>3</v>
      </c>
      <c r="I881" s="68" t="n">
        <v>190</v>
      </c>
      <c r="J881" s="69" t="n">
        <v>4.2</v>
      </c>
      <c r="K881" s="69" t="inlineStr">
        <is>
          <t>https://amazon.com/dp/B0714GBRZK</t>
        </is>
      </c>
      <c r="L881" s="114">
        <f>HYPERLINK(Table1410[[#This Row],[Column1]])</f>
        <v/>
      </c>
    </row>
    <row r="882" ht="45" customHeight="1" s="314">
      <c r="A882" s="35" t="inlineStr">
        <is>
          <t>Autel MaxiSys Ultra 1-Year Update Service, Total Care Program (TCP) Card, One Year Software Subscription &amp; Warranty</t>
        </is>
      </c>
      <c r="B882" s="35" t="inlineStr">
        <is>
          <t>B0G7FM9844</t>
        </is>
      </c>
      <c r="C882" s="35" t="inlineStr">
        <is>
          <t>Other</t>
        </is>
      </c>
      <c r="D882" s="359" t="n">
        <v>1283.4</v>
      </c>
      <c r="E882" s="359" t="n">
        <v>42761.43692307692</v>
      </c>
      <c r="F882" s="359" t="n">
        <v>3850.2</v>
      </c>
      <c r="G882" s="68" t="n">
        <v>9</v>
      </c>
      <c r="H882" s="70" t="n">
        <v>3</v>
      </c>
      <c r="I882" s="68" t="n"/>
      <c r="J882" s="69" t="n"/>
      <c r="K882" s="69" t="inlineStr">
        <is>
          <t>https://amazon.com/dp/B0G7FM9844</t>
        </is>
      </c>
      <c r="L882" s="114">
        <f>HYPERLINK(Table1410[[#This Row],[Column1]])</f>
        <v/>
      </c>
    </row>
    <row r="883" ht="60" customHeight="1" s="314">
      <c r="A883" s="35" t="inlineStr">
        <is>
          <t>Autel IM508S Pro Scanner OE Level Automotive Diagnostic Scan Tool 5X Faster Android 11.0 View Freeze Frame and Live Data FCA SGW 40+ Service Auto Scan 2.0 4-Core 4/64G</t>
        </is>
      </c>
      <c r="B883" s="35" t="inlineStr">
        <is>
          <t>B0G2RJ5HFL</t>
        </is>
      </c>
      <c r="C883" s="35" t="inlineStr">
        <is>
          <t>Tablet</t>
        </is>
      </c>
      <c r="D883" s="359" t="n">
        <v>1846.26</v>
      </c>
      <c r="E883" s="359" t="n">
        <v>70651.49000000001</v>
      </c>
      <c r="F883" s="359" t="n">
        <v>5538.78</v>
      </c>
      <c r="G883" s="68" t="n">
        <v>18</v>
      </c>
      <c r="H883" s="70" t="n">
        <v>3</v>
      </c>
      <c r="I883" s="68" t="n"/>
      <c r="J883" s="69" t="n"/>
      <c r="K883" s="69" t="inlineStr">
        <is>
          <t>https://amazon.com/dp/B0G2RJ5HFL</t>
        </is>
      </c>
      <c r="L883" s="114">
        <f>HYPERLINK(Table1410[[#This Row],[Column1]])</f>
        <v/>
      </c>
    </row>
    <row r="884" ht="45" customHeight="1" s="314">
      <c r="A884" s="35" t="inlineStr">
        <is>
          <t>Autel Scanner MaxiCOM MK908 Pro MS908S PRO II: 2026 J2534 Reprogramming Tool as MaxiSYS MS909 MS919 Elite II PRO Ultra Lite S2, OE Coding, 38+ Resets, All System Scan, 3K+ Active Tests, CANFD &amp; DoIP</t>
        </is>
      </c>
      <c r="B884" s="35" t="inlineStr">
        <is>
          <t>B00RFUY6XU</t>
        </is>
      </c>
      <c r="C884" s="35" t="inlineStr">
        <is>
          <t>Tablet</t>
        </is>
      </c>
      <c r="D884" s="359" t="n">
        <v>2024.45</v>
      </c>
      <c r="E884" s="359" t="n">
        <v>165981.26</v>
      </c>
      <c r="F884" s="359" t="n">
        <v>6073.35</v>
      </c>
      <c r="G884" s="68" t="n">
        <v>84</v>
      </c>
      <c r="H884" s="70" t="n">
        <v>3</v>
      </c>
      <c r="I884" s="68" t="n">
        <v>177</v>
      </c>
      <c r="J884" s="69" t="n">
        <v>4.5</v>
      </c>
      <c r="K884" s="69" t="inlineStr">
        <is>
          <t>https://amazon.com/dp/B00RFUY6XU</t>
        </is>
      </c>
      <c r="L884" s="114">
        <f>HYPERLINK(Table1410[[#This Row],[Column1]])</f>
        <v/>
      </c>
    </row>
    <row r="885" ht="45" customHeight="1" s="314">
      <c r="A885" s="35" t="inlineStr">
        <is>
          <t>Autel MaxiSYS MS906 PRO-TS Scanner: 2026 MS906Pro-TS Up of MP900TS MS906 PRO MP900BT MS906MAX, Full TPMS &amp; OE Coding, Bidirectional Scan Tool, 3000+ Test, 36+ Service, CAN FD&amp;DoIP, Auto Scan 2.0</t>
        </is>
      </c>
      <c r="B885" s="35" t="inlineStr">
        <is>
          <t>B01J1GWZVK</t>
        </is>
      </c>
      <c r="C885" s="35" t="inlineStr">
        <is>
          <t>Tablet</t>
        </is>
      </c>
      <c r="D885" s="359" t="n">
        <v>1388.883333333333</v>
      </c>
      <c r="E885" s="359" t="n">
        <v>45259.78</v>
      </c>
      <c r="F885" s="359" t="n">
        <v>4166.65</v>
      </c>
      <c r="G885" s="68" t="n">
        <v>28</v>
      </c>
      <c r="H885" s="70" t="n">
        <v>3</v>
      </c>
      <c r="I885" s="68" t="n">
        <v>42</v>
      </c>
      <c r="J885" s="69" t="n">
        <v>4.5</v>
      </c>
      <c r="K885" s="69" t="inlineStr">
        <is>
          <t>https://amazon.com/dp/B01J1GWZVK</t>
        </is>
      </c>
      <c r="L885" s="114">
        <f>HYPERLINK(Table1410[[#This Row],[Column1]])</f>
        <v/>
      </c>
    </row>
    <row r="886" ht="45" customHeight="1" s="314">
      <c r="A886" s="35" t="inlineStr">
        <is>
          <t>Autel AutoLink AL529HD OBD2 Scanner with Screen Wiper 2025 Heavy Duty Code Reader Retrieve Code VIN O2 Sensor Test OBDII Monitor Test Review Read Erase Data View Live Data Freeze Frame Data</t>
        </is>
      </c>
      <c r="B886" s="35" t="inlineStr">
        <is>
          <t>B0BJTKLQWH</t>
        </is>
      </c>
      <c r="C886" s="35" t="inlineStr">
        <is>
          <t>Handheld</t>
        </is>
      </c>
      <c r="D886" s="359" t="n">
        <v>104.16</v>
      </c>
      <c r="E886" s="359" t="n">
        <v>16290.97</v>
      </c>
      <c r="F886" s="359" t="n">
        <v>312.48</v>
      </c>
      <c r="G886" s="68" t="n">
        <v>138</v>
      </c>
      <c r="H886" s="70" t="n">
        <v>3</v>
      </c>
      <c r="I886" s="68" t="n">
        <v>24</v>
      </c>
      <c r="J886" s="69" t="n">
        <v>4.3</v>
      </c>
      <c r="K886" s="69" t="inlineStr">
        <is>
          <t>https://amazon.com/dp/B0BJTKLQWH</t>
        </is>
      </c>
      <c r="L886" s="114">
        <f>HYPERLINK(Table1410[[#This Row],[Column1]])</f>
        <v/>
      </c>
    </row>
    <row r="887" ht="60" customHeight="1" s="314">
      <c r="A887" s="35" t="inlineStr">
        <is>
          <t>Autel MaxiSys MS906MAX Scanner, Upgrade Version of Ms906Pro, Top Scan Tool, Bidirectional Diagnostic Tool, Upgrade of MK900, MP900BT, MS906BT, MK908, ECU Coding, 40+ Services, All System Diagnosis</t>
        </is>
      </c>
      <c r="B887" s="35" t="inlineStr">
        <is>
          <t>B0DWMP16VT</t>
        </is>
      </c>
      <c r="C887" s="35" t="inlineStr">
        <is>
          <t>Tablet</t>
        </is>
      </c>
      <c r="D887" s="359" t="n">
        <v>1547.206666666667</v>
      </c>
      <c r="E887" s="359" t="n">
        <v>34583.46153846155</v>
      </c>
      <c r="F887" s="359" t="n">
        <v>4641.62</v>
      </c>
      <c r="G887" s="68" t="n">
        <v>8</v>
      </c>
      <c r="H887" s="70" t="n">
        <v>3</v>
      </c>
      <c r="I887" s="68" t="n">
        <v>1</v>
      </c>
      <c r="J887" s="69" t="n">
        <v>5</v>
      </c>
      <c r="K887" s="69" t="inlineStr">
        <is>
          <t>https://amazon.com/dp/B0DWMP16VT</t>
        </is>
      </c>
      <c r="L887" s="114">
        <f>HYPERLINK(Table1410[[#This Row],[Column1]])</f>
        <v/>
      </c>
    </row>
    <row r="888" ht="60" customHeight="1" s="314">
      <c r="A888" s="35" t="inlineStr">
        <is>
          <t>MaxiCheck MX900</t>
        </is>
      </c>
      <c r="B888" s="35" t="inlineStr">
        <is>
          <t>B0F1W591BJ</t>
        </is>
      </c>
      <c r="C888" s="35" t="inlineStr">
        <is>
          <t>Tablet</t>
        </is>
      </c>
      <c r="D888" s="359" t="n">
        <v>572.77</v>
      </c>
      <c r="E888" s="359" t="n">
        <v>20751.89769230769</v>
      </c>
      <c r="F888" s="359" t="n">
        <v>1718.31</v>
      </c>
      <c r="G888" s="68" t="n">
        <v>3</v>
      </c>
      <c r="H888" s="70" t="n">
        <v>3</v>
      </c>
      <c r="I888" s="68" t="n"/>
      <c r="J888" s="69" t="n"/>
      <c r="K888" s="69" t="inlineStr">
        <is>
          <t>https://amazon.com/dp/B0F1W591BJ</t>
        </is>
      </c>
      <c r="L888" s="114">
        <f>HYPERLINK(Table1410[[#This Row],[Column1]])</f>
        <v/>
      </c>
    </row>
    <row r="889" ht="45" customHeight="1" s="314">
      <c r="A889" s="35" t="inlineStr">
        <is>
          <t>Autel Automotive Power Circuit Test Tool (Red)</t>
        </is>
      </c>
      <c r="B889" s="35" t="inlineStr">
        <is>
          <t>B0714PHHJ9</t>
        </is>
      </c>
      <c r="C889" s="35" t="inlineStr">
        <is>
          <t>Probe</t>
        </is>
      </c>
      <c r="D889" s="359" t="n">
        <v>103.4133333333333</v>
      </c>
      <c r="E889" s="359" t="n">
        <v>2852.932307692307</v>
      </c>
      <c r="F889" s="359" t="n">
        <v>310.24</v>
      </c>
      <c r="G889" s="68" t="n">
        <v>11</v>
      </c>
      <c r="H889" s="70" t="n">
        <v>3</v>
      </c>
      <c r="I889" s="68" t="n">
        <v>814</v>
      </c>
      <c r="J889" s="69" t="n">
        <v>4.7</v>
      </c>
      <c r="K889" s="69" t="inlineStr">
        <is>
          <t>https://amazon.com/dp/B0714PHHJ9</t>
        </is>
      </c>
      <c r="L889" s="114">
        <f>HYPERLINK(Table1410[[#This Row],[Column1]])</f>
        <v/>
      </c>
    </row>
    <row r="890" ht="60" customHeight="1" s="314">
      <c r="A890" s="35" t="inlineStr">
        <is>
          <t>Autel MaxiDiag MD808 Pro OBD2 Scanner, All System Diagnostic Scan Tool, Upgraded of MaxiCheck Pro/MD808/MD806 Pro/MD802, 7 Reset Service Oil/D-F/EPB/SAS/BMS/Throttle, Auto Scan, Lifetime Free Update</t>
        </is>
      </c>
      <c r="B890" s="35" t="inlineStr">
        <is>
          <t>B0D5QZG2NK</t>
        </is>
      </c>
      <c r="C890" s="35" t="inlineStr">
        <is>
          <t>Handheld</t>
        </is>
      </c>
      <c r="D890" s="359" t="n">
        <v>306.77</v>
      </c>
      <c r="E890" s="359" t="n">
        <v>13008.33461538462</v>
      </c>
      <c r="F890" s="359" t="n">
        <v>613.54</v>
      </c>
      <c r="G890" s="68" t="n">
        <v>47</v>
      </c>
      <c r="H890" s="70" t="n">
        <v>2</v>
      </c>
      <c r="I890" s="68" t="n">
        <v>8</v>
      </c>
      <c r="J890" s="69" t="n">
        <v>4.2</v>
      </c>
      <c r="K890" s="69" t="inlineStr">
        <is>
          <t>https://amazon.com/dp/B0D5QZG2NK</t>
        </is>
      </c>
      <c r="L890" s="114">
        <f>HYPERLINK(Table1410[[#This Row],[Column1]])</f>
        <v/>
      </c>
    </row>
    <row r="891" ht="45" customHeight="1" s="314">
      <c r="A891" s="35" t="inlineStr">
        <is>
          <t>2026 Autel MaxiSys MS909CV Truck Scanner: Top Heavy Duty Truck Tool for Semi Commercial Cars, Updated of MS908CV with Intelligent Diagnosis, Topology, J2534 ECU C0ding, 64+ Services, Active Test</t>
        </is>
      </c>
      <c r="B891" s="35" t="inlineStr">
        <is>
          <t>B08F7TQZ41</t>
        </is>
      </c>
      <c r="C891" s="35" t="inlineStr">
        <is>
          <t>Tablet</t>
        </is>
      </c>
      <c r="D891" s="359" t="n">
        <v>3540.77</v>
      </c>
      <c r="E891" s="359" t="n">
        <v>78670.78</v>
      </c>
      <c r="F891" s="359" t="n">
        <v>7081.54</v>
      </c>
      <c r="G891" s="68" t="n">
        <v>18</v>
      </c>
      <c r="H891" s="70" t="n">
        <v>2</v>
      </c>
      <c r="I891" s="68" t="n">
        <v>2</v>
      </c>
      <c r="J891" s="69" t="n">
        <v>5</v>
      </c>
      <c r="K891" s="69" t="inlineStr">
        <is>
          <t>https://amazon.com/dp/B08F7TQZ41</t>
        </is>
      </c>
      <c r="L891" s="114">
        <f>HYPERLINK(Table1410[[#This Row],[Column1]])</f>
        <v/>
      </c>
    </row>
    <row r="892" ht="45" customHeight="1" s="314">
      <c r="A892" s="35" t="inlineStr">
        <is>
          <t>Autel Scanner MaxiSYS MS919, 2026 Top Intelligent Same as MSUltra, $2000 5in1 VCMI, Motor TruSpeed Topology 2.0, OE-Level J2534 Functions, Up of MS909 Elite 2 Pro Ultra Lite, 40+ Services, 3000+ Tests</t>
        </is>
      </c>
      <c r="B892" s="35" t="inlineStr">
        <is>
          <t>B08PPBL1GS</t>
        </is>
      </c>
      <c r="C892" s="35" t="inlineStr">
        <is>
          <t>Tablet</t>
        </is>
      </c>
      <c r="D892" s="359" t="n">
        <v>3620.855</v>
      </c>
      <c r="E892" s="359" t="n">
        <v>119339.1507692308</v>
      </c>
      <c r="F892" s="359" t="n">
        <v>7241.71</v>
      </c>
      <c r="G892" s="68" t="n">
        <v>28</v>
      </c>
      <c r="H892" s="70" t="n">
        <v>2</v>
      </c>
      <c r="I892" s="68" t="n">
        <v>21</v>
      </c>
      <c r="J892" s="69" t="n">
        <v>4.4</v>
      </c>
      <c r="K892" s="69" t="inlineStr">
        <is>
          <t>https://amazon.com/dp/B08PPBL1GS</t>
        </is>
      </c>
      <c r="L892" s="114">
        <f>HYPERLINK(Table1410[[#This Row],[Column1]])</f>
        <v/>
      </c>
    </row>
    <row r="893" ht="17" customHeight="1" s="314">
      <c r="A893" s="35" t="inlineStr">
        <is>
          <t>Autel MaxiPRO MP900 Scanner, 2026 MP900 Same as MP900BT MS906 PRO MS906MAX, Up of MS906 MP808BT PRO MP808S MK900 MX900, Bidirectional Scan Tool, 3K+ Test, 40+ Resets, CAN FD &amp; DOIP, 11.0 OS</t>
        </is>
      </c>
      <c r="B893" s="35" t="inlineStr">
        <is>
          <t>B0F5H3MBQW</t>
        </is>
      </c>
      <c r="C893" s="35" t="inlineStr">
        <is>
          <t>Tablet</t>
        </is>
      </c>
      <c r="D893" s="359" t="n">
        <v>798.99</v>
      </c>
      <c r="E893" s="359" t="n">
        <v>24030.32692307693</v>
      </c>
      <c r="F893" s="359" t="n">
        <v>1597.98</v>
      </c>
      <c r="G893" s="68" t="n">
        <v>26</v>
      </c>
      <c r="H893" s="70" t="n">
        <v>2</v>
      </c>
      <c r="I893" s="68" t="n">
        <v>6</v>
      </c>
      <c r="J893" s="69" t="n">
        <v>4.4</v>
      </c>
      <c r="K893" s="69" t="inlineStr">
        <is>
          <t>https://amazon.com/dp/B0F5H3MBQW</t>
        </is>
      </c>
      <c r="L893" s="114">
        <f>HYPERLINK(Table1410[[#This Row],[Column1]])</f>
        <v/>
      </c>
    </row>
    <row r="894" ht="45" customHeight="1" s="314">
      <c r="A894" s="35" t="inlineStr">
        <is>
          <t>Autel MaxiSYS Ultra EV Intelligent Scanner, 2026 EV Ver of Ultra S2, High-Voltage System &amp; Battery Pack Analyze, $1000 EVDiag KIT, 5IN1 VCMI, 2.0 Topology, 3K+ Bidirectional, 40+ Reset, Motor Truspeed</t>
        </is>
      </c>
      <c r="B894" s="35" t="inlineStr">
        <is>
          <t>B08PNNVX78</t>
        </is>
      </c>
      <c r="C894" s="35" t="inlineStr">
        <is>
          <t>Tablet</t>
        </is>
      </c>
      <c r="D894" s="359" t="n">
        <v>3891.505</v>
      </c>
      <c r="E894" s="359" t="n">
        <v>112867.67</v>
      </c>
      <c r="F894" s="359" t="n">
        <v>7783.01</v>
      </c>
      <c r="G894" s="68" t="n">
        <v>21</v>
      </c>
      <c r="H894" s="70" t="n">
        <v>2</v>
      </c>
      <c r="I894" s="68" t="n">
        <v>14</v>
      </c>
      <c r="J894" s="69" t="n">
        <v>4.9</v>
      </c>
      <c r="K894" s="69" t="inlineStr">
        <is>
          <t>https://amazon.com/dp/B08PNNVX78</t>
        </is>
      </c>
      <c r="L894" s="114">
        <f>HYPERLINK(Table1410[[#This Row],[Column1]])</f>
        <v/>
      </c>
    </row>
    <row r="895" ht="60" customHeight="1" s="314">
      <c r="A895" s="35" t="inlineStr">
        <is>
          <t>Autel OBD2 Scanner Diagnostic Code Reader ML629 - ABS/SRS/Engine/Transmission MaxiLink 629 Car Diagnostic Tool DTC Lookup AutoVIN, ABS Code Reader for Vehicle Engine/Transmission/AirBag/Brake System</t>
        </is>
      </c>
      <c r="B895" s="35" t="inlineStr">
        <is>
          <t>B07KYNMZQ7</t>
        </is>
      </c>
      <c r="C895" s="35" t="inlineStr">
        <is>
          <t>Handheld</t>
        </is>
      </c>
      <c r="D895" s="359" t="n">
        <v>123.945</v>
      </c>
      <c r="E895" s="359" t="n">
        <v>6737.829999999998</v>
      </c>
      <c r="F895" s="359" t="n">
        <v>247.89</v>
      </c>
      <c r="G895" s="68" t="n">
        <v>59</v>
      </c>
      <c r="H895" s="70" t="n">
        <v>2</v>
      </c>
      <c r="I895" s="68" t="n">
        <v>88</v>
      </c>
      <c r="J895" s="69" t="n">
        <v>4.1</v>
      </c>
      <c r="K895" s="69" t="inlineStr">
        <is>
          <t>https://amazon.com/dp/B07KYNMZQ7</t>
        </is>
      </c>
      <c r="L895" s="114">
        <f>HYPERLINK(Table1410[[#This Row],[Column1]])</f>
        <v/>
      </c>
    </row>
    <row r="896" ht="45" customHeight="1" s="314">
      <c r="A896" s="35" t="inlineStr">
        <is>
          <t>Autel MaxiSys MS919 Scanner, 2026 Top Intelligent Scan Tool as Ultra, Motor TruSpeed Up of Ultra Lite MS909, Topology 2.0, Same OE Functions as Ultra S2, 40+ Service, 3K+ Test, [$2000] 5in1 VCMI</t>
        </is>
      </c>
      <c r="B896" s="35" t="inlineStr">
        <is>
          <t>B0GGH8W79N</t>
        </is>
      </c>
      <c r="C896" s="35" t="inlineStr">
        <is>
          <t>Tablet</t>
        </is>
      </c>
      <c r="D896" s="359" t="n">
        <v>3799</v>
      </c>
      <c r="E896" s="359" t="n">
        <v>92344.9130769231</v>
      </c>
      <c r="F896" s="359" t="n">
        <v>7598</v>
      </c>
      <c r="G896" s="68" t="n">
        <v>4</v>
      </c>
      <c r="H896" s="70" t="n">
        <v>2</v>
      </c>
      <c r="I896" s="68" t="n"/>
      <c r="J896" s="69" t="n"/>
      <c r="K896" s="69" t="inlineStr">
        <is>
          <t>https://amazon.com/dp/B0GGH8W79N</t>
        </is>
      </c>
      <c r="L896" s="114">
        <f>HYPERLINK(Table1410[[#This Row],[Column1]])</f>
        <v/>
      </c>
    </row>
    <row r="897" ht="45" customHeight="1" s="314">
      <c r="A897" s="35" t="inlineStr">
        <is>
          <t>Autel Scanner, escáner para carros en español, Autel MX900 with MV108, OBD2 Scanner, 40+ Resets, Support CAN FD/Do IP, All System, Android 11, FCA Auto auth, 3000+ Active Test, Upgrade MX808 MK808S</t>
        </is>
      </c>
      <c r="B897" s="35" t="inlineStr">
        <is>
          <t>B0CRRDVYKD</t>
        </is>
      </c>
      <c r="C897" s="35" t="inlineStr">
        <is>
          <t>Tablet</t>
        </is>
      </c>
      <c r="D897" s="359" t="n">
        <v>623.645</v>
      </c>
      <c r="E897" s="359" t="n">
        <v>13242.39</v>
      </c>
      <c r="F897" s="359" t="n">
        <v>1247.29</v>
      </c>
      <c r="G897" s="68" t="n">
        <v>25</v>
      </c>
      <c r="H897" s="70" t="n">
        <v>2</v>
      </c>
      <c r="I897" s="68" t="n">
        <v>15</v>
      </c>
      <c r="J897" s="69" t="n">
        <v>5</v>
      </c>
      <c r="K897" s="69" t="inlineStr">
        <is>
          <t>https://amazon.com/dp/B0CRRDVYKD</t>
        </is>
      </c>
      <c r="L897" s="114">
        <f>HYPERLINK(Table1410[[#This Row],[Column1]])</f>
        <v/>
      </c>
    </row>
    <row r="898" ht="45" customHeight="1" s="314">
      <c r="A898" s="35" t="inlineStr">
        <is>
          <t>Autel MaxiIM KM100 (X) OBD2 Scanner, 2026 Car Diagnostic Tool Lifetime Free Updates, Lite Ver. of IM508S PRO IM508, Wireless BT OBDII Scan Tool, 2GB &amp; 64GB Android 9.0</t>
        </is>
      </c>
      <c r="B898" s="35" t="inlineStr">
        <is>
          <t>B0FZB92WZL</t>
        </is>
      </c>
      <c r="C898" s="35" t="inlineStr">
        <is>
          <t>Handheld</t>
        </is>
      </c>
      <c r="D898" s="359" t="n">
        <v>491.265</v>
      </c>
      <c r="E898" s="359" t="n">
        <v>11865.93923076923</v>
      </c>
      <c r="F898" s="359" t="n">
        <v>982.53</v>
      </c>
      <c r="G898" s="68" t="n">
        <v>2</v>
      </c>
      <c r="H898" s="70" t="n">
        <v>2</v>
      </c>
      <c r="I898" s="68" t="n"/>
      <c r="J898" s="69" t="n"/>
      <c r="K898" s="69" t="inlineStr">
        <is>
          <t>https://amazon.com/dp/B0FZB92WZL</t>
        </is>
      </c>
      <c r="L898" s="114">
        <f>HYPERLINK(Table1410[[#This Row],[Column1]])</f>
        <v/>
      </c>
    </row>
    <row r="899" ht="45" customHeight="1" s="314">
      <c r="A899" s="35" t="inlineStr">
        <is>
          <t>Autel MaxiTPMS TS601 OBDII Car TPMS Reset Programming Diagnostic Scanner Tool, MOST POWERFUL TPMS DIAGNOSTIC &amp; SERVICE DIY TOOL, Wireless diagnosing TPMS Tool</t>
        </is>
      </c>
      <c r="B899" s="35" t="inlineStr">
        <is>
          <t>B0CFL5W685</t>
        </is>
      </c>
      <c r="C899" s="35" t="inlineStr">
        <is>
          <t>Handheld</t>
        </is>
      </c>
      <c r="D899" s="359" t="n">
        <v>317.44</v>
      </c>
      <c r="E899" s="359" t="n">
        <v>7340.92</v>
      </c>
      <c r="F899" s="359" t="n">
        <v>634.88</v>
      </c>
      <c r="G899" s="68" t="n">
        <v>21</v>
      </c>
      <c r="H899" s="70" t="n">
        <v>2</v>
      </c>
      <c r="I899" s="68" t="n"/>
      <c r="J899" s="69" t="n"/>
      <c r="K899" s="69" t="inlineStr">
        <is>
          <t>https://amazon.com/dp/B0CFL5W685</t>
        </is>
      </c>
      <c r="L899" s="114">
        <f>HYPERLINK(Table1410[[#This Row],[Column1]])</f>
        <v/>
      </c>
    </row>
    <row r="900" ht="60" customHeight="1" s="314">
      <c r="A900" s="35" t="inlineStr">
        <is>
          <t>Autel Scanner MaxiSYS Ultra, 2026 MSUltra Top Intelligent Scan Tool, Motor TruSpeed, Topology 2.0, [$2000] 5in1 VCMI, OE-Level J2534 Functions, Up of MS919 MS909 Ultra Lite Elite II PRO, 40+ Services</t>
        </is>
      </c>
      <c r="B900" s="35" t="inlineStr">
        <is>
          <t>B08P47HP15</t>
        </is>
      </c>
      <c r="C900" s="35" t="inlineStr">
        <is>
          <t>Tablet</t>
        </is>
      </c>
      <c r="D900" s="359" t="n">
        <v>3318.47</v>
      </c>
      <c r="E900" s="359" t="n">
        <v>179969.42</v>
      </c>
      <c r="F900" s="359" t="n">
        <v>6636.94</v>
      </c>
      <c r="G900" s="68" t="n">
        <v>49</v>
      </c>
      <c r="H900" s="70" t="n">
        <v>2</v>
      </c>
      <c r="I900" s="68" t="n">
        <v>70</v>
      </c>
      <c r="J900" s="69" t="n">
        <v>4.5</v>
      </c>
      <c r="K900" s="69" t="inlineStr">
        <is>
          <t>https://amazon.com/dp/B08P47HP15</t>
        </is>
      </c>
      <c r="L900" s="114">
        <f>HYPERLINK(Table1410[[#This Row],[Column1]])</f>
        <v/>
      </c>
    </row>
    <row r="901" ht="60" customHeight="1" s="314">
      <c r="A901" s="35" t="inlineStr">
        <is>
          <t>Autel MaxiCOM MK808Z-TS Scanner, TPMS Programming Tool with All System Diagnostic Scan, Same as MX808S-TS MK808S-TS, MX-Sensor Programmer, 28+ Services, 3000+ Active Tests, Android 11, FCA AutoAuth</t>
        </is>
      </c>
      <c r="B901" s="35" t="inlineStr">
        <is>
          <t>B0FKGN6W6S</t>
        </is>
      </c>
      <c r="C901" s="35" t="inlineStr">
        <is>
          <t>Tablet</t>
        </is>
      </c>
      <c r="D901" s="359" t="n">
        <v>705.775</v>
      </c>
      <c r="E901" s="359" t="n">
        <v>15451.04538461539</v>
      </c>
      <c r="F901" s="359" t="n">
        <v>1411.55</v>
      </c>
      <c r="G901" s="68" t="n">
        <v>11</v>
      </c>
      <c r="H901" s="70" t="n">
        <v>2</v>
      </c>
      <c r="I901" s="68" t="n">
        <v>2</v>
      </c>
      <c r="J901" s="69" t="n">
        <v>5</v>
      </c>
      <c r="K901" s="69" t="inlineStr">
        <is>
          <t>https://amazon.com/dp/B0FKGN6W6S</t>
        </is>
      </c>
      <c r="L901" s="114">
        <f>HYPERLINK(Table1410[[#This Row],[Column1]])</f>
        <v/>
      </c>
    </row>
    <row r="902" ht="60" customHeight="1" s="314">
      <c r="A902" s="35" t="inlineStr">
        <is>
          <t>Autel MaxiSys MS909 S2 Scanner 2026, Same as Ultra S2 Up of MS909, Top Intelligent Scan Tool with Topology 3.0, Enhanced PID Analysis, Motor TruSpeed Repair, ECU Programming, 48+ Services, CAN FD&amp;DOIP</t>
        </is>
      </c>
      <c r="B902" s="35" t="inlineStr">
        <is>
          <t>B0FSDM8LB5</t>
        </is>
      </c>
      <c r="C902" s="35" t="inlineStr">
        <is>
          <t>Tablet</t>
        </is>
      </c>
      <c r="D902" s="359" t="n">
        <v>3669.56</v>
      </c>
      <c r="E902" s="359" t="n">
        <v>85881.84307692306</v>
      </c>
      <c r="F902" s="359" t="n">
        <v>7339.12</v>
      </c>
      <c r="G902" s="68" t="n">
        <v>5</v>
      </c>
      <c r="H902" s="70" t="n">
        <v>2</v>
      </c>
      <c r="I902" s="68" t="n">
        <v>2</v>
      </c>
      <c r="J902" s="69" t="n">
        <v>5</v>
      </c>
      <c r="K902" s="69" t="inlineStr">
        <is>
          <t>https://amazon.com/dp/B0FSDM8LB5</t>
        </is>
      </c>
      <c r="L902" s="114">
        <f>HYPERLINK(Table1410[[#This Row],[Column1]])</f>
        <v/>
      </c>
    </row>
    <row r="903" ht="45" customHeight="1" s="314">
      <c r="A903" s="35" t="inlineStr">
        <is>
          <t>Autel AutoLINK AL529HD Heavy Duty, Red</t>
        </is>
      </c>
      <c r="B903" s="35" t="inlineStr">
        <is>
          <t>B073RFLQ85</t>
        </is>
      </c>
      <c r="C903" s="35" t="inlineStr">
        <is>
          <t>Handheld</t>
        </is>
      </c>
      <c r="D903" s="359" t="n">
        <v>119.365</v>
      </c>
      <c r="E903" s="359" t="n">
        <v>4832.57</v>
      </c>
      <c r="F903" s="359" t="n">
        <v>238.73</v>
      </c>
      <c r="G903" s="68" t="n">
        <v>45</v>
      </c>
      <c r="H903" s="70" t="n">
        <v>2</v>
      </c>
      <c r="I903" s="68" t="n">
        <v>51</v>
      </c>
      <c r="J903" s="69" t="n">
        <v>4.1</v>
      </c>
      <c r="K903" s="69" t="inlineStr">
        <is>
          <t>https://amazon.com/dp/B073RFLQ85</t>
        </is>
      </c>
      <c r="L903" s="114">
        <f>HYPERLINK(Table1410[[#This Row],[Column1]])</f>
        <v/>
      </c>
    </row>
    <row r="904" ht="45" customHeight="1" s="314">
      <c r="A904" s="35" t="inlineStr">
        <is>
          <t>Autel MaxiSys MS906 Pro-TS Scanner, 2026 Same as MS906 PRO2-TS Up of MP900TS MS-906MAX MS906PRO, Top TPMS Scan Tool W/OE C0d-ing, 3000+ Active Test, 36+ Service, CAN FD&amp;DoIP Auto Scan 2.0</t>
        </is>
      </c>
      <c r="B904" s="35" t="inlineStr">
        <is>
          <t>B071RLXN2W</t>
        </is>
      </c>
      <c r="C904" s="35" t="inlineStr">
        <is>
          <t>Tablet</t>
        </is>
      </c>
      <c r="D904" s="359" t="n">
        <v>1647.8</v>
      </c>
      <c r="E904" s="359" t="n">
        <v>92200.19</v>
      </c>
      <c r="F904" s="359" t="n">
        <v>3295.6</v>
      </c>
      <c r="G904" s="68" t="n">
        <v>58</v>
      </c>
      <c r="H904" s="70" t="n">
        <v>2</v>
      </c>
      <c r="I904" s="68" t="n">
        <v>25</v>
      </c>
      <c r="J904" s="69" t="n">
        <v>4.7</v>
      </c>
      <c r="K904" s="69" t="inlineStr">
        <is>
          <t>https://amazon.com/dp/B071RLXN2W</t>
        </is>
      </c>
      <c r="L904" s="114">
        <f>HYPERLINK(Table1410[[#This Row],[Column1]])</f>
        <v/>
      </c>
    </row>
    <row r="905" ht="45" customHeight="1" s="314">
      <c r="A905" s="35" t="inlineStr">
        <is>
          <t>Autel MaxiCheck MX900 Scanner: 2026 Bidirectional Scan Tool Same as MaxiCom MK900BT MK900, CANFD&amp; DoIP, 3K+ Active Tests 40+ Services Up of MX808S MK808S MK808BT, 8in All-System Diagnose, FCA 11OS</t>
        </is>
      </c>
      <c r="B905" s="35" t="inlineStr">
        <is>
          <t>B073QHVGX7</t>
        </is>
      </c>
      <c r="C905" s="35" t="inlineStr">
        <is>
          <t>Tablet</t>
        </is>
      </c>
      <c r="D905" s="359" t="n">
        <v>576.885</v>
      </c>
      <c r="E905" s="359" t="n">
        <v>78855.45</v>
      </c>
      <c r="F905" s="359" t="n">
        <v>1153.77</v>
      </c>
      <c r="G905" s="68" t="n">
        <v>141</v>
      </c>
      <c r="H905" s="70" t="n">
        <v>2</v>
      </c>
      <c r="I905" s="68" t="n">
        <v>125</v>
      </c>
      <c r="J905" s="69" t="n">
        <v>4.4</v>
      </c>
      <c r="K905" s="69" t="inlineStr">
        <is>
          <t>https://amazon.com/dp/B073QHVGX7</t>
        </is>
      </c>
      <c r="L905" s="114">
        <f>HYPERLINK(Table1410[[#This Row],[Column1]])</f>
        <v/>
      </c>
    </row>
    <row r="906" ht="45" customHeight="1" s="314">
      <c r="A906" s="35" t="inlineStr">
        <is>
          <t>2026 Autel MaxiPRO MP808S KIT Scanner, 2-Year Update of MP900Z-BT MP900-BT KIT, ECU C0ding, 31+ Reset, 3000+ Test, Alternative to MaxiSYS MS906 PRO, w/ $200 11PCS OBD Cables, Up of MK808S MX900 MK900</t>
        </is>
      </c>
      <c r="B906" s="35" t="inlineStr">
        <is>
          <t>B07R2N9K31</t>
        </is>
      </c>
      <c r="C906" s="35" t="inlineStr">
        <is>
          <t>Tablet</t>
        </is>
      </c>
      <c r="D906" s="359" t="n">
        <v>771.42</v>
      </c>
      <c r="E906" s="359" t="n">
        <v>27335.97</v>
      </c>
      <c r="F906" s="359" t="n">
        <v>1542.84</v>
      </c>
      <c r="G906" s="68" t="n">
        <v>38</v>
      </c>
      <c r="H906" s="70" t="n">
        <v>2</v>
      </c>
      <c r="I906" s="68" t="n">
        <v>314</v>
      </c>
      <c r="J906" s="69" t="n">
        <v>4.5</v>
      </c>
      <c r="K906" s="69" t="inlineStr">
        <is>
          <t>https://amazon.com/dp/B07R2N9K31</t>
        </is>
      </c>
      <c r="L906" s="114">
        <f>HYPERLINK(Table1410[[#This Row],[Column1]])</f>
        <v/>
      </c>
    </row>
    <row r="907" ht="45" customHeight="1" s="314">
      <c r="A907" s="35" t="inlineStr">
        <is>
          <t>Autel MS906BT1YRUPDATE 1Year Subscription, Total Care Program (TCP) Card, One Year Software Subscription &amp; Warranty</t>
        </is>
      </c>
      <c r="B907" s="35" t="inlineStr">
        <is>
          <t>B0G62Z5F3H</t>
        </is>
      </c>
      <c r="C907" s="35" t="inlineStr">
        <is>
          <t>Other</t>
        </is>
      </c>
      <c r="D907" s="359" t="n">
        <v>511.865</v>
      </c>
      <c r="E907" s="359" t="n">
        <v>11418.52692307692</v>
      </c>
      <c r="F907" s="359" t="n">
        <v>1023.73</v>
      </c>
      <c r="G907" s="68" t="n">
        <v>2</v>
      </c>
      <c r="H907" s="70" t="n">
        <v>2</v>
      </c>
      <c r="I907" s="68" t="n"/>
      <c r="J907" s="69" t="n"/>
      <c r="K907" s="69" t="inlineStr">
        <is>
          <t>https://amazon.com/dp/B0G62Z5F3H</t>
        </is>
      </c>
      <c r="L907" s="114">
        <f>HYPERLINK(Table1410[[#This Row],[Column1]])</f>
        <v/>
      </c>
    </row>
    <row r="908" ht="45" customHeight="1" s="314">
      <c r="A908" s="35" t="inlineStr">
        <is>
          <t>Autel Total Care Program 1-Year Warranty Update for MS909 — Model# MS9091YRUPDATE</t>
        </is>
      </c>
      <c r="B908" s="35" t="inlineStr">
        <is>
          <t>B09WW5CBNS</t>
        </is>
      </c>
      <c r="C908" s="35" t="inlineStr">
        <is>
          <t>Other</t>
        </is>
      </c>
      <c r="D908" s="359" t="n">
        <v>882.58</v>
      </c>
      <c r="E908" s="359" t="n">
        <v>24348.81</v>
      </c>
      <c r="F908" s="359" t="n">
        <v>1765.16</v>
      </c>
      <c r="G908" s="68" t="n">
        <v>28</v>
      </c>
      <c r="H908" s="70" t="n">
        <v>2</v>
      </c>
      <c r="I908" s="68" t="n">
        <v>2</v>
      </c>
      <c r="J908" s="69" t="n">
        <v>5</v>
      </c>
      <c r="K908" s="69" t="inlineStr">
        <is>
          <t>https://amazon.com/dp/B09WW5CBNS</t>
        </is>
      </c>
      <c r="L908" s="114">
        <f>HYPERLINK(Table1410[[#This Row],[Column1]])</f>
        <v/>
      </c>
    </row>
    <row r="909" ht="45" customHeight="1" s="314">
      <c r="A909" s="35" t="inlineStr">
        <is>
          <t>Autel MaxiFlash VCI Kit J2534 Reprogramming Tool J2534 PassThru ECU Programming Tool Support CAN FD 4 CAN Channels DoIP D-PDU Autel Bluetooth VCI Works with PC MS909 MS909EV MS909CV</t>
        </is>
      </c>
      <c r="B909" s="35" t="inlineStr">
        <is>
          <t>B0CXP123X6</t>
        </is>
      </c>
      <c r="C909" s="35" t="inlineStr">
        <is>
          <t>VCI</t>
        </is>
      </c>
      <c r="D909" s="359" t="n">
        <v>826.35</v>
      </c>
      <c r="E909" s="359" t="n">
        <v>17154.55</v>
      </c>
      <c r="F909" s="359" t="n">
        <v>1652.7</v>
      </c>
      <c r="G909" s="68" t="n">
        <v>18</v>
      </c>
      <c r="H909" s="70" t="n">
        <v>2</v>
      </c>
      <c r="I909" s="68" t="n"/>
      <c r="J909" s="69" t="n"/>
      <c r="K909" s="69" t="inlineStr">
        <is>
          <t>https://amazon.com/dp/B0CXP123X6</t>
        </is>
      </c>
      <c r="L909" s="114">
        <f>HYPERLINK(Table1410[[#This Row],[Column1]])</f>
        <v/>
      </c>
    </row>
    <row r="910" ht="60" customHeight="1" s="314">
      <c r="A910" s="35" t="inlineStr">
        <is>
          <t>Autel Scanner MaxiCheck MX900: 2026 Bidirectional Scan Tool Upgrade of MX808S MK808S MK808BT-Pro, US Ver. of Autel MK900BT MK900, CANFD &amp;DOIP, 40+Services, 3000+ Active Test, All-System Diagnose</t>
        </is>
      </c>
      <c r="B910" s="35" t="inlineStr">
        <is>
          <t>B0F5W6CZJ9</t>
        </is>
      </c>
      <c r="C910" s="35" t="inlineStr">
        <is>
          <t>Tablet</t>
        </is>
      </c>
      <c r="D910" s="359" t="n">
        <v>595.98</v>
      </c>
      <c r="E910" s="359" t="n">
        <v>23240.14230769231</v>
      </c>
      <c r="F910" s="359" t="n">
        <v>1191.96</v>
      </c>
      <c r="G910" s="68" t="n">
        <v>35</v>
      </c>
      <c r="H910" s="70" t="n">
        <v>2</v>
      </c>
      <c r="I910" s="68" t="n">
        <v>6</v>
      </c>
      <c r="J910" s="69" t="n">
        <v>3.8</v>
      </c>
      <c r="K910" s="69" t="inlineStr">
        <is>
          <t>https://amazon.com/dp/B0F5W6CZJ9</t>
        </is>
      </c>
      <c r="L910" s="114">
        <f>HYPERLINK(Table1410[[#This Row],[Column1]])</f>
        <v/>
      </c>
    </row>
    <row r="911" ht="45" customHeight="1" s="314">
      <c r="A911" s="35" t="inlineStr">
        <is>
          <t>Autel MaxiPRO MP900TS Scanner Up of MS906 PRO MS906TS MP900BT MK900-TS TPMS Programming Diagnostic Tool Same as MS906 Pro TS Bi-Directional Test CAN FD&amp;DOIP 40+ Service FCA SGW</t>
        </is>
      </c>
      <c r="B911" s="35" t="inlineStr">
        <is>
          <t>B0FJ1GZ12Z</t>
        </is>
      </c>
      <c r="C911" s="35" t="inlineStr">
        <is>
          <t>Tablet</t>
        </is>
      </c>
      <c r="D911" s="359" t="n">
        <v>1187.13</v>
      </c>
      <c r="E911" s="359" t="n">
        <v>30860.36769230769</v>
      </c>
      <c r="F911" s="359" t="n">
        <v>2374.26</v>
      </c>
      <c r="G911" s="68" t="n">
        <v>17</v>
      </c>
      <c r="H911" s="70" t="n">
        <v>2</v>
      </c>
      <c r="I911" s="68" t="n">
        <v>2</v>
      </c>
      <c r="J911" s="69" t="n">
        <v>5</v>
      </c>
      <c r="K911" s="69" t="inlineStr">
        <is>
          <t>https://amazon.com/dp/B0FJ1GZ12Z</t>
        </is>
      </c>
      <c r="L911" s="114">
        <f>HYPERLINK(Table1410[[#This Row],[Column1]])</f>
        <v/>
      </c>
    </row>
    <row r="912" ht="45" customHeight="1" s="314">
      <c r="A912" s="35" t="inlineStr">
        <is>
          <t>Autel MaxiTPMS TS508WF TPMS Service Tool — Wi-Fi Updates, Quick and Advance Modes, OBDII Cable, Model# 700010</t>
        </is>
      </c>
      <c r="B912" s="35" t="inlineStr">
        <is>
          <t>B07RHVSJNN</t>
        </is>
      </c>
      <c r="C912" s="35" t="inlineStr">
        <is>
          <t>Handheld</t>
        </is>
      </c>
      <c r="D912" s="359" t="n">
        <v>183.555</v>
      </c>
      <c r="E912" s="359" t="n">
        <v>1747.36</v>
      </c>
      <c r="F912" s="359" t="n">
        <v>367.11</v>
      </c>
      <c r="G912" s="68" t="n">
        <v>7</v>
      </c>
      <c r="H912" s="70" t="n">
        <v>2</v>
      </c>
      <c r="I912" s="68" t="n">
        <v>2</v>
      </c>
      <c r="J912" s="69" t="n">
        <v>3.6</v>
      </c>
      <c r="K912" s="69" t="inlineStr">
        <is>
          <t>https://amazon.com/dp/B07RHVSJNN</t>
        </is>
      </c>
      <c r="L912" s="114">
        <f>HYPERLINK(Table1410[[#This Row],[Column1]])</f>
        <v/>
      </c>
    </row>
    <row r="913" ht="60" customHeight="1" s="314">
      <c r="A913" s="35" t="inlineStr">
        <is>
          <t>Autel 1-Sensor - Bulk of (20), TPMS Sensor 2in 1 MX-Sensor 315Mhz/433Mhz, Tire Sensors Rubber Stem 100% Cloneable Press-in, OE-Level Universal Programmable by Autel TPMS Tool TS508 TS508WF MS906PRO-TS</t>
        </is>
      </c>
      <c r="B913" s="35" t="inlineStr">
        <is>
          <t>B0FNMSV56P</t>
        </is>
      </c>
      <c r="C913" s="35" t="inlineStr">
        <is>
          <t>Other</t>
        </is>
      </c>
      <c r="D913" s="359" t="n">
        <v>505.975</v>
      </c>
      <c r="E913" s="359" t="n">
        <v>10921.36384615385</v>
      </c>
      <c r="F913" s="359" t="n">
        <v>1011.95</v>
      </c>
      <c r="G913" s="68" t="n">
        <v>9</v>
      </c>
      <c r="H913" s="70" t="n">
        <v>2</v>
      </c>
      <c r="I913" s="68" t="n">
        <v>34</v>
      </c>
      <c r="J913" s="69" t="n">
        <v>5</v>
      </c>
      <c r="K913" s="69" t="inlineStr">
        <is>
          <t>https://amazon.com/dp/B0FNMSV56P</t>
        </is>
      </c>
      <c r="L913" s="114">
        <f>HYPERLINK(Table1410[[#This Row],[Column1]])</f>
        <v/>
      </c>
    </row>
    <row r="914" ht="45" customHeight="1" s="314">
      <c r="A914" s="35" t="inlineStr">
        <is>
          <t>Autel Main OBCII Replacement Cable, Model# AUTELMAIN-Cable</t>
        </is>
      </c>
      <c r="B914" s="35" t="inlineStr">
        <is>
          <t>B07V8L4NXR</t>
        </is>
      </c>
      <c r="C914" s="35" t="inlineStr">
        <is>
          <t>Cable/Adapter</t>
        </is>
      </c>
      <c r="D914" s="359" t="n">
        <v>31.99</v>
      </c>
      <c r="E914" s="359" t="n">
        <v>654.5646153846153</v>
      </c>
      <c r="F914" s="359" t="n">
        <v>63.98</v>
      </c>
      <c r="G914" s="68" t="n">
        <v>2</v>
      </c>
      <c r="H914" s="70" t="n">
        <v>2</v>
      </c>
      <c r="I914" s="68" t="n"/>
      <c r="J914" s="69" t="n"/>
      <c r="K914" s="69" t="inlineStr">
        <is>
          <t>https://amazon.com/dp/B07V8L4NXR</t>
        </is>
      </c>
      <c r="L914" s="114">
        <f>HYPERLINK(Table1410[[#This Row],[Column1]])</f>
        <v/>
      </c>
    </row>
    <row r="915" ht="45" customHeight="1" s="314">
      <c r="A915" s="35" t="inlineStr">
        <is>
          <t>Autel MaxiSYS Ultra S2 Diagnostic Scanner, 6-in-1 VCMI2, Topology 3.0, AI-Powered Inspection, EV/HV System Tests, WiFi 6, 48+ Services, Motor Truspeed Repair, Multi-Point DVI, ECU Programming, FCA SGW</t>
        </is>
      </c>
      <c r="B915" s="35" t="inlineStr">
        <is>
          <t>B0F3X8ZWBN</t>
        </is>
      </c>
      <c r="C915" s="35" t="inlineStr">
        <is>
          <t>Tablet</t>
        </is>
      </c>
      <c r="D915" s="359" t="n">
        <v>5980.1</v>
      </c>
      <c r="E915" s="359" t="n">
        <v>270495.77</v>
      </c>
      <c r="F915" s="359" t="n">
        <v>11960.2</v>
      </c>
      <c r="G915" s="68" t="n">
        <v>46</v>
      </c>
      <c r="H915" s="70" t="n">
        <v>2</v>
      </c>
      <c r="I915" s="68" t="n">
        <v>5</v>
      </c>
      <c r="J915" s="69" t="n">
        <v>4.4</v>
      </c>
      <c r="K915" s="69" t="inlineStr">
        <is>
          <t>https://amazon.com/dp/B0F3X8ZWBN</t>
        </is>
      </c>
      <c r="L915" s="114">
        <f>HYPERLINK(Table1410[[#This Row],[Column1]])</f>
        <v/>
      </c>
    </row>
    <row r="916" ht="60" customHeight="1" s="314">
      <c r="A916" s="35" t="inlineStr">
        <is>
          <t>MaxiTPMS TBE200</t>
        </is>
      </c>
      <c r="B916" s="35" t="inlineStr">
        <is>
          <t>B09WW44MH9</t>
        </is>
      </c>
      <c r="C916" s="35" t="inlineStr">
        <is>
          <t>Other</t>
        </is>
      </c>
      <c r="D916" s="359" t="n">
        <v>437.97</v>
      </c>
      <c r="E916" s="359" t="n">
        <v>4545.6</v>
      </c>
      <c r="F916" s="359" t="n">
        <v>875.9400000000001</v>
      </c>
      <c r="G916" s="68" t="n">
        <v>9</v>
      </c>
      <c r="H916" s="70" t="n">
        <v>2</v>
      </c>
      <c r="I916" s="68" t="n"/>
      <c r="J916" s="69" t="n"/>
      <c r="K916" s="69" t="inlineStr">
        <is>
          <t>https://amazon.com/dp/B09WW44MH9</t>
        </is>
      </c>
      <c r="L916" s="114">
        <f>HYPERLINK(Table1410[[#This Row],[Column1]])</f>
        <v/>
      </c>
    </row>
    <row r="917" ht="30" customHeight="1" s="314">
      <c r="A917" s="35" t="inlineStr">
        <is>
          <t>Autel MaxiDiag MD909 Pro OBD2 Scanner, 2026 BT Wireless All System Diagnostic Tool, MD909Pro Up of MD808Pro MD906Pro MD806 MD802, 11 Service Oil Reset ABS D-P-F etc, CAN FD, FCA SGW, Free Update</t>
        </is>
      </c>
      <c r="B917" s="35" t="inlineStr">
        <is>
          <t>B0FCRTGWCK</t>
        </is>
      </c>
      <c r="C917" s="35" t="inlineStr">
        <is>
          <t>Tablet</t>
        </is>
      </c>
      <c r="D917" s="359" t="n">
        <v>328.99</v>
      </c>
      <c r="E917" s="359" t="n">
        <v>11226.96461538462</v>
      </c>
      <c r="F917" s="359" t="n">
        <v>657.98</v>
      </c>
      <c r="G917" s="68" t="n">
        <v>26</v>
      </c>
      <c r="H917" s="70" t="n">
        <v>2</v>
      </c>
      <c r="I917" s="68" t="n">
        <v>4</v>
      </c>
      <c r="J917" s="69" t="n">
        <v>4.3</v>
      </c>
      <c r="K917" s="69" t="inlineStr">
        <is>
          <t>https://amazon.com/dp/B0FCRTGWCK</t>
        </is>
      </c>
      <c r="L917" s="114">
        <f>HYPERLINK(Table1410[[#This Row],[Column1]])</f>
        <v/>
      </c>
    </row>
    <row r="918" ht="45" customHeight="1" s="314">
      <c r="A918" s="35" t="inlineStr">
        <is>
          <t>Autel CAN FD Protocol Adapter, Compatible with Autel Scanner MX808 MK808 DS808 MP808 MS906 MK906 MS908 MK908 Maxisys Elite IM508 IM608 Ultra VCI100 VCI Mini, for GM Chevrolet Buick Vehicles</t>
        </is>
      </c>
      <c r="B918" s="35" t="inlineStr">
        <is>
          <t>B0BYRV181C</t>
        </is>
      </c>
      <c r="C918" s="35" t="inlineStr">
        <is>
          <t>Cable/Adapter</t>
        </is>
      </c>
      <c r="D918" s="359" t="n">
        <v>146.655</v>
      </c>
      <c r="E918" s="359" t="n">
        <v>5419.76</v>
      </c>
      <c r="F918" s="359" t="n">
        <v>293.31</v>
      </c>
      <c r="G918" s="68" t="n">
        <v>47</v>
      </c>
      <c r="H918" s="70" t="n">
        <v>2</v>
      </c>
      <c r="I918" s="68" t="n">
        <v>6</v>
      </c>
      <c r="J918" s="69" t="n">
        <v>3.8</v>
      </c>
      <c r="K918" s="69" t="inlineStr">
        <is>
          <t>https://amazon.com/dp/B0BYRV181C</t>
        </is>
      </c>
      <c r="L918" s="114">
        <f>HYPERLINK(Table1410[[#This Row],[Column1]])</f>
        <v/>
      </c>
    </row>
    <row r="919" ht="17" customHeight="1" s="314">
      <c r="A919" s="35" t="inlineStr">
        <is>
          <t>Autel MaxiSYS Ultra S2 OBD2 Scanner, New Diagnostic with AI, Upgraded MS Ultra, 6-in-1 VCMI2, Topology 3.0, EV Tests, WiFi 6, 48+ Services, Motor Truspeed Repair, Multi-Point DVI, ECU Programming</t>
        </is>
      </c>
      <c r="B919" s="35" t="inlineStr">
        <is>
          <t>B0F2M4JM9H</t>
        </is>
      </c>
      <c r="C919" s="35" t="inlineStr">
        <is>
          <t>Tablet</t>
        </is>
      </c>
      <c r="D919" s="359" t="n">
        <v>6447.125</v>
      </c>
      <c r="E919" s="359" t="n">
        <v>217331.33</v>
      </c>
      <c r="F919" s="359" t="n">
        <v>12894.25</v>
      </c>
      <c r="G919" s="68" t="n">
        <v>37</v>
      </c>
      <c r="H919" s="70" t="n">
        <v>2</v>
      </c>
      <c r="I919" s="68" t="n">
        <v>4</v>
      </c>
      <c r="J919" s="69" t="n">
        <v>5</v>
      </c>
      <c r="K919" s="69" t="inlineStr">
        <is>
          <t>https://amazon.com/dp/B0F2M4JM9H</t>
        </is>
      </c>
      <c r="L919" s="114">
        <f>HYPERLINK(Table1410[[#This Row],[Column1]])</f>
        <v/>
      </c>
    </row>
    <row r="920" ht="60" customHeight="1" s="314">
      <c r="A920" s="35" t="inlineStr">
        <is>
          <t>Autel OBD Adapter Kit with Blow-Molded Carrying Case, 11 Pcs OBD Connectors Compatible with All Autel Scanner Tablet Device</t>
        </is>
      </c>
      <c r="B920" s="35" t="inlineStr">
        <is>
          <t>B0BNL33MX2</t>
        </is>
      </c>
      <c r="C920" s="35" t="inlineStr">
        <is>
          <t>Cable/Adapter</t>
        </is>
      </c>
      <c r="D920" s="359" t="n">
        <v>147.755</v>
      </c>
      <c r="E920" s="359" t="n">
        <v>5598.818461538461</v>
      </c>
      <c r="F920" s="359" t="n">
        <v>295.51</v>
      </c>
      <c r="G920" s="68" t="n">
        <v>41</v>
      </c>
      <c r="H920" s="70" t="n">
        <v>2</v>
      </c>
      <c r="I920" s="68" t="n">
        <v>4</v>
      </c>
      <c r="J920" s="69" t="n">
        <v>4.5</v>
      </c>
      <c r="K920" s="69" t="inlineStr">
        <is>
          <t>https://amazon.com/dp/B0BNL33MX2</t>
        </is>
      </c>
      <c r="L920" s="114">
        <f>HYPERLINK(Table1410[[#This Row],[Column1]])</f>
        <v/>
      </c>
    </row>
    <row r="921" ht="45" customHeight="1" s="314">
      <c r="A921" s="35" t="inlineStr">
        <is>
          <t>Autel MaxiIM IM508S Pro OBD2 Diagnostic Scanner, 2026 All System Scan Tool w/Pro Accessory up of IM508S, Professional Automotive Tablet Work as IM608 Pro II w/ 40+ Reset Services, 3000+ Active Tests</t>
        </is>
      </c>
      <c r="B921" s="35" t="inlineStr">
        <is>
          <t>B0FSZDZ264</t>
        </is>
      </c>
      <c r="C921" s="35" t="inlineStr">
        <is>
          <t>Tablet</t>
        </is>
      </c>
      <c r="D921" s="359" t="n">
        <v>1637.7</v>
      </c>
      <c r="E921" s="359" t="n">
        <v>39556.75384615385</v>
      </c>
      <c r="F921" s="359" t="n">
        <v>3275.4</v>
      </c>
      <c r="G921" s="68" t="n">
        <v>2</v>
      </c>
      <c r="H921" s="70" t="n">
        <v>2</v>
      </c>
      <c r="I921" s="68" t="n">
        <v>1</v>
      </c>
      <c r="J921" s="69" t="n">
        <v>5</v>
      </c>
      <c r="K921" s="69" t="inlineStr">
        <is>
          <t>https://amazon.com/dp/B0FSZDZ264</t>
        </is>
      </c>
      <c r="L921" s="114">
        <f>HYPERLINK(Table1410[[#This Row],[Column1]])</f>
        <v/>
      </c>
    </row>
    <row r="922" ht="60" customHeight="1" s="314">
      <c r="A922" s="35" t="inlineStr">
        <is>
          <t>Autel MaxiDiag MD808 PRO OBD2 Scanner, Upgraded of MD806/MD805/MD802 Full System Diagnostic Scan Tool, 7 Services Read/Clear Codes DTC Lookup Oil Reset Battery Reset, Free Lifetime Update</t>
        </is>
      </c>
      <c r="B922" s="35" t="inlineStr">
        <is>
          <t>B0GCDS5CKB</t>
        </is>
      </c>
      <c r="C922" s="35" t="inlineStr">
        <is>
          <t>Handheld</t>
        </is>
      </c>
      <c r="D922" s="359" t="n">
        <v>224.44</v>
      </c>
      <c r="E922" s="359" t="n">
        <v>5006.738461538463</v>
      </c>
      <c r="F922" s="359" t="n">
        <v>448.88</v>
      </c>
      <c r="G922" s="68" t="n">
        <v>2</v>
      </c>
      <c r="H922" s="70" t="n">
        <v>2</v>
      </c>
      <c r="I922" s="68" t="n"/>
      <c r="J922" s="69" t="n"/>
      <c r="K922" s="69" t="inlineStr">
        <is>
          <t>https://amazon.com/dp/B0GCDS5CKB</t>
        </is>
      </c>
      <c r="L922" s="114">
        <f>HYPERLINK(Table1410[[#This Row],[Column1]])</f>
        <v/>
      </c>
    </row>
    <row r="923" ht="45" customHeight="1" s="314">
      <c r="A923" s="35" t="inlineStr">
        <is>
          <t>Autel MaxiCOM MK900TS Diagnostic Scanner - Upgraded from MS906TS/MK808S-TS/MX900, Bi-Directional Scan Tool with Full TPMS Programming, 40+ Services, CAN FD/DOIP, FCA SGW, Android 11</t>
        </is>
      </c>
      <c r="B923" s="35" t="inlineStr">
        <is>
          <t>B0FM83XBLV</t>
        </is>
      </c>
      <c r="C923" s="35" t="inlineStr">
        <is>
          <t>Tablet</t>
        </is>
      </c>
      <c r="D923" s="359" t="n">
        <v>1084.195</v>
      </c>
      <c r="E923" s="359" t="n">
        <v>18481.79538461539</v>
      </c>
      <c r="F923" s="359" t="n">
        <v>2168.39</v>
      </c>
      <c r="G923" s="68" t="n">
        <v>5</v>
      </c>
      <c r="H923" s="70" t="n">
        <v>2</v>
      </c>
      <c r="I923" s="68" t="n">
        <v>2</v>
      </c>
      <c r="J923" s="69" t="n">
        <v>5</v>
      </c>
      <c r="K923" s="69" t="inlineStr">
        <is>
          <t>https://amazon.com/dp/B0FM83XBLV</t>
        </is>
      </c>
      <c r="L923" s="114">
        <f>HYPERLINK(Table1410[[#This Row],[Column1]])</f>
        <v/>
      </c>
    </row>
    <row r="924" ht="45" customHeight="1" s="314">
      <c r="A924" s="35" t="inlineStr">
        <is>
          <t>Autel Scanner MaxiIM IM508S, 2026 Full Bidirectional OBD2 Diagnostic Tool, 3000+ Active Tests, 40+ Services, OE All Systems OBDII Scan for All Cars, Up of IM508 MaxiCOM MK900BT MK900 MK808S, FCA</t>
        </is>
      </c>
      <c r="B924" s="35" t="inlineStr">
        <is>
          <t>B0FR4T4L8L</t>
        </is>
      </c>
      <c r="C924" s="35" t="inlineStr">
        <is>
          <t>Tablet</t>
        </is>
      </c>
      <c r="D924" s="359" t="n">
        <v>1038.585</v>
      </c>
      <c r="E924" s="359" t="n">
        <v>40845.31615384614</v>
      </c>
      <c r="F924" s="359" t="n">
        <v>2077.17</v>
      </c>
      <c r="G924" s="68" t="n">
        <v>25</v>
      </c>
      <c r="H924" s="70" t="n">
        <v>2</v>
      </c>
      <c r="I924" s="68" t="n">
        <v>1</v>
      </c>
      <c r="J924" s="69" t="n">
        <v>5</v>
      </c>
      <c r="K924" s="69" t="inlineStr">
        <is>
          <t>https://amazon.com/dp/B0FR4T4L8L</t>
        </is>
      </c>
      <c r="L924" s="114">
        <f>HYPERLINK(Table1410[[#This Row],[Column1]])</f>
        <v/>
      </c>
    </row>
    <row r="925" ht="60" customHeight="1" s="314">
      <c r="A925" s="35" t="inlineStr">
        <is>
          <t>Autel CAN FD Adapter Support CAN FD Protocol for GM 2020+ for Ford for Chevrolet for Lincoln Compatible MaxiFlash Elite J2534-VCI VCI100 VCI Mini Maxisys Elite 908 Series 906 Series</t>
        </is>
      </c>
      <c r="B925" s="35" t="inlineStr">
        <is>
          <t>B0BX9J2KZJ</t>
        </is>
      </c>
      <c r="C925" s="35" t="inlineStr">
        <is>
          <t>Cable/Adapter</t>
        </is>
      </c>
      <c r="D925" s="359" t="n">
        <v>90.56999999999999</v>
      </c>
      <c r="E925" s="359" t="n">
        <v>5818.01</v>
      </c>
      <c r="F925" s="359" t="n">
        <v>181.14</v>
      </c>
      <c r="G925" s="68" t="n">
        <v>50</v>
      </c>
      <c r="H925" s="70" t="n">
        <v>2</v>
      </c>
      <c r="I925" s="68" t="n">
        <v>7</v>
      </c>
      <c r="J925" s="69" t="n">
        <v>4.5</v>
      </c>
      <c r="K925" s="69" t="inlineStr">
        <is>
          <t>https://amazon.com/dp/B0BX9J2KZJ</t>
        </is>
      </c>
      <c r="L925" s="114">
        <f>HYPERLINK(Table1410[[#This Row],[Column1]])</f>
        <v/>
      </c>
    </row>
    <row r="926" ht="45" customHeight="1" s="314">
      <c r="A926" s="35" t="inlineStr">
        <is>
          <t>Autel MaxiSys MS909S2 Diagnostic Scanner with AI, Up of MS909, Topology 3.0, Data-Driven PID Analysis, Multi-Point DVI, 40+ Services, Motor TruSpeed Repair, 15000+ Vehicles, OS 13.0</t>
        </is>
      </c>
      <c r="B926" s="35" t="inlineStr">
        <is>
          <t>B0G2WS8ZHP</t>
        </is>
      </c>
      <c r="C926" s="35" t="inlineStr">
        <is>
          <t>Tablet</t>
        </is>
      </c>
      <c r="D926" s="359" t="n">
        <v>3626.13</v>
      </c>
      <c r="E926" s="359" t="n">
        <v>92634.77076923079</v>
      </c>
      <c r="F926" s="359" t="n">
        <v>7252.26</v>
      </c>
      <c r="G926" s="68" t="n">
        <v>11</v>
      </c>
      <c r="H926" s="70" t="n">
        <v>2</v>
      </c>
      <c r="I926" s="68" t="n">
        <v>1</v>
      </c>
      <c r="J926" s="69" t="n">
        <v>5</v>
      </c>
      <c r="K926" s="69" t="inlineStr">
        <is>
          <t>https://amazon.com/dp/B0G2WS8ZHP</t>
        </is>
      </c>
      <c r="L926" s="114">
        <f>HYPERLINK(Table1410[[#This Row],[Column1]])</f>
        <v/>
      </c>
    </row>
    <row r="927" ht="45" customHeight="1" s="314">
      <c r="A927" s="35" t="inlineStr">
        <is>
          <t>Autel MaxiCOM MK808Z-BT Same As MK808BT Pro Upgraded of MK808BT MK808 MK808S MX808, Bi-Directional Control Scan Tool Bluetooth OBD2 Scanner Support BT506/MV108S &amp; FCA AutoAuth</t>
        </is>
      </c>
      <c r="B927" s="35" t="inlineStr">
        <is>
          <t>B0FHWG3PGS</t>
        </is>
      </c>
      <c r="C927" s="35" t="inlineStr">
        <is>
          <t>Tablet</t>
        </is>
      </c>
      <c r="D927" s="359" t="n">
        <v>446.835</v>
      </c>
      <c r="E927" s="359" t="n">
        <v>32882.11461538461</v>
      </c>
      <c r="F927" s="359" t="n">
        <v>893.67</v>
      </c>
      <c r="G927" s="68" t="n">
        <v>59</v>
      </c>
      <c r="H927" s="70" t="n">
        <v>2</v>
      </c>
      <c r="I927" s="68" t="n">
        <v>7</v>
      </c>
      <c r="J927" s="69" t="n">
        <v>4.8</v>
      </c>
      <c r="K927" s="69" t="inlineStr">
        <is>
          <t>https://amazon.com/dp/B0FHWG3PGS</t>
        </is>
      </c>
      <c r="L927" s="114">
        <f>HYPERLINK(Table1410[[#This Row],[Column1]])</f>
        <v/>
      </c>
    </row>
    <row r="928" ht="60" customHeight="1" s="314">
      <c r="A928" s="35" t="inlineStr">
        <is>
          <t>Autel MaxiSYS MS906pro TS Autel Scanner Upgrade of MS906 Pro/ MS906TS/ MK908 Top Car Scanner CAN FD/Do IP 36+ Services All System Diagnostic ECU Coding 3000+ Test FCA OS 10</t>
        </is>
      </c>
      <c r="B928" s="35" t="inlineStr">
        <is>
          <t>B0BG2M2ZFD</t>
        </is>
      </c>
      <c r="C928" s="35" t="inlineStr">
        <is>
          <t>Tablet</t>
        </is>
      </c>
      <c r="D928" s="359" t="n">
        <v>1483.285</v>
      </c>
      <c r="E928" s="359" t="n">
        <v>126004.1023076923</v>
      </c>
      <c r="F928" s="359" t="n">
        <v>2966.57</v>
      </c>
      <c r="G928" s="68" t="n">
        <v>81</v>
      </c>
      <c r="H928" s="70" t="n">
        <v>2</v>
      </c>
      <c r="I928" s="68" t="n">
        <v>20</v>
      </c>
      <c r="J928" s="69" t="n">
        <v>4.9</v>
      </c>
      <c r="K928" s="69" t="inlineStr">
        <is>
          <t>https://amazon.com/dp/B0BG2M2ZFD</t>
        </is>
      </c>
      <c r="L928" s="114">
        <f>HYPERLINK(Table1410[[#This Row],[Column1]])</f>
        <v/>
      </c>
    </row>
    <row r="929" ht="60" customHeight="1" s="314">
      <c r="A929" s="35" t="inlineStr">
        <is>
          <t>Autel MaxiSys Ultra Lite 2026 Top Autel Scanner 2 Year Free Update MaxiFlash VCI ECU C*ding/Pr*gr*mming Cloud Service Topology Mapping 40+ Services Advanced MS906 PRO MS908S PRO MS909 MS919</t>
        </is>
      </c>
      <c r="B929" s="35" t="inlineStr">
        <is>
          <t>B0GQ3VXNV4</t>
        </is>
      </c>
      <c r="C929" s="35" t="inlineStr">
        <is>
          <t>Tablet</t>
        </is>
      </c>
      <c r="D929" s="359" t="n">
        <v>3539.59</v>
      </c>
      <c r="E929" s="359" t="n">
        <v>85494.71230769233</v>
      </c>
      <c r="F929" s="359" t="n">
        <v>7079.18</v>
      </c>
      <c r="G929" s="68" t="n">
        <v>2</v>
      </c>
      <c r="H929" s="70" t="n">
        <v>2</v>
      </c>
      <c r="I929" s="68" t="n"/>
      <c r="J929" s="69" t="n"/>
      <c r="K929" s="69" t="inlineStr">
        <is>
          <t>https://amazon.com/dp/B0GQ3VXNV4</t>
        </is>
      </c>
      <c r="L929" s="114">
        <f>HYPERLINK(Table1410[[#This Row],[Column1]])</f>
        <v/>
      </c>
    </row>
    <row r="930" ht="17" customHeight="1" s="314">
      <c r="A930" s="35" t="inlineStr">
        <is>
          <t>Autel MaxiSys MS909 S2 Scanner, 2026 Same as Ultra S2 Up of MS Ultra MS909, Top Intelligen Scan Diagnostic with AI, Topology 3.0, Enhanced PID Analysis, Motor Truspeed, 48+ Service, ECU Program</t>
        </is>
      </c>
      <c r="B930" s="35" t="inlineStr">
        <is>
          <t>B0FKMK8YNR</t>
        </is>
      </c>
      <c r="C930" s="35" t="inlineStr">
        <is>
          <t>Tablet</t>
        </is>
      </c>
      <c r="D930" s="359" t="n">
        <v>3330.42</v>
      </c>
      <c r="E930" s="359" t="n">
        <v>90080.35846153846</v>
      </c>
      <c r="F930" s="359" t="n">
        <v>6660.84</v>
      </c>
      <c r="G930" s="68" t="n">
        <v>17</v>
      </c>
      <c r="H930" s="70" t="n">
        <v>2</v>
      </c>
      <c r="I930" s="68" t="n">
        <v>1</v>
      </c>
      <c r="J930" s="69" t="n">
        <v>5</v>
      </c>
      <c r="K930" s="69" t="inlineStr">
        <is>
          <t>https://amazon.com/dp/B0FKMK8YNR</t>
        </is>
      </c>
      <c r="L930" s="114">
        <f>HYPERLINK(Table1410[[#This Row],[Column1]])</f>
        <v/>
      </c>
    </row>
    <row r="931" ht="45" customHeight="1" s="314">
      <c r="A931" s="35" t="inlineStr">
        <is>
          <t>Autel Scanner MaxiCheck MX900, 2026 Bidirectional OBD2 Diagnostic Scan Tool with CAN FD DOIP, 8In US Ver. of MaxiCOM MK900 MK900BT V2.0 of MK808S MK808 MK808BT MX808S, 3000+ Active Test, 40+ Service</t>
        </is>
      </c>
      <c r="B931" s="35" t="inlineStr">
        <is>
          <t>B07PYSM27R</t>
        </is>
      </c>
      <c r="C931" s="35" t="inlineStr">
        <is>
          <t>Tablet</t>
        </is>
      </c>
      <c r="D931" s="359" t="n">
        <v>660.995</v>
      </c>
      <c r="E931" s="359" t="n">
        <v>40868.67999999999</v>
      </c>
      <c r="F931" s="359" t="n">
        <v>1321.99</v>
      </c>
      <c r="G931" s="68" t="n">
        <v>77</v>
      </c>
      <c r="H931" s="70" t="n">
        <v>2</v>
      </c>
      <c r="I931" s="68" t="n">
        <v>172</v>
      </c>
      <c r="J931" s="69" t="n">
        <v>4.4</v>
      </c>
      <c r="K931" s="69" t="inlineStr">
        <is>
          <t>https://amazon.com/dp/B07PYSM27R</t>
        </is>
      </c>
      <c r="L931" s="114">
        <f>HYPERLINK(Table1410[[#This Row],[Column1]])</f>
        <v/>
      </c>
    </row>
    <row r="932" ht="60" customHeight="1" s="314">
      <c r="A932" s="35" t="inlineStr">
        <is>
          <t>Autel MaxiSys MS909 Intelligent Scanner: 2026 MS909 Same as Ultra MS919, Up of MS908S PRO II Elite II PRO, Motor TruSpeed Repair as Ultra S2, Topology 2.0, ECU Programming, 40+ Resets, 3K+ Test</t>
        </is>
      </c>
      <c r="B932" s="35" t="inlineStr">
        <is>
          <t>B09FX53KGZ</t>
        </is>
      </c>
      <c r="C932" s="35" t="inlineStr">
        <is>
          <t>Tablet</t>
        </is>
      </c>
      <c r="D932" s="359" t="n">
        <v>3376.83</v>
      </c>
      <c r="E932" s="359" t="n">
        <v>117834.35</v>
      </c>
      <c r="F932" s="359" t="n">
        <v>6753.66</v>
      </c>
      <c r="G932" s="68" t="n">
        <v>39</v>
      </c>
      <c r="H932" s="70" t="n">
        <v>2</v>
      </c>
      <c r="I932" s="68" t="n">
        <v>5</v>
      </c>
      <c r="J932" s="69" t="n">
        <v>5</v>
      </c>
      <c r="K932" s="69" t="inlineStr">
        <is>
          <t>https://amazon.com/dp/B09FX53KGZ</t>
        </is>
      </c>
      <c r="L932" s="114">
        <f>HYPERLINK(Table1410[[#This Row],[Column1]])</f>
        <v/>
      </c>
    </row>
    <row r="933" ht="60" customHeight="1" s="314">
      <c r="A933" s="35" t="inlineStr">
        <is>
          <t>Autel MaxiSys MSOAK Oscilloscope Accessory Kit, Compatible with Autel Scanner Ultra S2/ Ultra/ MS919/ MP408, Includes 65/650A Current Clamps, Coil On Plug Probe, HT Extension Lead and Battery Clip</t>
        </is>
      </c>
      <c r="B933" s="35" t="inlineStr">
        <is>
          <t>B094VS5R58</t>
        </is>
      </c>
      <c r="C933" s="35" t="inlineStr">
        <is>
          <t>Other</t>
        </is>
      </c>
      <c r="D933" s="359" t="n">
        <v>480.635</v>
      </c>
      <c r="E933" s="359" t="n">
        <v>27075.2</v>
      </c>
      <c r="F933" s="359" t="n">
        <v>961.27</v>
      </c>
      <c r="G933" s="68" t="n">
        <v>68</v>
      </c>
      <c r="H933" s="70" t="n">
        <v>2</v>
      </c>
      <c r="I933" s="68" t="n">
        <v>11</v>
      </c>
      <c r="J933" s="69" t="n">
        <v>4.8</v>
      </c>
      <c r="K933" s="69" t="inlineStr">
        <is>
          <t>https://amazon.com/dp/B094VS5R58</t>
        </is>
      </c>
      <c r="L933" s="114">
        <f>HYPERLINK(Table1410[[#This Row],[Column1]])</f>
        <v/>
      </c>
    </row>
    <row r="934" ht="60" customHeight="1" s="314">
      <c r="A934" s="35" t="inlineStr">
        <is>
          <t>Autel OBD2 Scanner AutoLink AL329 Vehicle OBD2 Diagnostic Tool Car Code Reader with I/M Readiness Key Read/Erase Codes Turns Off MIL Plug and Play Retrieves VIN/CALID/CVN Free Lifetime Update</t>
        </is>
      </c>
      <c r="B934" s="35" t="inlineStr">
        <is>
          <t>B0B915579T</t>
        </is>
      </c>
      <c r="C934" s="35" t="inlineStr">
        <is>
          <t>Handheld</t>
        </is>
      </c>
      <c r="D934" s="359" t="n">
        <v>44.915</v>
      </c>
      <c r="E934" s="359" t="n">
        <v>6408.39</v>
      </c>
      <c r="F934" s="359" t="n">
        <v>89.83</v>
      </c>
      <c r="G934" s="68" t="n">
        <v>183</v>
      </c>
      <c r="H934" s="70" t="n">
        <v>2</v>
      </c>
      <c r="I934" s="68" t="n">
        <v>15</v>
      </c>
      <c r="J934" s="69" t="n">
        <v>4.6</v>
      </c>
      <c r="K934" s="69" t="inlineStr">
        <is>
          <t>https://amazon.com/dp/B0B915579T</t>
        </is>
      </c>
      <c r="L934" s="114">
        <f>HYPERLINK(Table1410[[#This Row],[Column1]])</f>
        <v/>
      </c>
    </row>
    <row r="935" ht="30" customHeight="1" s="314">
      <c r="A935" s="35" t="inlineStr">
        <is>
          <t>Autel MaxiSys MS906 PRO 1-Year Update Service, Total Care Program (TCP) Card, One Year Software Subscription &amp; Warranty</t>
        </is>
      </c>
      <c r="B935" s="35" t="inlineStr">
        <is>
          <t>B0FR954ZD5</t>
        </is>
      </c>
      <c r="C935" s="35" t="inlineStr">
        <is>
          <t>Other</t>
        </is>
      </c>
      <c r="D935" s="359" t="n">
        <v>367.26</v>
      </c>
      <c r="E935" s="359" t="n">
        <v>6016.87923076923</v>
      </c>
      <c r="F935" s="359" t="n">
        <v>734.52</v>
      </c>
      <c r="G935" s="68" t="n">
        <v>3</v>
      </c>
      <c r="H935" s="70" t="n">
        <v>2</v>
      </c>
      <c r="I935" s="68" t="n"/>
      <c r="J935" s="69" t="n"/>
      <c r="K935" s="69" t="inlineStr">
        <is>
          <t>https://amazon.com/dp/B0FR954ZD5</t>
        </is>
      </c>
      <c r="L935" s="114">
        <f>HYPERLINK(Table1410[[#This Row],[Column1]])</f>
        <v/>
      </c>
    </row>
    <row r="936" ht="45" customHeight="1" s="314">
      <c r="A936" s="35" t="inlineStr">
        <is>
          <t>Autel MaxiSys Elite II Pro Scanner J2534 Reprogramming Tool 2-Years Free Update Motor TruSpeed Repair CANFD &amp;DoIP 40+ Hot Services 3K+ Active Test as Ultra MS908S PRO II Up of MS908S Pro II MK908P</t>
        </is>
      </c>
      <c r="B936" s="35" t="inlineStr">
        <is>
          <t>B0FHVC9TMC</t>
        </is>
      </c>
      <c r="C936" s="35" t="inlineStr">
        <is>
          <t>Tablet</t>
        </is>
      </c>
      <c r="D936" s="359" t="n">
        <v>3367.26</v>
      </c>
      <c r="E936" s="359" t="n">
        <v>95356.52000000002</v>
      </c>
      <c r="F936" s="359" t="n">
        <v>3367.26</v>
      </c>
      <c r="G936" s="68" t="n">
        <v>35</v>
      </c>
      <c r="H936" s="70" t="n">
        <v>1</v>
      </c>
      <c r="I936" s="68" t="n">
        <v>4</v>
      </c>
      <c r="J936" s="69" t="n">
        <v>4.7</v>
      </c>
      <c r="K936" s="69" t="inlineStr">
        <is>
          <t>https://amazon.com/dp/B0FHVC9TMC</t>
        </is>
      </c>
      <c r="L936" s="114">
        <f>HYPERLINK(Table1410[[#This Row],[Column1]])</f>
        <v/>
      </c>
    </row>
    <row r="937" ht="45" customHeight="1" s="314">
      <c r="A937" s="35" t="inlineStr">
        <is>
          <t>Autel MaxiSYS Ultra S2 AI Scanner, 2026 UltraS2 Top Intelligent Scan Tool, 6-in-1 VCMI2, Up of MSUltra Ultra EV, Topology 3.0 &amp; Multi-Point DVI, EV Test, Motor Truspeed, 48+ Service, 3000+ Active Test</t>
        </is>
      </c>
      <c r="B937" s="35" t="inlineStr">
        <is>
          <t>B0F37T2WCZ</t>
        </is>
      </c>
      <c r="C937" s="35" t="inlineStr">
        <is>
          <t>Tablet</t>
        </is>
      </c>
      <c r="D937" s="359" t="n">
        <v>6380.38</v>
      </c>
      <c r="E937" s="359" t="n">
        <v>219695.8930769231</v>
      </c>
      <c r="F937" s="359" t="n">
        <v>6380.38</v>
      </c>
      <c r="G937" s="68" t="n">
        <v>36</v>
      </c>
      <c r="H937" s="70" t="n">
        <v>1</v>
      </c>
      <c r="I937" s="68" t="n">
        <v>8</v>
      </c>
      <c r="J937" s="69" t="n">
        <v>4.8</v>
      </c>
      <c r="K937" s="69" t="inlineStr">
        <is>
          <t>https://amazon.com/dp/B0F37T2WCZ</t>
        </is>
      </c>
      <c r="L937" s="114">
        <f>HYPERLINK(Table1410[[#This Row],[Column1]])</f>
        <v/>
      </c>
    </row>
    <row r="938" ht="45" customHeight="1" s="314">
      <c r="A938" s="35" t="inlineStr">
        <is>
          <t>Autel MaxiSys MS919 S2 AI Scanner, 2026 MS919S2 Same as Ultra S2 Up of MSUltra MS909 S2, Top Intelligent Scan Tool, Topology 3.0, 6-in-1 VCMI2 [$2000 Value], Multi-Point DVI, EV Test, 12+256GB, 13 OS</t>
        </is>
      </c>
      <c r="B938" s="35" t="inlineStr">
        <is>
          <t>B0FXMP177Q</t>
        </is>
      </c>
      <c r="C938" s="35" t="inlineStr">
        <is>
          <t>Tablet</t>
        </is>
      </c>
      <c r="D938" s="359" t="n">
        <v>6061.51</v>
      </c>
      <c r="E938" s="359" t="n">
        <v>72762.89999999999</v>
      </c>
      <c r="F938" s="359" t="n">
        <v>6061.51</v>
      </c>
      <c r="G938" s="68" t="n">
        <v>4</v>
      </c>
      <c r="H938" s="70" t="n">
        <v>1</v>
      </c>
      <c r="I938" s="68" t="n"/>
      <c r="J938" s="69" t="n"/>
      <c r="K938" s="69" t="inlineStr">
        <is>
          <t>https://amazon.com/dp/B0FXMP177Q</t>
        </is>
      </c>
      <c r="L938" s="114">
        <f>HYPERLINK(Table1410[[#This Row],[Column1]])</f>
        <v/>
      </c>
    </row>
    <row r="939" ht="45" customHeight="1" s="314">
      <c r="A939" s="35" t="inlineStr">
        <is>
          <t>Autel MaxiCOM Ultra Lite Scanner: 2026 Intelligent Tool as MaxiSys Ultra S2, Up of MS909 MS919 Elite II Pro, 2 Years Free Update, Motor TruSpeed, Topology 2.0, 40+ Service, 3000+ Active Test, FCA SGW</t>
        </is>
      </c>
      <c r="B939" s="35" t="inlineStr">
        <is>
          <t>B0172DD22U</t>
        </is>
      </c>
      <c r="C939" s="35" t="inlineStr">
        <is>
          <t>Tablet</t>
        </is>
      </c>
      <c r="D939" s="359" t="n">
        <v>4145.81</v>
      </c>
      <c r="E939" s="359" t="n">
        <v>81436.96000000001</v>
      </c>
      <c r="F939" s="359" t="n">
        <v>4145.81</v>
      </c>
      <c r="G939" s="68" t="n">
        <v>36</v>
      </c>
      <c r="H939" s="70" t="n">
        <v>1</v>
      </c>
      <c r="I939" s="68" t="n">
        <v>7</v>
      </c>
      <c r="J939" s="69" t="n">
        <v>5</v>
      </c>
      <c r="K939" s="69" t="inlineStr">
        <is>
          <t>https://amazon.com/dp/B0172DD22U</t>
        </is>
      </c>
      <c r="L939" s="114">
        <f>HYPERLINK(Table1410[[#This Row],[Column1]])</f>
        <v/>
      </c>
    </row>
    <row r="940" ht="45" customHeight="1" s="314">
      <c r="A940" s="35" t="inlineStr">
        <is>
          <t>Autel MaxiSys Ultra ADAS, 2026 Top Intelligent Scan Diagnostic Tool with ADAS System Calibration Software, Up of MSUltra Lite MS919 MS909 MS908 Pro, Topology 2.0, 40+ Services, J2534 Programming</t>
        </is>
      </c>
      <c r="B940" s="35" t="inlineStr">
        <is>
          <t>B0D8VMZL46</t>
        </is>
      </c>
      <c r="C940" s="35" t="inlineStr">
        <is>
          <t>Tablet</t>
        </is>
      </c>
      <c r="D940" s="359" t="n">
        <v>5063.38</v>
      </c>
      <c r="E940" s="359" t="n">
        <v>58061.82</v>
      </c>
      <c r="F940" s="359" t="n">
        <v>5063.38</v>
      </c>
      <c r="G940" s="68" t="n">
        <v>11</v>
      </c>
      <c r="H940" s="70" t="n">
        <v>1</v>
      </c>
      <c r="I940" s="68" t="n">
        <v>1</v>
      </c>
      <c r="J940" s="69" t="n">
        <v>5</v>
      </c>
      <c r="K940" s="69" t="inlineStr">
        <is>
          <t>https://amazon.com/dp/B0D8VMZL46</t>
        </is>
      </c>
      <c r="L940" s="114">
        <f>HYPERLINK(Table1410[[#This Row],[Column1]])</f>
        <v/>
      </c>
    </row>
    <row r="941" ht="45" customHeight="1" s="314">
      <c r="A941" s="35" t="inlineStr">
        <is>
          <t>Autel Scanner MaxiCOM MK808S: 2026 Upgraded of MK808/MX808, Bi-Directional Control Scan Tool, 28+ Services, All System Diagnostics, FCA Auto Auth, Auto VIN, with MV105S/MV108S</t>
        </is>
      </c>
      <c r="B941" s="35" t="inlineStr">
        <is>
          <t>B094QTNWYQ</t>
        </is>
      </c>
      <c r="C941" s="35" t="inlineStr">
        <is>
          <t>Tablet</t>
        </is>
      </c>
      <c r="D941" s="359" t="n">
        <v>305.42</v>
      </c>
      <c r="E941" s="359" t="n">
        <v>7487.870000000001</v>
      </c>
      <c r="F941" s="359" t="n">
        <v>305.42</v>
      </c>
      <c r="G941" s="68" t="n">
        <v>17</v>
      </c>
      <c r="H941" s="70" t="n">
        <v>1</v>
      </c>
      <c r="I941" s="68" t="n">
        <v>56</v>
      </c>
      <c r="J941" s="69" t="n">
        <v>4.2</v>
      </c>
      <c r="K941" s="69" t="inlineStr">
        <is>
          <t>https://amazon.com/dp/B094QTNWYQ</t>
        </is>
      </c>
      <c r="L941" s="114">
        <f>HYPERLINK(Table1410[[#This Row],[Column1]])</f>
        <v/>
      </c>
    </row>
    <row r="942" ht="45" customHeight="1" s="314">
      <c r="A942" s="35" t="inlineStr">
        <is>
          <t>Autel MaxiSYS Ultra EV 2026 Top EV Intelligent Diagnostic Scanner High-Voltage System &amp; Battery Pack Analysis 5-in-1 VCMI Topology 2.0 Motor TruSpeed Repair Up of MSUltra/ MS919</t>
        </is>
      </c>
      <c r="B942" s="35" t="inlineStr">
        <is>
          <t>B0BVV7PRXR</t>
        </is>
      </c>
      <c r="C942" s="35" t="inlineStr">
        <is>
          <t>Tablet</t>
        </is>
      </c>
      <c r="D942" s="359" t="n">
        <v>4994.88</v>
      </c>
      <c r="E942" s="359" t="n">
        <v>22347.77</v>
      </c>
      <c r="F942" s="359" t="n">
        <v>4994.88</v>
      </c>
      <c r="G942" s="68" t="n">
        <v>5</v>
      </c>
      <c r="H942" s="70" t="n">
        <v>1</v>
      </c>
      <c r="I942" s="68" t="n">
        <v>9</v>
      </c>
      <c r="J942" s="69" t="n">
        <v>4.8</v>
      </c>
      <c r="K942" s="69" t="inlineStr">
        <is>
          <t>https://amazon.com/dp/B0BVV7PRXR</t>
        </is>
      </c>
      <c r="L942" s="114">
        <f>HYPERLINK(Table1410[[#This Row],[Column1]])</f>
        <v/>
      </c>
    </row>
    <row r="943" ht="45" customHeight="1" s="314">
      <c r="A943" s="35" t="inlineStr">
        <is>
          <t>Autel IM508S Scanner Programmer Tool Full OBDII Diagnostics Code Readers Diagnostics Scan Tool Programming 3000+ Bidirectional Tests 40+ Resets Android 11 FCA AutoAuth 4/64G</t>
        </is>
      </c>
      <c r="B943" s="35" t="inlineStr">
        <is>
          <t>B0G5Y5Q7M3</t>
        </is>
      </c>
      <c r="C943" s="35" t="inlineStr">
        <is>
          <t>Tablet</t>
        </is>
      </c>
      <c r="D943" s="359" t="n">
        <v>1263.4</v>
      </c>
      <c r="E943" s="359" t="n">
        <v>14211.88384615385</v>
      </c>
      <c r="F943" s="359" t="n">
        <v>1263.4</v>
      </c>
      <c r="G943" s="68" t="n">
        <v>2</v>
      </c>
      <c r="H943" s="70" t="n">
        <v>1</v>
      </c>
      <c r="I943" s="68" t="n"/>
      <c r="J943" s="69" t="n"/>
      <c r="K943" s="69" t="inlineStr">
        <is>
          <t>https://amazon.com/dp/B0G5Y5Q7M3</t>
        </is>
      </c>
      <c r="L943" s="114">
        <f>HYPERLINK(Table1410[[#This Row],[Column1]])</f>
        <v/>
      </c>
    </row>
    <row r="944" ht="45" customHeight="1" s="314">
      <c r="A944" s="35" t="inlineStr">
        <is>
          <t>Autel MaxiSys MS908CV II Heavy Duty Truck Scanner, J2534 ECU Programming Tool, Upgraded from MS908CV, 64+ Services, All System Diagnostics, Class 1–9 Vehicles, Commercial &amp; Semi Truck Scan Tool</t>
        </is>
      </c>
      <c r="B944" s="35" t="inlineStr">
        <is>
          <t>B0D4Q5QPNK</t>
        </is>
      </c>
      <c r="C944" s="35" t="inlineStr">
        <is>
          <t>Tablet</t>
        </is>
      </c>
      <c r="D944" s="359" t="n">
        <v>3107.13</v>
      </c>
      <c r="E944" s="359" t="n">
        <v>3107.13</v>
      </c>
      <c r="F944" s="359" t="n">
        <v>3107.13</v>
      </c>
      <c r="G944" s="68" t="n">
        <v>1</v>
      </c>
      <c r="H944" s="70" t="n">
        <v>1</v>
      </c>
      <c r="I944" s="68" t="n">
        <v>1</v>
      </c>
      <c r="J944" s="69" t="n">
        <v>5</v>
      </c>
      <c r="K944" s="69" t="inlineStr">
        <is>
          <t>https://amazon.com/dp/B0D4Q5QPNK</t>
        </is>
      </c>
      <c r="L944" s="114">
        <f>HYPERLINK(Table1410[[#This Row],[Column1]])</f>
        <v/>
      </c>
    </row>
    <row r="945" ht="45" customHeight="1" s="314">
      <c r="A945" s="35" t="inlineStr">
        <is>
          <t>Autel Scanner MaxiSYS MS909, 2026 Top Intelligent Scan Tool Same as MSUltra MS919 Ultra Lite, Motor TruSpeed, Topology 2.0, OE J2534 Functions, Up of Elite 2 Pro, 40+ Service 3000+ Tests, CAN FD DOIP</t>
        </is>
      </c>
      <c r="B945" s="35" t="inlineStr">
        <is>
          <t>B0995SJKH1</t>
        </is>
      </c>
      <c r="C945" s="35" t="inlineStr">
        <is>
          <t>Tablet</t>
        </is>
      </c>
      <c r="D945" s="359" t="n">
        <v>3618.36</v>
      </c>
      <c r="E945" s="359" t="n">
        <v>77656.7</v>
      </c>
      <c r="F945" s="359" t="n">
        <v>3618.36</v>
      </c>
      <c r="G945" s="68" t="n">
        <v>26</v>
      </c>
      <c r="H945" s="70" t="n">
        <v>1</v>
      </c>
      <c r="I945" s="68" t="n">
        <v>17</v>
      </c>
      <c r="J945" s="69" t="n">
        <v>4.7</v>
      </c>
      <c r="K945" s="69" t="inlineStr">
        <is>
          <t>https://amazon.com/dp/B0995SJKH1</t>
        </is>
      </c>
      <c r="L945" s="114">
        <f>HYPERLINK(Table1410[[#This Row],[Column1]])</f>
        <v/>
      </c>
    </row>
    <row r="946" ht="45" customHeight="1" s="314">
      <c r="A946" s="35" t="inlineStr">
        <is>
          <t>Autel MaxiSys Ultra Full System Diagnostic OBD2 Scanner Tablet Autel Ultra Have 40+ Reset Services with 5in1 MaxiFlash VCMI Can ECU Programming and ECU Coding Better MS909 MS919 MS Elite MK908 MK909</t>
        </is>
      </c>
      <c r="B946" s="35" t="inlineStr">
        <is>
          <t>B094VFFP4L</t>
        </is>
      </c>
      <c r="C946" s="35" t="inlineStr">
        <is>
          <t>Tablet</t>
        </is>
      </c>
      <c r="D946" s="359" t="n">
        <v>2257.6</v>
      </c>
      <c r="E946" s="359" t="n">
        <v>74181.26999999999</v>
      </c>
      <c r="F946" s="359" t="n">
        <v>2257.6</v>
      </c>
      <c r="G946" s="68" t="n">
        <v>20</v>
      </c>
      <c r="H946" s="70" t="n">
        <v>1</v>
      </c>
      <c r="I946" s="68" t="n">
        <v>21</v>
      </c>
      <c r="J946" s="69" t="n">
        <v>4.4</v>
      </c>
      <c r="K946" s="69" t="inlineStr">
        <is>
          <t>https://amazon.com/dp/B094VFFP4L</t>
        </is>
      </c>
      <c r="L946" s="114">
        <f>HYPERLINK(Table1410[[#This Row],[Column1]])</f>
        <v/>
      </c>
    </row>
    <row r="947" ht="45" customHeight="1" s="314">
      <c r="A947" s="35" t="inlineStr">
        <is>
          <t>Autel Scanner MaxiCOM MK900 - New Ver.Work as MK900BT/ MX900, 40+ Service, OS 11, 3000+ Active Tests, DoIP CAN FD,All System Diagnose, FCA Autoauth&amp;SGW, Ver. of MK808BT PRO, MK808S, MX808S OBDII Tool</t>
        </is>
      </c>
      <c r="B947" s="35" t="inlineStr">
        <is>
          <t>B0D3HRRNRT</t>
        </is>
      </c>
      <c r="C947" s="35" t="inlineStr">
        <is>
          <t>Tablet</t>
        </is>
      </c>
      <c r="D947" s="359" t="n">
        <v>768.3200000000001</v>
      </c>
      <c r="E947" s="359" t="n">
        <v>14864.18</v>
      </c>
      <c r="F947" s="359" t="n">
        <v>768.3200000000001</v>
      </c>
      <c r="G947" s="68" t="n">
        <v>26</v>
      </c>
      <c r="H947" s="70" t="n">
        <v>1</v>
      </c>
      <c r="I947" s="68" t="n">
        <v>5</v>
      </c>
      <c r="J947" s="69" t="n">
        <v>3.4</v>
      </c>
      <c r="K947" s="69" t="inlineStr">
        <is>
          <t>https://amazon.com/dp/B0D3HRRNRT</t>
        </is>
      </c>
      <c r="L947" s="114">
        <f>HYPERLINK(Table1410[[#This Row],[Column1]])</f>
        <v/>
      </c>
    </row>
    <row r="948" ht="45" customHeight="1" s="314">
      <c r="A948" s="35" t="inlineStr">
        <is>
          <t>Autel MaxiFlash VCI Kit, Bluetooth Vehicle Communication Interface, ECU Programming, SAE J2534 D-PDU RP1210 CAN FD 4 CAN Channels ISO22900, Work with MaxiSYS MS909 MS909EV MS909CV MaxiCOM Ultra Lite</t>
        </is>
      </c>
      <c r="B948" s="35" t="inlineStr">
        <is>
          <t>B0BXP45P23</t>
        </is>
      </c>
      <c r="C948" s="35" t="inlineStr">
        <is>
          <t>VCI</t>
        </is>
      </c>
      <c r="D948" s="359" t="n">
        <v>540.79</v>
      </c>
      <c r="E948" s="359" t="n">
        <v>42050.28</v>
      </c>
      <c r="F948" s="359" t="n">
        <v>540.79</v>
      </c>
      <c r="G948" s="68" t="n">
        <v>42</v>
      </c>
      <c r="H948" s="70" t="n">
        <v>1</v>
      </c>
      <c r="I948" s="68" t="n">
        <v>4</v>
      </c>
      <c r="J948" s="69" t="n">
        <v>5</v>
      </c>
      <c r="K948" s="69" t="inlineStr">
        <is>
          <t>https://amazon.com/dp/B0BXP45P23</t>
        </is>
      </c>
      <c r="L948" s="114">
        <f>HYPERLINK(Table1410[[#This Row],[Column1]])</f>
        <v/>
      </c>
    </row>
    <row r="949" ht="45" customHeight="1" s="314">
      <c r="A949" s="35" t="inlineStr">
        <is>
          <t>Autel IKEY Razor Programmable Smart Key 2024 Key Fob for BMW Key Creation 4 Buttons Ultra-Long Range OE Quality 700+ Vehicles Car Key Replacement Programmed with Autel KM100 IM508 IM608</t>
        </is>
      </c>
      <c r="B949" s="35" t="inlineStr">
        <is>
          <t>B0B7SKNPGK</t>
        </is>
      </c>
      <c r="C949" s="35" t="inlineStr">
        <is>
          <t>Key</t>
        </is>
      </c>
      <c r="D949" s="359" t="n">
        <v>44.93</v>
      </c>
      <c r="E949" s="359" t="n">
        <v>686.3200000000001</v>
      </c>
      <c r="F949" s="359" t="n">
        <v>44.93</v>
      </c>
      <c r="G949" s="68" t="n">
        <v>18</v>
      </c>
      <c r="H949" s="70" t="n">
        <v>1</v>
      </c>
      <c r="I949" s="68" t="n">
        <v>7</v>
      </c>
      <c r="J949" s="69" t="n">
        <v>3.8</v>
      </c>
      <c r="K949" s="69" t="inlineStr">
        <is>
          <t>https://amazon.com/dp/B0B7SKNPGK</t>
        </is>
      </c>
      <c r="L949" s="114">
        <f>HYPERLINK(Table1410[[#This Row],[Column1]])</f>
        <v/>
      </c>
    </row>
    <row r="950" ht="30" customHeight="1" s="314">
      <c r="A950" s="35" t="inlineStr">
        <is>
          <t>Autel OBD2 Scanner MaxiCOM MK808Z Automotive Diagnostic Tool - Same as MK808S MX808S, Android 11, Bi-Directional Tests as MK900 MX900, 28 Services, Injector Coding, All-System Scan, FCA AutoAuth</t>
        </is>
      </c>
      <c r="B950" s="35" t="inlineStr">
        <is>
          <t>B0FHW3FT8L</t>
        </is>
      </c>
      <c r="C950" s="35" t="inlineStr">
        <is>
          <t>Tablet</t>
        </is>
      </c>
      <c r="D950" s="359" t="n">
        <v>487.92</v>
      </c>
      <c r="E950" s="359" t="n">
        <v>8780.060769230771</v>
      </c>
      <c r="F950" s="359" t="n">
        <v>487.92</v>
      </c>
      <c r="G950" s="68" t="n">
        <v>15</v>
      </c>
      <c r="H950" s="70" t="n">
        <v>1</v>
      </c>
      <c r="I950" s="68" t="n">
        <v>1</v>
      </c>
      <c r="J950" s="69" t="n">
        <v>5</v>
      </c>
      <c r="K950" s="69" t="inlineStr">
        <is>
          <t>https://amazon.com/dp/B0FHW3FT8L</t>
        </is>
      </c>
      <c r="L950" s="114">
        <f>HYPERLINK(Table1410[[#This Row],[Column1]])</f>
        <v/>
      </c>
    </row>
    <row r="951" ht="45" customHeight="1" s="314">
      <c r="A951" s="35" t="inlineStr">
        <is>
          <t>Autel IM508S PRO OBD2 Diagnostic Scanner, 2026 Full Bundle as 608 pro 2, Upgrade of IM508S IM508, 40+ Service, 3000+ Active Tests, All System Diagnostic, FCA, OS 11.0</t>
        </is>
      </c>
      <c r="B951" s="35" t="inlineStr">
        <is>
          <t>B0GQ8F5F23</t>
        </is>
      </c>
      <c r="C951" s="35" t="inlineStr">
        <is>
          <t>Tablet</t>
        </is>
      </c>
      <c r="D951" s="359" t="n">
        <v>1698.98</v>
      </c>
      <c r="E951" s="359" t="n">
        <v>20518.45076923077</v>
      </c>
      <c r="F951" s="359" t="n">
        <v>1698.98</v>
      </c>
      <c r="G951" s="68" t="n">
        <v>1</v>
      </c>
      <c r="H951" s="70" t="n">
        <v>1</v>
      </c>
      <c r="I951" s="68" t="n"/>
      <c r="J951" s="69" t="n"/>
      <c r="K951" s="69" t="inlineStr">
        <is>
          <t>https://amazon.com/dp/B0GQ8F5F23</t>
        </is>
      </c>
      <c r="L951" s="114">
        <f>HYPERLINK(Table1410[[#This Row],[Column1]])</f>
        <v/>
      </c>
    </row>
    <row r="952" ht="45" customHeight="1" s="314">
      <c r="A952" s="35" t="inlineStr">
        <is>
          <t>Autel Maxilink ML619 OBD2 Scanner, 2026 ABS SRS Diagnostic Scan Tool,Up of ML519 AL519 AL619,Code Reader Turn Off Check Engine Light Car Diagnostic Tool with 10 OBD2 Test Modes,DTCs Lookup,Graphs Data</t>
        </is>
      </c>
      <c r="B952" s="35" t="inlineStr">
        <is>
          <t>B0FJRNN7BM</t>
        </is>
      </c>
      <c r="C952" s="35" t="inlineStr">
        <is>
          <t>Handheld</t>
        </is>
      </c>
      <c r="D952" s="359" t="n">
        <v>69.95</v>
      </c>
      <c r="E952" s="359" t="n">
        <v>2348.316153846153</v>
      </c>
      <c r="F952" s="359" t="n">
        <v>69.95</v>
      </c>
      <c r="G952" s="68" t="n">
        <v>19</v>
      </c>
      <c r="H952" s="70" t="n">
        <v>1</v>
      </c>
      <c r="I952" s="68" t="n">
        <v>4</v>
      </c>
      <c r="J952" s="69" t="n">
        <v>4.4</v>
      </c>
      <c r="K952" s="69" t="inlineStr">
        <is>
          <t>https://amazon.com/dp/B0FJRNN7BM</t>
        </is>
      </c>
      <c r="L952" s="114">
        <f>HYPERLINK(Table1410[[#This Row],[Column1]])</f>
        <v/>
      </c>
    </row>
    <row r="953" ht="45" customHeight="1" s="314">
      <c r="A953" s="35" t="inlineStr">
        <is>
          <t>Autel Scanner MP900-BT KIT, Bidirectional Scan Tool with ECU Coding(Full OBD Kit), Same Function as MS906MAX MS906 PRO, Upgrade of MK808S MS906S MP900, 3000+ Active Tests, 40+ Services, CAN FD &amp; DoIP</t>
        </is>
      </c>
      <c r="B953" s="35" t="inlineStr">
        <is>
          <t>B07ZD8T8K9</t>
        </is>
      </c>
      <c r="C953" s="35" t="inlineStr">
        <is>
          <t>Tablet</t>
        </is>
      </c>
      <c r="D953" s="359" t="n">
        <v>1036.22</v>
      </c>
      <c r="E953" s="359" t="n">
        <v>23174.88076923077</v>
      </c>
      <c r="F953" s="359" t="n">
        <v>1036.22</v>
      </c>
      <c r="G953" s="68" t="n">
        <v>23</v>
      </c>
      <c r="H953" s="70" t="n">
        <v>1</v>
      </c>
      <c r="I953" s="68" t="n">
        <v>175</v>
      </c>
      <c r="J953" s="69" t="n">
        <v>4.4</v>
      </c>
      <c r="K953" s="69" t="inlineStr">
        <is>
          <t>https://amazon.com/dp/B07ZD8T8K9</t>
        </is>
      </c>
      <c r="L953" s="114">
        <f>HYPERLINK(Table1410[[#This Row],[Column1]])</f>
        <v/>
      </c>
    </row>
    <row r="954" ht="45" customHeight="1" s="314">
      <c r="A954" s="35" t="inlineStr">
        <is>
          <t>Autel MaxiSYS Ultra S2 AI Scanner: 2026 Top Intelligent Scan Tool, Up of Ultra EV MSUltra Elite II Pro MS909 MS919, 6-in-1 VCMI2, Topology 3.0, Motor Truspeed, 48+ Service, OE Programming, EV Tests</t>
        </is>
      </c>
      <c r="B954" s="35" t="inlineStr">
        <is>
          <t>B07JJD3NFL</t>
        </is>
      </c>
      <c r="C954" s="35" t="inlineStr">
        <is>
          <t>Tablet</t>
        </is>
      </c>
      <c r="D954" s="359" t="n">
        <v>5681</v>
      </c>
      <c r="E954" s="359" t="n">
        <v>75113.14</v>
      </c>
      <c r="F954" s="359" t="n">
        <v>5681</v>
      </c>
      <c r="G954" s="68" t="n">
        <v>10</v>
      </c>
      <c r="H954" s="70" t="n">
        <v>1</v>
      </c>
      <c r="I954" s="68" t="n">
        <v>28</v>
      </c>
      <c r="J954" s="69" t="n">
        <v>4</v>
      </c>
      <c r="K954" s="69" t="inlineStr">
        <is>
          <t>https://amazon.com/dp/B07JJD3NFL</t>
        </is>
      </c>
      <c r="L954" s="114">
        <f>HYPERLINK(Table1410[[#This Row],[Column1]])</f>
        <v/>
      </c>
    </row>
    <row r="955" ht="45" customHeight="1" s="314">
      <c r="A955" s="35" t="inlineStr">
        <is>
          <t>Autel MaxiI-M IM608 PRO 2 Scanner, 2026 Same as M608 II /IM608S PRO II /IM608S II, Advanced as Elite II Pro, 40+ Service, 3000+ Active Test, OE Full Diagnostic, CAN FD&amp; DOIP Up of IM608 PRO/IM508S</t>
        </is>
      </c>
      <c r="B955" s="35" t="inlineStr">
        <is>
          <t>B0DJ1DKRZQ</t>
        </is>
      </c>
      <c r="C955" s="35" t="inlineStr">
        <is>
          <t>Tablet</t>
        </is>
      </c>
      <c r="D955" s="359" t="n">
        <v>1964.95</v>
      </c>
      <c r="E955" s="359" t="n">
        <v>134336.66</v>
      </c>
      <c r="F955" s="359" t="n">
        <v>1964.95</v>
      </c>
      <c r="G955" s="68" t="n">
        <v>44</v>
      </c>
      <c r="H955" s="70" t="n">
        <v>1</v>
      </c>
      <c r="I955" s="68" t="n">
        <v>7</v>
      </c>
      <c r="J955" s="69" t="n">
        <v>4.1</v>
      </c>
      <c r="K955" s="69" t="inlineStr">
        <is>
          <t>https://amazon.com/dp/B0DJ1DKRZQ</t>
        </is>
      </c>
      <c r="L955" s="114">
        <f>HYPERLINK(Table1410[[#This Row],[Column1]])</f>
        <v/>
      </c>
    </row>
    <row r="956" ht="45" customHeight="1" s="314">
      <c r="A956" s="35" t="inlineStr">
        <is>
          <t>Autel MaxiSys MS919S2 Scanner, 2026 Top Intelligent &amp; AI Diagnostic, ECU J2534 Pr0gram C0ding, Same as Ultra S2 Up of MSUltra MS909 S2, Topology 3.0, 6-in-1 VCMI2, Multi-Point DVI, 48+ Service</t>
        </is>
      </c>
      <c r="B956" s="35" t="inlineStr">
        <is>
          <t>B0GCZSL3X4</t>
        </is>
      </c>
      <c r="C956" s="35" t="inlineStr">
        <is>
          <t>Tablet</t>
        </is>
      </c>
      <c r="D956" s="359" t="n">
        <v>5299.98</v>
      </c>
      <c r="E956" s="359" t="n">
        <v>58621.87230769231</v>
      </c>
      <c r="F956" s="359" t="n">
        <v>5299.98</v>
      </c>
      <c r="G956" s="68" t="n">
        <v>2</v>
      </c>
      <c r="H956" s="70" t="n">
        <v>1</v>
      </c>
      <c r="I956" s="68" t="n">
        <v>2</v>
      </c>
      <c r="J956" s="69" t="n">
        <v>5</v>
      </c>
      <c r="K956" s="69" t="inlineStr">
        <is>
          <t>https://amazon.com/dp/B0GCZSL3X4</t>
        </is>
      </c>
      <c r="L956" s="114">
        <f>HYPERLINK(Table1410[[#This Row],[Column1]])</f>
        <v/>
      </c>
    </row>
    <row r="957" ht="45" customHeight="1" s="314">
      <c r="A957" s="35" t="inlineStr">
        <is>
          <t>Autel MS908P-1YRUPDATE Scan Tool</t>
        </is>
      </c>
      <c r="B957" s="35" t="inlineStr">
        <is>
          <t>B00UF1K23Y</t>
        </is>
      </c>
      <c r="C957" s="35" t="inlineStr">
        <is>
          <t>Other</t>
        </is>
      </c>
      <c r="D957" s="359" t="n">
        <v>655.36</v>
      </c>
      <c r="E957" s="359" t="n">
        <v>15678.69</v>
      </c>
      <c r="F957" s="359" t="n">
        <v>655.36</v>
      </c>
      <c r="G957" s="68" t="n">
        <v>21</v>
      </c>
      <c r="H957" s="70" t="n">
        <v>1</v>
      </c>
      <c r="I957" s="68" t="n">
        <v>24</v>
      </c>
      <c r="J957" s="69" t="n">
        <v>4.7</v>
      </c>
      <c r="K957" s="69" t="inlineStr">
        <is>
          <t>https://amazon.com/dp/B00UF1K23Y</t>
        </is>
      </c>
      <c r="L957" s="114">
        <f>HYPERLINK(Table1410[[#This Row],[Column1]])</f>
        <v/>
      </c>
    </row>
    <row r="958" ht="45" customHeight="1" s="314">
      <c r="A958" s="35" t="inlineStr">
        <is>
          <t>2026 Autel MaxiSYS Ultra Scanner: Top Auto Tool with 40+ Service, 5-in-1 VCMI, Intelligent Scan, Topology Map, OE Programming &amp; Coding, Upgraded of MaxiCOM Ultra Lite Elite II Pro MS919 Ultra EV</t>
        </is>
      </c>
      <c r="B958" s="35" t="inlineStr">
        <is>
          <t>B08SVXHWK9</t>
        </is>
      </c>
      <c r="C958" s="35" t="inlineStr">
        <is>
          <t>Tablet</t>
        </is>
      </c>
      <c r="D958" s="359" t="n">
        <v>4258.72</v>
      </c>
      <c r="E958" s="359" t="n">
        <v>203772.1</v>
      </c>
      <c r="F958" s="359" t="n">
        <v>4258.72</v>
      </c>
      <c r="G958" s="68" t="n">
        <v>53</v>
      </c>
      <c r="H958" s="70" t="n">
        <v>1</v>
      </c>
      <c r="I958" s="68" t="n">
        <v>31</v>
      </c>
      <c r="J958" s="69" t="n">
        <v>4.3</v>
      </c>
      <c r="K958" s="69" t="inlineStr">
        <is>
          <t>https://amazon.com/dp/B08SVXHWK9</t>
        </is>
      </c>
      <c r="L958" s="114">
        <f>HYPERLINK(Table1410[[#This Row],[Column1]])</f>
        <v/>
      </c>
    </row>
    <row r="959" ht="17" customHeight="1" s="314">
      <c r="A959" s="35" t="inlineStr">
        <is>
          <t>Autel J2534 Pass-Thru Programmer, 2026 MaxiFlash VCI OEM Programming &amp; Diagnostic Tool 2.0V of MaxiFlash Elite, SAE J-2534 CAN FD DoIP D-PDU RP1210, Work with OE Tools &amp; MaxiSYS Elite II PRO MS909</t>
        </is>
      </c>
      <c r="B959" s="35" t="inlineStr">
        <is>
          <t>B09J4Y9JRP</t>
        </is>
      </c>
      <c r="C959" s="35" t="inlineStr">
        <is>
          <t>VCI</t>
        </is>
      </c>
      <c r="D959" s="359" t="n">
        <v>1238.23</v>
      </c>
      <c r="E959" s="359" t="n">
        <v>47267.03153846154</v>
      </c>
      <c r="F959" s="359" t="n">
        <v>1238.23</v>
      </c>
      <c r="G959" s="68" t="n">
        <v>46</v>
      </c>
      <c r="H959" s="70" t="n">
        <v>1</v>
      </c>
      <c r="I959" s="68" t="n">
        <v>1</v>
      </c>
      <c r="J959" s="69" t="n">
        <v>5</v>
      </c>
      <c r="K959" s="69" t="inlineStr">
        <is>
          <t>https://amazon.com/dp/B09J4Y9JRP</t>
        </is>
      </c>
      <c r="L959" s="114">
        <f>HYPERLINK(Table1410[[#This Row],[Column1]])</f>
        <v/>
      </c>
    </row>
    <row r="960" ht="45" customHeight="1" s="314">
      <c r="A960" s="35" t="inlineStr">
        <is>
          <t>Autel Automotive OBD Scan Tool, Lifetime Updates, Auto Scan, VCI V200, 2GB &amp; 64GB, Android 9.0</t>
        </is>
      </c>
      <c r="B960" s="35" t="inlineStr">
        <is>
          <t>B0B3MQRPPZ</t>
        </is>
      </c>
      <c r="C960" s="35" t="inlineStr">
        <is>
          <t>Key</t>
        </is>
      </c>
      <c r="D960" s="359" t="n">
        <v>749.72</v>
      </c>
      <c r="E960" s="359" t="n">
        <v>16315.99384615385</v>
      </c>
      <c r="F960" s="359" t="n">
        <v>749.72</v>
      </c>
      <c r="G960" s="68" t="n">
        <v>20</v>
      </c>
      <c r="H960" s="70" t="n">
        <v>1</v>
      </c>
      <c r="I960" s="68" t="n">
        <v>232</v>
      </c>
      <c r="J960" s="69" t="n">
        <v>4.3</v>
      </c>
      <c r="K960" s="69" t="inlineStr">
        <is>
          <t>https://amazon.com/dp/B0B3MQRPPZ</t>
        </is>
      </c>
      <c r="L960" s="114">
        <f>HYPERLINK(Table1410[[#This Row],[Column1]])</f>
        <v/>
      </c>
    </row>
    <row r="961" ht="45" customHeight="1" s="314">
      <c r="A961" s="35" t="inlineStr">
        <is>
          <t>Autel MaxiDiag MD906 PRO Scanner, 2026 MD906PRO All System Diagnostic Scan Tool as MD909 PRO, 33ft BT Lite of MK808S MX808S, V2.0 CAN FD, 11 Reset Functions, Up of MD808 Pro MD806, FCA, Free Updates</t>
        </is>
      </c>
      <c r="B961" s="35" t="inlineStr">
        <is>
          <t>B0FSSKB4S8</t>
        </is>
      </c>
      <c r="C961" s="35" t="inlineStr">
        <is>
          <t>Tablet</t>
        </is>
      </c>
      <c r="D961" s="359" t="n">
        <v>328.22</v>
      </c>
      <c r="E961" s="359" t="n">
        <v>12679.19615384615</v>
      </c>
      <c r="F961" s="359" t="n">
        <v>328.22</v>
      </c>
      <c r="G961" s="68" t="n">
        <v>37</v>
      </c>
      <c r="H961" s="70" t="n">
        <v>1</v>
      </c>
      <c r="I961" s="68" t="n">
        <v>10</v>
      </c>
      <c r="J961" s="69" t="n">
        <v>4.6</v>
      </c>
      <c r="K961" s="69" t="inlineStr">
        <is>
          <t>https://amazon.com/dp/B0FSSKB4S8</t>
        </is>
      </c>
      <c r="L961" s="114">
        <f>HYPERLINK(Table1410[[#This Row],[Column1]])</f>
        <v/>
      </c>
    </row>
    <row r="962" ht="45" customHeight="1" s="314">
      <c r="A962" s="35" t="inlineStr">
        <is>
          <t>Autel MaxiSys MaxiVCI VCI Mini Bluetooth Diagnostic Interface Work with All Systems Automotive OBD2 Scanner MS906S TS608 MP808TS MK808BT MK808TS MK900TS Oil Reset/EPB/BMS/SAS/TPMS and Immobilizer</t>
        </is>
      </c>
      <c r="B962" s="35" t="inlineStr">
        <is>
          <t>B0B35X15LH</t>
        </is>
      </c>
      <c r="C962" s="35" t="inlineStr">
        <is>
          <t>Dongle</t>
        </is>
      </c>
      <c r="D962" s="359" t="n">
        <v>127.09</v>
      </c>
      <c r="E962" s="359" t="n">
        <v>25026.78</v>
      </c>
      <c r="F962" s="359" t="n">
        <v>127.09</v>
      </c>
      <c r="G962" s="68" t="n">
        <v>230</v>
      </c>
      <c r="H962" s="70" t="n">
        <v>1</v>
      </c>
      <c r="I962" s="68" t="n">
        <v>29</v>
      </c>
      <c r="J962" s="69" t="n">
        <v>4.6</v>
      </c>
      <c r="K962" s="69" t="inlineStr">
        <is>
          <t>https://amazon.com/dp/B0B35X15LH</t>
        </is>
      </c>
      <c r="L962" s="114">
        <f>HYPERLINK(Table1410[[#This Row],[Column1]])</f>
        <v/>
      </c>
    </row>
    <row r="963" ht="45" customHeight="1" s="314">
      <c r="A963" s="35" t="inlineStr">
        <is>
          <t>Autel MaxiSYS MS906 PRO-TS Scanner, Up of MS906MAX MS906Pro MP900TS MS906TS MP900BT, Full TPMS Diagnostic, Bidirectional Scan Tool, ECU Coding, 36+ Service, DOIP&amp;CAN FD, FCA, VAG</t>
        </is>
      </c>
      <c r="B963" s="35" t="inlineStr">
        <is>
          <t>B0BS6GZC5J</t>
        </is>
      </c>
      <c r="C963" s="35" t="inlineStr">
        <is>
          <t>Tablet</t>
        </is>
      </c>
      <c r="D963" s="359" t="n">
        <v>1888.22</v>
      </c>
      <c r="E963" s="359" t="n">
        <v>44856.11</v>
      </c>
      <c r="F963" s="359" t="n">
        <v>1888.22</v>
      </c>
      <c r="G963" s="68" t="n">
        <v>29</v>
      </c>
      <c r="H963" s="70" t="n">
        <v>1</v>
      </c>
      <c r="I963" s="68" t="n">
        <v>18</v>
      </c>
      <c r="J963" s="69" t="n">
        <v>4.6</v>
      </c>
      <c r="K963" s="69" t="inlineStr">
        <is>
          <t>https://amazon.com/dp/B0BS6GZC5J</t>
        </is>
      </c>
      <c r="L963" s="114">
        <f>HYPERLINK(Table1410[[#This Row],[Column1]])</f>
        <v/>
      </c>
    </row>
    <row r="964" ht="45" customHeight="1" s="314">
      <c r="A964" s="35" t="inlineStr">
        <is>
          <t>Autel Scanner Diagnostic Scan Tool, 2026 OBD2 Car Scanner with 4 Useful Accessories Worth 2000Bucks, 40 Services, OE Full System, Full Bidirectional Tool, 3K+ Active Test, DOIP CANFD, OS10, 4G&amp;128G</t>
        </is>
      </c>
      <c r="B964" s="35" t="inlineStr">
        <is>
          <t>B09ZPK3PBV</t>
        </is>
      </c>
      <c r="C964" s="35" t="inlineStr">
        <is>
          <t>Tablet</t>
        </is>
      </c>
      <c r="D964" s="359" t="n">
        <v>3384.2</v>
      </c>
      <c r="E964" s="359" t="n">
        <v>66829.99692307692</v>
      </c>
      <c r="F964" s="359" t="n">
        <v>3384.2</v>
      </c>
      <c r="G964" s="68" t="n">
        <v>18</v>
      </c>
      <c r="H964" s="70" t="n">
        <v>1</v>
      </c>
      <c r="I964" s="68" t="n">
        <v>6</v>
      </c>
      <c r="J964" s="69" t="n">
        <v>5</v>
      </c>
      <c r="K964" s="69" t="inlineStr">
        <is>
          <t>https://amazon.com/dp/B09ZPK3PBV</t>
        </is>
      </c>
      <c r="L964" s="114">
        <f>HYPERLINK(Table1410[[#This Row],[Column1]])</f>
        <v/>
      </c>
    </row>
    <row r="965" ht="45" customHeight="1" s="314">
      <c r="A965" s="35" t="inlineStr">
        <is>
          <t>Autel DIY OBDII Replacement Cable — Compatible with AutoLINK Tools, Model# DIY-Cable</t>
        </is>
      </c>
      <c r="B965" s="35" t="inlineStr">
        <is>
          <t>B00FQ11LSI</t>
        </is>
      </c>
      <c r="C965" s="35" t="inlineStr">
        <is>
          <t>Cable/Adapter</t>
        </is>
      </c>
      <c r="D965" s="359" t="n">
        <v>45.3</v>
      </c>
      <c r="E965" s="359" t="n">
        <v>212.9807692307692</v>
      </c>
      <c r="F965" s="359" t="n">
        <v>45.3</v>
      </c>
      <c r="G965" s="68" t="n">
        <v>3</v>
      </c>
      <c r="H965" s="70" t="n">
        <v>1</v>
      </c>
      <c r="I965" s="68" t="n"/>
      <c r="J965" s="69" t="n"/>
      <c r="K965" s="69" t="inlineStr">
        <is>
          <t>https://amazon.com/dp/B00FQ11LSI</t>
        </is>
      </c>
      <c r="L965" s="114">
        <f>HYPERLINK(Table1410[[#This Row],[Column1]])</f>
        <v/>
      </c>
    </row>
    <row r="966" ht="60" customHeight="1" s="314">
      <c r="A966" s="35" t="inlineStr">
        <is>
          <t>Autel MaxiSys Ultra Pro 2026 Scanner with MSOAK MSOBD2KIT Upgraded of Ultra Lite MS919 MS909 OBD2 Scanner 5-in-1 MaxiFlash VCMI Topology ECU Programming 15000+ Vehicle 40+ Service</t>
        </is>
      </c>
      <c r="B966" s="35" t="inlineStr">
        <is>
          <t>B0D6G96Y35</t>
        </is>
      </c>
      <c r="C966" s="35" t="inlineStr">
        <is>
          <t>Tablet</t>
        </is>
      </c>
      <c r="D966" s="359" t="n">
        <v>4399</v>
      </c>
      <c r="E966" s="359" t="n">
        <v>35036.49</v>
      </c>
      <c r="F966" s="359" t="n">
        <v>4399</v>
      </c>
      <c r="G966" s="68" t="n">
        <v>8</v>
      </c>
      <c r="H966" s="70" t="n">
        <v>1</v>
      </c>
      <c r="I966" s="68" t="n"/>
      <c r="J966" s="69" t="n"/>
      <c r="K966" s="69" t="inlineStr">
        <is>
          <t>https://amazon.com/dp/B0D6G96Y35</t>
        </is>
      </c>
      <c r="L966" s="114">
        <f>HYPERLINK(Table1410[[#This Row],[Column1]])</f>
        <v/>
      </c>
    </row>
    <row r="967" ht="60" customHeight="1" s="314">
      <c r="A967" s="35" t="inlineStr">
        <is>
          <t>Autel MaxiBAS BTMS OBDII Memory Saver, Battery Tester, Polarity-Protected, Attaches to 12 Volt Backup Battery, Provides Power to Vehicle's Computer, Maintains Data</t>
        </is>
      </c>
      <c r="B967" s="35" t="inlineStr">
        <is>
          <t>B0CCJBCJTS</t>
        </is>
      </c>
      <c r="C967" s="35" t="inlineStr">
        <is>
          <t>Other</t>
        </is>
      </c>
      <c r="D967" s="359" t="n">
        <v>45.96</v>
      </c>
      <c r="E967" s="359" t="n">
        <v>475.3099999999999</v>
      </c>
      <c r="F967" s="359" t="n">
        <v>45.96</v>
      </c>
      <c r="G967" s="68" t="n">
        <v>9</v>
      </c>
      <c r="H967" s="70" t="n">
        <v>1</v>
      </c>
      <c r="I967" s="68" t="n">
        <v>3</v>
      </c>
      <c r="J967" s="69" t="n">
        <v>5</v>
      </c>
      <c r="K967" s="69" t="inlineStr">
        <is>
          <t>https://amazon.com/dp/B0CCJBCJTS</t>
        </is>
      </c>
      <c r="L967" s="114">
        <f>HYPERLINK(Table1410[[#This Row],[Column1]])</f>
        <v/>
      </c>
    </row>
    <row r="968" ht="45" customHeight="1" s="314">
      <c r="A968" s="35" t="inlineStr">
        <is>
          <t>Autel 1-Year Update Service for IM608/ IM608 PRO, Total Care Program (TCP) Card, One Year Software Subscription &amp; Warranty</t>
        </is>
      </c>
      <c r="B968" s="35" t="inlineStr">
        <is>
          <t>B0GR45V5JZ</t>
        </is>
      </c>
      <c r="C968" s="35" t="inlineStr">
        <is>
          <t>Tablet</t>
        </is>
      </c>
      <c r="D968" s="359" t="n">
        <v>447.48</v>
      </c>
      <c r="E968" s="359" t="n">
        <v>8941.573076923076</v>
      </c>
      <c r="F968" s="359" t="n">
        <v>447.48</v>
      </c>
      <c r="G968" s="68" t="n">
        <v>5</v>
      </c>
      <c r="H968" s="70" t="n">
        <v>1</v>
      </c>
      <c r="I968" s="68" t="n"/>
      <c r="J968" s="69" t="n"/>
      <c r="K968" s="69" t="inlineStr">
        <is>
          <t>https://amazon.com/dp/B0GR45V5JZ</t>
        </is>
      </c>
      <c r="L968" s="114">
        <f>HYPERLINK(Table1410[[#This Row],[Column1]])</f>
        <v/>
      </c>
    </row>
    <row r="969" ht="45" customHeight="1" s="314">
      <c r="A969" s="35" t="inlineStr">
        <is>
          <t>Autel Original CV Haldex 4-Pin Adapter, 4pin Commercial Vehicle Connector for Haldex Trailer Braking Systems, Compatible w/Autel Heavy Duty Truck Scanner MaxiSYS MS909CV, MS908CV II, MS908CV, MS906CV</t>
        </is>
      </c>
      <c r="B969" s="35" t="inlineStr">
        <is>
          <t>B0FF4XKXDT</t>
        </is>
      </c>
      <c r="C969" s="35" t="inlineStr">
        <is>
          <t>Cable/Adapter</t>
        </is>
      </c>
      <c r="D969" s="359" t="n">
        <v>20.85</v>
      </c>
      <c r="E969" s="359" t="n">
        <v>399.8092307692308</v>
      </c>
      <c r="F969" s="359" t="n">
        <v>20.85</v>
      </c>
      <c r="G969" s="68" t="n">
        <v>11</v>
      </c>
      <c r="H969" s="70" t="n">
        <v>1</v>
      </c>
      <c r="I969" s="68" t="n">
        <v>3</v>
      </c>
      <c r="J969" s="69" t="n">
        <v>4.7</v>
      </c>
      <c r="K969" s="69" t="inlineStr">
        <is>
          <t>https://amazon.com/dp/B0FF4XKXDT</t>
        </is>
      </c>
      <c r="L969" s="114">
        <f>HYPERLINK(Table1410[[#This Row],[Column1]])</f>
        <v/>
      </c>
    </row>
    <row r="970" ht="45" customHeight="1" s="314">
      <c r="A970" s="35" t="inlineStr">
        <is>
          <t>Autel MaxiSys Elite 2 Pro Scanner, 2026 Elite II Pro with 2 Years Update, J2534 Pr0gramming as MS Ultra MS909 MS919 Up of MS908S PRO II MK908P, Motor TruSpeed, 3000+ Tests, 40+ Service, CANFD, 10.0 OS</t>
        </is>
      </c>
      <c r="B970" s="35" t="inlineStr">
        <is>
          <t>B0G6ZDHJPR</t>
        </is>
      </c>
      <c r="C970" s="35" t="inlineStr">
        <is>
          <t>Tablet</t>
        </is>
      </c>
      <c r="D970" s="359" t="n">
        <v>1579.32</v>
      </c>
      <c r="E970" s="359" t="n">
        <v>28625.81076923078</v>
      </c>
      <c r="F970" s="359" t="n">
        <v>1579.32</v>
      </c>
      <c r="G970" s="68" t="n">
        <v>8</v>
      </c>
      <c r="H970" s="70" t="n">
        <v>1</v>
      </c>
      <c r="I970" s="68" t="n">
        <v>30</v>
      </c>
      <c r="J970" s="69" t="n">
        <v>4.4</v>
      </c>
      <c r="K970" s="69" t="inlineStr">
        <is>
          <t>https://amazon.com/dp/B0G6ZDHJPR</t>
        </is>
      </c>
      <c r="L970" s="114">
        <f>HYPERLINK(Table1410[[#This Row],[Column1]])</f>
        <v/>
      </c>
    </row>
    <row r="971" ht="60" customHeight="1" s="314">
      <c r="A971" s="35" t="inlineStr">
        <is>
          <t>Autel Scanner MaxiCOM MK906 Pro: New Upgrade Version of MS906BT / MP900-BT, ECU Coding Same As MK908P, Bi-Directional Control, 40+ Services, Guided Functions, FCA AutoAuth</t>
        </is>
      </c>
      <c r="B971" s="35" t="inlineStr">
        <is>
          <t>B09M45G1VH</t>
        </is>
      </c>
      <c r="C971" s="35" t="inlineStr">
        <is>
          <t>Tablet</t>
        </is>
      </c>
      <c r="D971" s="359" t="n">
        <v>836.29</v>
      </c>
      <c r="E971" s="359" t="n">
        <v>14589.37</v>
      </c>
      <c r="F971" s="359" t="n">
        <v>836.29</v>
      </c>
      <c r="G971" s="68" t="n">
        <v>12</v>
      </c>
      <c r="H971" s="70" t="n">
        <v>1</v>
      </c>
      <c r="I971" s="68" t="n">
        <v>2</v>
      </c>
      <c r="J971" s="69" t="n">
        <v>5</v>
      </c>
      <c r="K971" s="69" t="inlineStr">
        <is>
          <t>https://amazon.com/dp/B09M45G1VH</t>
        </is>
      </c>
      <c r="L971" s="114">
        <f>HYPERLINK(Table1410[[#This Row],[Column1]])</f>
        <v/>
      </c>
    </row>
    <row r="972" ht="60" customHeight="1" s="314">
      <c r="A972" s="35" t="inlineStr">
        <is>
          <t>Autel Ikey Programmable Smart Key for Chrysler- Dodge-Style Key Creation 5 Buttons IKEYCR5TPR Ultra-Long Range OE-Quality for 700+ Vehicle Key Replacement Programmed with Autel KM100 IM508 IM608</t>
        </is>
      </c>
      <c r="B972" s="35" t="inlineStr">
        <is>
          <t>B0BRZB14WW</t>
        </is>
      </c>
      <c r="C972" s="35" t="inlineStr">
        <is>
          <t>Key</t>
        </is>
      </c>
      <c r="D972" s="359" t="n">
        <v>49.03</v>
      </c>
      <c r="E972" s="359" t="n">
        <v>867.2900000000001</v>
      </c>
      <c r="F972" s="359" t="n">
        <v>49.03</v>
      </c>
      <c r="G972" s="68" t="n">
        <v>23</v>
      </c>
      <c r="H972" s="70" t="n">
        <v>1</v>
      </c>
      <c r="I972" s="68" t="n">
        <v>2</v>
      </c>
      <c r="J972" s="69" t="n">
        <v>5</v>
      </c>
      <c r="K972" s="69" t="inlineStr">
        <is>
          <t>https://amazon.com/dp/B0BRZB14WW</t>
        </is>
      </c>
      <c r="L972" s="114">
        <f>HYPERLINK(Table1410[[#This Row],[Column1]])</f>
        <v/>
      </c>
    </row>
    <row r="973" ht="45" customHeight="1" s="314">
      <c r="A973" s="35" t="inlineStr">
        <is>
          <t>Autel OBD2 Scanner MaxiDiag MD906 PRO MD906PRO, All Systems Car Scanner Diagnostic Tool, Same as MD909 PRO BT Lite of MaxiCOM MK808S MX808S, 11+Resets, CAN FD, Up of MD808 PRO MD806, Free Update, FCA</t>
        </is>
      </c>
      <c r="B973" s="35" t="inlineStr">
        <is>
          <t>B0090B7M2O</t>
        </is>
      </c>
      <c r="C973" s="35" t="inlineStr">
        <is>
          <t>Handheld</t>
        </is>
      </c>
      <c r="D973" s="359" t="n">
        <v>288.27</v>
      </c>
      <c r="E973" s="359" t="n">
        <v>13520.78153846154</v>
      </c>
      <c r="F973" s="359" t="n">
        <v>288.27</v>
      </c>
      <c r="G973" s="68" t="n">
        <v>43</v>
      </c>
      <c r="H973" s="70" t="n">
        <v>1</v>
      </c>
      <c r="I973" s="68" t="n">
        <v>665</v>
      </c>
      <c r="J973" s="69" t="n">
        <v>4.3</v>
      </c>
      <c r="K973" s="69" t="inlineStr">
        <is>
          <t>https://amazon.com/dp/B0090B7M2O</t>
        </is>
      </c>
      <c r="L973" s="114">
        <f>HYPERLINK(Table1410[[#This Row],[Column1]])</f>
        <v/>
      </c>
    </row>
    <row r="974" ht="45" customHeight="1" s="314">
      <c r="A974" s="35" t="inlineStr">
        <is>
          <t>Autel Scanner MaxiSys MS906 Pro, Upgrade Version of MS906BT / MaxiPRO MP900BT, ECU Coding Same As MK908P, Bi-Directional Control, Scan Tool with 40+ Services, Guided Functions, FCA AutoAuth</t>
        </is>
      </c>
      <c r="B974" s="35" t="inlineStr">
        <is>
          <t>B09YHM6M18</t>
        </is>
      </c>
      <c r="C974" s="35" t="inlineStr">
        <is>
          <t>Tablet</t>
        </is>
      </c>
      <c r="D974" s="359" t="n">
        <v>817.35</v>
      </c>
      <c r="E974" s="359" t="n">
        <v>37761.57</v>
      </c>
      <c r="F974" s="359" t="n">
        <v>817.35</v>
      </c>
      <c r="G974" s="68" t="n">
        <v>27</v>
      </c>
      <c r="H974" s="70" t="n">
        <v>1</v>
      </c>
      <c r="I974" s="68" t="n">
        <v>5</v>
      </c>
      <c r="J974" s="69" t="n">
        <v>3.9</v>
      </c>
      <c r="K974" s="69" t="inlineStr">
        <is>
          <t>https://amazon.com/dp/B09YHM6M18</t>
        </is>
      </c>
      <c r="L974" s="114">
        <f>HYPERLINK(Table1410[[#This Row],[Column1]])</f>
        <v/>
      </c>
    </row>
    <row r="975" ht="45" customHeight="1" s="314">
      <c r="A975" s="35" t="inlineStr">
        <is>
          <t>Autel - Total Care Program for Msultra (ULTRA1YRUPD)</t>
        </is>
      </c>
      <c r="B975" s="35" t="inlineStr">
        <is>
          <t>B09WW424ZL</t>
        </is>
      </c>
      <c r="C975" s="35" t="inlineStr">
        <is>
          <t>Other</t>
        </is>
      </c>
      <c r="D975" s="359" t="n">
        <v>1350.15</v>
      </c>
      <c r="E975" s="359" t="n">
        <v>71078.14999999999</v>
      </c>
      <c r="F975" s="359" t="n">
        <v>1350.15</v>
      </c>
      <c r="G975" s="68" t="n">
        <v>75</v>
      </c>
      <c r="H975" s="70" t="n">
        <v>1</v>
      </c>
      <c r="I975" s="68" t="n">
        <v>5</v>
      </c>
      <c r="J975" s="69" t="n">
        <v>5</v>
      </c>
      <c r="K975" s="69" t="inlineStr">
        <is>
          <t>https://amazon.com/dp/B09WW424ZL</t>
        </is>
      </c>
      <c r="L975" s="114">
        <f>HYPERLINK(Table1410[[#This Row],[Column1]])</f>
        <v/>
      </c>
    </row>
    <row r="976" ht="45" customHeight="1" s="314">
      <c r="A976" s="35" t="inlineStr">
        <is>
          <t>Autel MaxiSys Ultra 1-Year Update Service, Total Care Program (TCP) Card, One Year Software Subscription &amp; Warranty</t>
        </is>
      </c>
      <c r="B976" s="35" t="inlineStr">
        <is>
          <t>B0G64B7R8V</t>
        </is>
      </c>
      <c r="C976" s="35" t="inlineStr">
        <is>
          <t>Other</t>
        </is>
      </c>
      <c r="D976" s="359" t="n">
        <v>1465.53</v>
      </c>
      <c r="E976" s="359" t="n">
        <v>15133.39538461539</v>
      </c>
      <c r="F976" s="359" t="n">
        <v>1465.53</v>
      </c>
      <c r="G976" s="68" t="n">
        <v>3</v>
      </c>
      <c r="H976" s="70" t="n">
        <v>1</v>
      </c>
      <c r="I976" s="68" t="n"/>
      <c r="J976" s="69" t="n"/>
      <c r="K976" s="69" t="inlineStr">
        <is>
          <t>https://amazon.com/dp/B0G64B7R8V</t>
        </is>
      </c>
      <c r="L976" s="114">
        <f>HYPERLINK(Table1410[[#This Row],[Column1]])</f>
        <v/>
      </c>
    </row>
    <row r="977" ht="45" customHeight="1" s="314">
      <c r="A977" s="35" t="inlineStr">
        <is>
          <t>Autel MaxiSys MS909CV Truck Scanner: 2026 Top MS909CV Up of MS908CV II, Topology 2.0, Intelligent Scanner for Commercial/Heavy Duty Truck, ECU Programmer Coding, 3K+ Test, 64 Service, Auto Scan 2.0</t>
        </is>
      </c>
      <c r="B977" s="35" t="inlineStr">
        <is>
          <t>B075ZLBR63</t>
        </is>
      </c>
      <c r="C977" s="35" t="inlineStr">
        <is>
          <t>Tablet</t>
        </is>
      </c>
      <c r="D977" s="359" t="n">
        <v>5349.39</v>
      </c>
      <c r="E977" s="359" t="n">
        <v>95835.78999999999</v>
      </c>
      <c r="F977" s="359" t="n">
        <v>5349.39</v>
      </c>
      <c r="G977" s="68" t="n">
        <v>21</v>
      </c>
      <c r="H977" s="70" t="n">
        <v>1</v>
      </c>
      <c r="I977" s="68" t="n">
        <v>6</v>
      </c>
      <c r="J977" s="69" t="n">
        <v>5</v>
      </c>
      <c r="K977" s="69" t="inlineStr">
        <is>
          <t>https://amazon.com/dp/B075ZLBR63</t>
        </is>
      </c>
      <c r="L977" s="114">
        <f>HYPERLINK(Table1410[[#This Row],[Column1]])</f>
        <v/>
      </c>
    </row>
    <row r="978" ht="60" customHeight="1" s="314">
      <c r="A978" s="35" t="inlineStr">
        <is>
          <t>Autel MaxiSys MS906 1-Year Update Service, Total Care Program (TCP) Card, One Year Software Subscription &amp; Warranty for Diagnostic Scanner</t>
        </is>
      </c>
      <c r="B978" s="35" t="inlineStr">
        <is>
          <t>B0FF9XRP4Z</t>
        </is>
      </c>
      <c r="C978" s="35" t="inlineStr">
        <is>
          <t>Tablet</t>
        </is>
      </c>
      <c r="D978" s="359" t="n">
        <v>314.19</v>
      </c>
      <c r="E978" s="359" t="n">
        <v>3795.226923076923</v>
      </c>
      <c r="F978" s="359" t="n">
        <v>314.19</v>
      </c>
      <c r="G978" s="68" t="n">
        <v>2</v>
      </c>
      <c r="H978" s="70" t="n">
        <v>1</v>
      </c>
      <c r="I978" s="68" t="n"/>
      <c r="J978" s="69" t="n"/>
      <c r="K978" s="69" t="inlineStr">
        <is>
          <t>https://amazon.com/dp/B0FF9XRP4Z</t>
        </is>
      </c>
      <c r="L978" s="114">
        <f>HYPERLINK(Table1410[[#This Row],[Column1]])</f>
        <v/>
      </c>
    </row>
    <row r="979" ht="60" customHeight="1" s="314">
      <c r="A979" s="35" t="inlineStr">
        <is>
          <t>Autel - Black Metal Press-in Valve for 1-Sensor (CV-001)</t>
        </is>
      </c>
      <c r="B979" s="35" t="inlineStr">
        <is>
          <t>B07TV81B8C</t>
        </is>
      </c>
      <c r="C979" s="35" t="inlineStr">
        <is>
          <t>Other</t>
        </is>
      </c>
      <c r="D979" s="359" t="n">
        <v>8.91</v>
      </c>
      <c r="E979" s="359" t="n">
        <v>8.67</v>
      </c>
      <c r="F979" s="359" t="n">
        <v>0</v>
      </c>
      <c r="G979" s="68" t="n">
        <v>1</v>
      </c>
      <c r="H979" s="70" t="n">
        <v>0</v>
      </c>
      <c r="I979" s="68" t="n"/>
      <c r="J979" s="69" t="n"/>
      <c r="K979" s="69" t="inlineStr">
        <is>
          <t>https://amazon.com/dp/B07TV81B8C</t>
        </is>
      </c>
      <c r="L979" s="114">
        <f>HYPERLINK(Table1410[[#This Row],[Column1]])</f>
        <v/>
      </c>
    </row>
    <row r="980" ht="17" customHeight="1" s="314">
      <c r="A980" s="35" t="inlineStr">
        <is>
          <t>Autel MaxiSys Ultra Autel Scanner: 2026 Top Intelligent Diagnostic Tool with 5-in-1 VCMI, Motor TruSpeed, J2534 ECU Programming, 40+ Services, Topology Map 2.0, Up of MS908S Pro Elite/MS909/MS919</t>
        </is>
      </c>
      <c r="B980" s="35" t="inlineStr">
        <is>
          <t>B09PNBLDM9</t>
        </is>
      </c>
      <c r="C980" s="35" t="inlineStr">
        <is>
          <t>Tablet</t>
        </is>
      </c>
      <c r="D980" s="359" t="n">
        <v>3999</v>
      </c>
      <c r="E980" s="359" t="n">
        <v>43043.67</v>
      </c>
      <c r="F980" s="359" t="n">
        <v>0</v>
      </c>
      <c r="G980" s="68" t="n">
        <v>10</v>
      </c>
      <c r="H980" s="70" t="n">
        <v>0</v>
      </c>
      <c r="I980" s="68" t="n">
        <v>2</v>
      </c>
      <c r="J980" s="69" t="n">
        <v>5</v>
      </c>
      <c r="K980" s="69" t="inlineStr">
        <is>
          <t>https://amazon.com/dp/B09PNBLDM9</t>
        </is>
      </c>
      <c r="L980" s="114">
        <f>HYPERLINK(Table1410[[#This Row],[Column1]])</f>
        <v/>
      </c>
    </row>
    <row r="981" ht="60" customHeight="1" s="314">
      <c r="A981" s="35" t="inlineStr">
        <is>
          <t>Autel MaxiVCI Mini Bluetooth, Vehicle Communication Wireless Interface, Diagnostic Connector Compatible for MK808BT MK808TS MX808TS MP808TS TS608</t>
        </is>
      </c>
      <c r="B981" s="35" t="inlineStr">
        <is>
          <t>B0GCZ5939M</t>
        </is>
      </c>
      <c r="C981" s="35" t="inlineStr">
        <is>
          <t>Dongle</t>
        </is>
      </c>
      <c r="D981" s="359" t="n">
        <v>119</v>
      </c>
      <c r="E981" s="359" t="n">
        <v>291.22</v>
      </c>
      <c r="F981" s="359" t="n">
        <v>0</v>
      </c>
      <c r="G981" s="68" t="n">
        <v>2</v>
      </c>
      <c r="H981" s="70" t="n">
        <v>0</v>
      </c>
      <c r="I981" s="68" t="n"/>
      <c r="J981" s="69" t="n"/>
      <c r="K981" s="69" t="inlineStr">
        <is>
          <t>https://amazon.com/dp/B0GCZ5939M</t>
        </is>
      </c>
      <c r="L981" s="114">
        <f>HYPERLINK(Table1410[[#This Row],[Column1]])</f>
        <v/>
      </c>
    </row>
    <row r="982" ht="60" customHeight="1" s="314">
      <c r="A982" s="35" t="inlineStr">
        <is>
          <t>Autel ITS600Pro TPMS Tablet — 5.5in. Touchscreen, All Systems Diagnostics, Bluetooth, Model# 700150</t>
        </is>
      </c>
      <c r="B982" s="35" t="inlineStr">
        <is>
          <t>B0B1JK6JGN</t>
        </is>
      </c>
      <c r="C982" s="35" t="inlineStr">
        <is>
          <t>Handheld</t>
        </is>
      </c>
      <c r="D982" s="359" t="n">
        <v>521.38</v>
      </c>
      <c r="E982" s="359" t="n">
        <v>704.67</v>
      </c>
      <c r="F982" s="359" t="n">
        <v>0</v>
      </c>
      <c r="G982" s="68" t="n">
        <v>1</v>
      </c>
      <c r="H982" s="70" t="n">
        <v>0</v>
      </c>
      <c r="I982" s="68" t="n"/>
      <c r="J982" s="69" t="n"/>
      <c r="K982" s="69" t="inlineStr">
        <is>
          <t>https://amazon.com/dp/B0B1JK6JGN</t>
        </is>
      </c>
      <c r="L982" s="114">
        <f>HYPERLINK(Table1410[[#This Row],[Column1]])</f>
        <v/>
      </c>
    </row>
    <row r="983" ht="45" customHeight="1" s="314">
      <c r="A983" s="35" t="inlineStr">
        <is>
          <t>Autel Scanner MaxiPro MP900Z-BT with 40+ Services, 2024 Upgraded of MP808S/MS906BT, ECU Coding Scanner, Bi-Directional Scan Tool Support CAN FD/DoIP, Full System OBD2 Scanner OE-Level System Coverage</t>
        </is>
      </c>
      <c r="B983" s="35" t="inlineStr">
        <is>
          <t>B0D7Q65NSM</t>
        </is>
      </c>
      <c r="C983" s="35" t="inlineStr">
        <is>
          <t>Tablet</t>
        </is>
      </c>
      <c r="D983" s="359" t="n">
        <v>959</v>
      </c>
      <c r="E983" s="359" t="n">
        <v>0</v>
      </c>
      <c r="F983" s="359" t="n">
        <v>0</v>
      </c>
      <c r="G983" s="68" t="n">
        <v>0</v>
      </c>
      <c r="H983" s="70" t="n">
        <v>0</v>
      </c>
      <c r="I983" s="68" t="n">
        <v>1</v>
      </c>
      <c r="J983" s="69" t="n">
        <v>1</v>
      </c>
      <c r="K983" s="69" t="inlineStr">
        <is>
          <t>https://amazon.com/dp/B0D7Q65NSM</t>
        </is>
      </c>
      <c r="L983" s="114">
        <f>HYPERLINK(Table1410[[#This Row],[Column1]])</f>
        <v/>
      </c>
    </row>
    <row r="984" ht="60" customHeight="1" s="314">
      <c r="A984" s="35" t="inlineStr">
        <is>
          <t>Autel MaxiSYS MS909EV: 205 Same as MS908S PRO II OBD2 Car Diagnostic Scanner, 38+ Service, Active Test, All System Diagnose, Read abd Clear DTCS, FCA Autoauth OS 11</t>
        </is>
      </c>
      <c r="B984" s="35" t="inlineStr">
        <is>
          <t>B099JZ9LPL</t>
        </is>
      </c>
      <c r="C984" s="35" t="inlineStr">
        <is>
          <t>Tablet</t>
        </is>
      </c>
      <c r="D984" s="359" t="n">
        <v>3799</v>
      </c>
      <c r="E984" s="359" t="n">
        <v>0</v>
      </c>
      <c r="F984" s="359" t="n">
        <v>0</v>
      </c>
      <c r="G984" s="68" t="n">
        <v>0</v>
      </c>
      <c r="H984" s="70" t="n">
        <v>0</v>
      </c>
      <c r="I984" s="68" t="n">
        <v>2</v>
      </c>
      <c r="J984" s="69" t="n">
        <v>5</v>
      </c>
      <c r="K984" s="69" t="inlineStr">
        <is>
          <t>https://amazon.com/dp/B099JZ9LPL</t>
        </is>
      </c>
      <c r="L984" s="114">
        <f>HYPERLINK(Table1410[[#This Row],[Column1]])</f>
        <v/>
      </c>
    </row>
    <row r="985" ht="45" customHeight="1" s="314">
      <c r="A985" s="35" t="inlineStr">
        <is>
          <t>Autel MaxiSYS MS906 PRO Scanner, Auto Scan 2.0 Same as MS906MAX, Up of MS906BT MS906BT MS908, MS906PRO Diagnostic Tool for car, 36+ Service, DoIP CAN FD, VAG Guided, FCA SGW, 4G/128G</t>
        </is>
      </c>
      <c r="B985" s="35" t="inlineStr">
        <is>
          <t>B09ZPXKDMM</t>
        </is>
      </c>
      <c r="C985" s="35" t="inlineStr">
        <is>
          <t>Tablet</t>
        </is>
      </c>
      <c r="D985" s="359" t="n">
        <v>1369</v>
      </c>
      <c r="E985" s="359" t="n">
        <v>2392.07</v>
      </c>
      <c r="F985" s="359" t="n">
        <v>0</v>
      </c>
      <c r="G985" s="68" t="n">
        <v>2</v>
      </c>
      <c r="H985" s="70" t="n">
        <v>0</v>
      </c>
      <c r="I985" s="68" t="n">
        <v>7</v>
      </c>
      <c r="J985" s="69" t="n">
        <v>4</v>
      </c>
      <c r="K985" s="69" t="inlineStr">
        <is>
          <t>https://amazon.com/dp/B09ZPXKDMM</t>
        </is>
      </c>
      <c r="L985" s="114">
        <f>HYPERLINK(Table1410[[#This Row],[Column1]])</f>
        <v/>
      </c>
    </row>
    <row r="986" ht="45" customHeight="1" s="314">
      <c r="A986" s="35" t="inlineStr">
        <is>
          <t>Autel MaxiDiag MD600CV Handy Truck Diagnostics Tool, Handheld Wireless Android Touchscreen Tablet for Truck, Light Medium, Heavy Duty Truck Vehicle, 30+ Service</t>
        </is>
      </c>
      <c r="B986" s="35" t="inlineStr">
        <is>
          <t>B0D97HH541</t>
        </is>
      </c>
      <c r="C986" s="35" t="inlineStr">
        <is>
          <t>Handheld</t>
        </is>
      </c>
      <c r="D986" s="359" t="n">
        <v>979</v>
      </c>
      <c r="E986" s="359" t="n">
        <v>4455.29</v>
      </c>
      <c r="F986" s="359" t="n">
        <v>0</v>
      </c>
      <c r="G986" s="68" t="n">
        <v>4</v>
      </c>
      <c r="H986" s="70" t="n">
        <v>0</v>
      </c>
      <c r="I986" s="68" t="n">
        <v>3</v>
      </c>
      <c r="J986" s="69" t="n">
        <v>5</v>
      </c>
      <c r="K986" s="69" t="inlineStr">
        <is>
          <t>https://amazon.com/dp/B0D97HH541</t>
        </is>
      </c>
      <c r="L986" s="114">
        <f>HYPERLINK(Table1410[[#This Row],[Column1]])</f>
        <v/>
      </c>
    </row>
    <row r="987" ht="45" customHeight="1" s="314">
      <c r="A987" s="35" t="inlineStr">
        <is>
          <t>Autel MaxiSys MS909CV Truck Scanner: 2026 Up of MS908CV II Cars Diagnostic Tool, Motor TruSpeed, Topology 2.0, J2534 Pass-Through, 64+ Reset 3K+ Active Test</t>
        </is>
      </c>
      <c r="B987" s="35" t="inlineStr">
        <is>
          <t>B0F5VV46Y4</t>
        </is>
      </c>
      <c r="C987" s="35" t="inlineStr">
        <is>
          <t>Tablet</t>
        </is>
      </c>
      <c r="D987" s="359" t="n">
        <v>4495</v>
      </c>
      <c r="E987" s="359" t="n">
        <v>15926.1</v>
      </c>
      <c r="F987" s="359" t="n">
        <v>0</v>
      </c>
      <c r="G987" s="68" t="n">
        <v>3</v>
      </c>
      <c r="H987" s="70" t="n">
        <v>0</v>
      </c>
      <c r="I987" s="68" t="n"/>
      <c r="J987" s="69" t="n"/>
      <c r="K987" s="69" t="inlineStr">
        <is>
          <t>https://amazon.com/dp/B0F5VV46Y4</t>
        </is>
      </c>
      <c r="L987" s="114">
        <f>HYPERLINK(Table1410[[#This Row],[Column1]])</f>
        <v/>
      </c>
    </row>
    <row r="988" ht="60" customHeight="1" s="314">
      <c r="A988" s="35" t="inlineStr">
        <is>
          <t>Autel TS408 Maxitpms Handheld Tpms Scan And Diagnostic Tool</t>
        </is>
      </c>
      <c r="B988" s="35" t="inlineStr">
        <is>
          <t>B073T6FRTY</t>
        </is>
      </c>
      <c r="C988" s="35" t="inlineStr">
        <is>
          <t>Handheld</t>
        </is>
      </c>
      <c r="D988" s="359" t="n">
        <v>155.03</v>
      </c>
      <c r="E988" s="359" t="n">
        <v>0</v>
      </c>
      <c r="F988" s="359" t="n">
        <v>0</v>
      </c>
      <c r="G988" s="68" t="n">
        <v>0</v>
      </c>
      <c r="H988" s="70" t="n">
        <v>0</v>
      </c>
      <c r="I988" s="68" t="n">
        <v>2</v>
      </c>
      <c r="J988" s="69" t="n">
        <v>5</v>
      </c>
      <c r="K988" s="69" t="inlineStr">
        <is>
          <t>https://amazon.com/dp/B073T6FRTY</t>
        </is>
      </c>
      <c r="L988" s="114">
        <f>HYPERLINK(Table1410[[#This Row],[Column1]])</f>
        <v/>
      </c>
    </row>
    <row r="989" ht="45" customHeight="1" s="314">
      <c r="A989" s="35" t="inlineStr">
        <is>
          <t>Autel MaxiPRO MP808Z-TS Diagnostic Scan Tool for Full TPMS Diagnostics, 2024 Upgraded Version of MP808TS, Bi-Directional Control OBD2 Scanner for All System Diagnose, 30+ Maintenance Functions</t>
        </is>
      </c>
      <c r="B989" s="35" t="inlineStr">
        <is>
          <t>B0CZ9K86W2</t>
        </is>
      </c>
      <c r="C989" s="35" t="inlineStr">
        <is>
          <t>Tablet</t>
        </is>
      </c>
      <c r="D989" s="359" t="n">
        <v>899</v>
      </c>
      <c r="E989" s="359" t="n">
        <v>472.72</v>
      </c>
      <c r="F989" s="359" t="n">
        <v>0</v>
      </c>
      <c r="G989" s="68" t="n">
        <v>1</v>
      </c>
      <c r="H989" s="70" t="n">
        <v>0</v>
      </c>
      <c r="I989" s="68" t="n"/>
      <c r="J989" s="69" t="n"/>
      <c r="K989" s="69" t="inlineStr">
        <is>
          <t>https://amazon.com/dp/B0CZ9K86W2</t>
        </is>
      </c>
      <c r="L989" s="114">
        <f>HYPERLINK(Table1410[[#This Row],[Column1]])</f>
        <v/>
      </c>
    </row>
    <row r="990" ht="45" customHeight="1" s="314">
      <c r="A990" s="35" t="inlineStr">
        <is>
          <t>Autel MaxiSys Elite II PRO w/MV108S Scanner, 2-Year Update ($2590) Elite 2 Pro, Same as Ultra MS909 MS919 Up of MS908S PRO II MK908P, Motor TruSpeed, J2534 ECU Programming &amp; Coding, CAN FD DoIP</t>
        </is>
      </c>
      <c r="B990" s="35" t="inlineStr">
        <is>
          <t>B0F1T9D5B3</t>
        </is>
      </c>
      <c r="C990" s="35" t="inlineStr">
        <is>
          <t>Tablet</t>
        </is>
      </c>
      <c r="D990" s="359" t="n">
        <v>2399</v>
      </c>
      <c r="E990" s="359" t="n">
        <v>5014</v>
      </c>
      <c r="F990" s="359" t="n">
        <v>0</v>
      </c>
      <c r="G990" s="68" t="n">
        <v>2</v>
      </c>
      <c r="H990" s="70" t="n">
        <v>0</v>
      </c>
      <c r="I990" s="68" t="n">
        <v>1</v>
      </c>
      <c r="J990" s="69" t="n">
        <v>5</v>
      </c>
      <c r="K990" s="69" t="inlineStr">
        <is>
          <t>https://amazon.com/dp/B0F1T9D5B3</t>
        </is>
      </c>
      <c r="L990" s="114">
        <f>HYPERLINK(Table1410[[#This Row],[Column1]])</f>
        <v/>
      </c>
    </row>
    <row r="991" ht="45" customHeight="1" s="314">
      <c r="A991" s="35" t="inlineStr">
        <is>
          <t>Autel MX900 Scanner, 2025 Bidirectional Scan Tool with 3000+ Active Test, Up of MK808BT MK808S MX808S, All System Diagnose, DoIP&amp;CAN FD, 40+ Service, Same as MK900 MK900BT</t>
        </is>
      </c>
      <c r="B991" s="35" t="inlineStr">
        <is>
          <t>B07FKZJ86W</t>
        </is>
      </c>
      <c r="C991" s="35" t="inlineStr">
        <is>
          <t>Tablet</t>
        </is>
      </c>
      <c r="D991" s="359" t="n">
        <v>819</v>
      </c>
      <c r="E991" s="359" t="n">
        <v>2117.9</v>
      </c>
      <c r="F991" s="359" t="n">
        <v>0</v>
      </c>
      <c r="G991" s="68" t="n">
        <v>5</v>
      </c>
      <c r="H991" s="70" t="n">
        <v>0</v>
      </c>
      <c r="I991" s="68" t="n">
        <v>141</v>
      </c>
      <c r="J991" s="69" t="n">
        <v>4.4</v>
      </c>
      <c r="K991" s="69" t="inlineStr">
        <is>
          <t>https://amazon.com/dp/B07FKZJ86W</t>
        </is>
      </c>
      <c r="L991" s="114">
        <f>HYPERLINK(Table1410[[#This Row],[Column1]])</f>
        <v/>
      </c>
    </row>
    <row r="992" ht="45" customHeight="1" s="314">
      <c r="A992" s="35" t="inlineStr">
        <is>
          <t>Autel AL529 AutoLink (Upgraded AL519) OBD II Scan Tool EOBD CAN Code Reader</t>
        </is>
      </c>
      <c r="B992" s="35" t="inlineStr">
        <is>
          <t>B073RF37K9</t>
        </is>
      </c>
      <c r="C992" s="35" t="inlineStr">
        <is>
          <t>Handheld</t>
        </is>
      </c>
      <c r="D992" s="359" t="n">
        <v>219.78</v>
      </c>
      <c r="E992" s="359" t="n">
        <v>216.31</v>
      </c>
      <c r="F992" s="359" t="n">
        <v>0</v>
      </c>
      <c r="G992" s="68" t="n">
        <v>2</v>
      </c>
      <c r="H992" s="70" t="n">
        <v>0</v>
      </c>
      <c r="I992" s="68" t="n">
        <v>14</v>
      </c>
      <c r="J992" s="69" t="n">
        <v>4.5</v>
      </c>
      <c r="K992" s="69" t="inlineStr">
        <is>
          <t>https://amazon.com/dp/B073RF37K9</t>
        </is>
      </c>
      <c r="L992" s="114">
        <f>HYPERLINK(Table1410[[#This Row],[Column1]])</f>
        <v/>
      </c>
    </row>
    <row r="993" ht="45" customHeight="1" s="314">
      <c r="A993" s="35" t="inlineStr">
        <is>
          <t>Autel MaxiPRO MP900-TS Scanner: 2026 TPMS Diagnostic Tool MP900TS Upgraded of MK808S-TS/MK900-TS, Android 10.0, 40+ Services, Advanced ECU Function as MS906PRO-TS, CANFD &amp; DOIP, Active Test GE</t>
        </is>
      </c>
      <c r="B993" s="35" t="inlineStr">
        <is>
          <t>B08PD7WNNF</t>
        </is>
      </c>
      <c r="C993" s="35" t="inlineStr">
        <is>
          <t>Tablet</t>
        </is>
      </c>
      <c r="D993" s="359" t="n">
        <v>1099</v>
      </c>
      <c r="E993" s="359" t="n">
        <v>2927.52</v>
      </c>
      <c r="F993" s="359" t="n">
        <v>0</v>
      </c>
      <c r="G993" s="68" t="n">
        <v>3</v>
      </c>
      <c r="H993" s="70" t="n">
        <v>0</v>
      </c>
      <c r="I993" s="68" t="n">
        <v>33</v>
      </c>
      <c r="J993" s="69" t="n">
        <v>4.4</v>
      </c>
      <c r="K993" s="69" t="inlineStr">
        <is>
          <t>https://amazon.com/dp/B08PD7WNNF</t>
        </is>
      </c>
      <c r="L993" s="114">
        <f>HYPERLINK(Table1410[[#This Row],[Column1]])</f>
        <v/>
      </c>
    </row>
    <row r="994" ht="45" customHeight="1" s="314">
      <c r="A994" s="35" t="inlineStr">
        <is>
          <t>Autel MaxiSys MS909 Scanner, Motor TruSpeed Same as MS919 Ultra Diagnostic Tool, Up of MS908S PRO II, ECU Coding &amp; Programming, 40+ Services, Topology 2.0, 3K+ Active Tests, FCA AutoAuth</t>
        </is>
      </c>
      <c r="B994" s="35" t="inlineStr">
        <is>
          <t>B0DGPV3KJM</t>
        </is>
      </c>
      <c r="C994" s="35" t="inlineStr">
        <is>
          <t>Tablet</t>
        </is>
      </c>
      <c r="D994" s="359" t="n">
        <v>2999</v>
      </c>
      <c r="E994" s="359" t="n">
        <v>15724.57</v>
      </c>
      <c r="F994" s="359" t="n">
        <v>0</v>
      </c>
      <c r="G994" s="68" t="n">
        <v>5</v>
      </c>
      <c r="H994" s="70" t="n">
        <v>0</v>
      </c>
      <c r="I994" s="68" t="n">
        <v>2</v>
      </c>
      <c r="J994" s="69" t="n">
        <v>5</v>
      </c>
      <c r="K994" s="69" t="inlineStr">
        <is>
          <t>https://amazon.com/dp/B0DGPV3KJM</t>
        </is>
      </c>
      <c r="L994" s="114">
        <f>HYPERLINK(Table1410[[#This Row],[Column1]])</f>
        <v/>
      </c>
    </row>
    <row r="995" ht="45" customHeight="1" s="314">
      <c r="A995" s="35" t="inlineStr">
        <is>
          <t>Autel MaxiSYS EV Box Upgrade Kit, 2026 Fit Ultra S2 MS919S2 UltraADAS MSUltra MS919 MS909, Same EV Adapters in UltraEV, Full Electric Vehicle Diagnostics, High-Voltage System &amp; Battery Pack Analysis</t>
        </is>
      </c>
      <c r="B995" s="35" t="inlineStr">
        <is>
          <t>B0FG7JR9DW</t>
        </is>
      </c>
      <c r="C995" s="35" t="inlineStr">
        <is>
          <t>Tablet</t>
        </is>
      </c>
      <c r="D995" s="359" t="n">
        <v>899</v>
      </c>
      <c r="E995" s="359" t="n">
        <v>4399.5</v>
      </c>
      <c r="F995" s="359" t="n">
        <v>0</v>
      </c>
      <c r="G995" s="68" t="n">
        <v>5</v>
      </c>
      <c r="H995" s="70" t="n">
        <v>0</v>
      </c>
      <c r="I995" s="68" t="n"/>
      <c r="J995" s="69" t="n"/>
      <c r="K995" s="69" t="inlineStr">
        <is>
          <t>https://amazon.com/dp/B0FG7JR9DW</t>
        </is>
      </c>
      <c r="L995" s="114">
        <f>HYPERLINK(Table1410[[#This Row],[Column1]])</f>
        <v/>
      </c>
    </row>
    <row r="996" ht="30" customHeight="1" s="314">
      <c r="A996" s="35" t="inlineStr">
        <is>
          <t>Autel MaxiSys Ultra EV OBD2 Scanner, 2026 Top EV Lntelligent Diagnostic Scan Tool, Upgrade of Autel Ultra / MS919 / MS909, with EVDiag Kit, High-Voltage System &amp; Battery Pack Analysis, ECU Programming</t>
        </is>
      </c>
      <c r="B996" s="35" t="inlineStr">
        <is>
          <t>B0BMFFT2D1</t>
        </is>
      </c>
      <c r="C996" s="35" t="inlineStr">
        <is>
          <t>Tablet</t>
        </is>
      </c>
      <c r="D996" s="359" t="n">
        <v>4995</v>
      </c>
      <c r="E996" s="359" t="n">
        <v>10919.31</v>
      </c>
      <c r="F996" s="359" t="n">
        <v>0</v>
      </c>
      <c r="G996" s="68" t="n">
        <v>2</v>
      </c>
      <c r="H996" s="70" t="n">
        <v>0</v>
      </c>
      <c r="I996" s="68" t="n">
        <v>8</v>
      </c>
      <c r="J996" s="69" t="n">
        <v>4.4</v>
      </c>
      <c r="K996" s="69" t="inlineStr">
        <is>
          <t>https://amazon.com/dp/B0BMFFT2D1</t>
        </is>
      </c>
      <c r="L996" s="114">
        <f>HYPERLINK(Table1410[[#This Row],[Column1]])</f>
        <v/>
      </c>
    </row>
    <row r="997" ht="45" customHeight="1" s="314">
      <c r="A997" s="35" t="inlineStr">
        <is>
          <t>Autel MaxiSys MS919 Scanner, Same as MS Ultra and Up of MS909/ Ultra Lite/Elite 2, Motor TruSpeed, Color Topology 2.0, ECU Programming Coding, 40+Reset, 3000+ Active Test, [$2000] 5in1 VCMI</t>
        </is>
      </c>
      <c r="B997" s="35" t="inlineStr">
        <is>
          <t>B0F942MRQ5</t>
        </is>
      </c>
      <c r="C997" s="35" t="inlineStr">
        <is>
          <t>Tablet</t>
        </is>
      </c>
      <c r="D997" s="359" t="n">
        <v>3799</v>
      </c>
      <c r="E997" s="359" t="n">
        <v>26890.6</v>
      </c>
      <c r="F997" s="359" t="n">
        <v>0</v>
      </c>
      <c r="G997" s="68" t="n">
        <v>7</v>
      </c>
      <c r="H997" s="70" t="n">
        <v>0</v>
      </c>
      <c r="I997" s="68" t="n"/>
      <c r="J997" s="69" t="n"/>
      <c r="K997" s="69" t="inlineStr">
        <is>
          <t>https://amazon.com/dp/B0F942MRQ5</t>
        </is>
      </c>
      <c r="L997" s="114">
        <f>HYPERLINK(Table1410[[#This Row],[Column1]])</f>
        <v/>
      </c>
    </row>
    <row r="998" ht="60" customHeight="1" s="314">
      <c r="A998" s="35" t="inlineStr">
        <is>
          <t>Autel MaxiSys Ultra S2 AI Scanner, 2026 Top Ultra S2 Intelligent Scan Tool Up of Ultra MS909 MS919, 6-in-1 VCMI2, Topology 3.0, Motor Truspeed, Multi-Point DVI, EV Tests, 48+ Resets, ECU Programming</t>
        </is>
      </c>
      <c r="B998" s="35" t="inlineStr">
        <is>
          <t>B0FG6T4B83</t>
        </is>
      </c>
      <c r="C998" s="35" t="inlineStr">
        <is>
          <t>Tablet</t>
        </is>
      </c>
      <c r="D998" s="359" t="n">
        <v>5681</v>
      </c>
      <c r="E998" s="359" t="n">
        <v>18834.09</v>
      </c>
      <c r="F998" s="359" t="n">
        <v>0</v>
      </c>
      <c r="G998" s="68" t="n">
        <v>3</v>
      </c>
      <c r="H998" s="70" t="n">
        <v>0</v>
      </c>
      <c r="I998" s="68" t="n">
        <v>1</v>
      </c>
      <c r="J998" s="69" t="n">
        <v>5</v>
      </c>
      <c r="K998" s="69" t="inlineStr">
        <is>
          <t>https://amazon.com/dp/B0FG6T4B83</t>
        </is>
      </c>
      <c r="L998" s="114">
        <f>HYPERLINK(Table1410[[#This Row],[Column1]])</f>
        <v/>
      </c>
    </row>
    <row r="999" ht="45" customHeight="1" s="314">
      <c r="A999" s="35" t="inlineStr">
        <is>
          <t>Autel MaxiTPMS TS508K-1</t>
        </is>
      </c>
      <c r="B999" s="35" t="inlineStr">
        <is>
          <t>B07ST2ZX5C</t>
        </is>
      </c>
      <c r="C999" s="35" t="inlineStr">
        <is>
          <t>Handheld</t>
        </is>
      </c>
      <c r="D999" s="359" t="n">
        <v>360</v>
      </c>
      <c r="E999" s="359" t="n">
        <v>1845.99</v>
      </c>
      <c r="F999" s="359" t="n">
        <v>0</v>
      </c>
      <c r="G999" s="68" t="n">
        <v>5</v>
      </c>
      <c r="H999" s="70" t="n">
        <v>0</v>
      </c>
      <c r="I999" s="68" t="n">
        <v>4</v>
      </c>
      <c r="J999" s="69" t="n">
        <v>4.5</v>
      </c>
      <c r="K999" s="69" t="inlineStr">
        <is>
          <t>https://amazon.com/dp/B07ST2ZX5C</t>
        </is>
      </c>
      <c r="L999" s="114">
        <f>HYPERLINK(Table1410[[#This Row],[Column1]])</f>
        <v/>
      </c>
    </row>
    <row r="1000" ht="45" customHeight="1" s="314">
      <c r="A1000" s="35" t="inlineStr">
        <is>
          <t>Autel AL439 OBDII and Electrical Test Tool</t>
        </is>
      </c>
      <c r="B1000" s="35" t="inlineStr">
        <is>
          <t>B0091DJVK2</t>
        </is>
      </c>
      <c r="C1000" s="35" t="inlineStr">
        <is>
          <t>Handheld</t>
        </is>
      </c>
      <c r="D1000" s="359" t="n">
        <v>71.04000000000001</v>
      </c>
      <c r="E1000" s="359" t="n">
        <v>262.91</v>
      </c>
      <c r="F1000" s="359" t="n">
        <v>0</v>
      </c>
      <c r="G1000" s="68" t="n">
        <v>4</v>
      </c>
      <c r="H1000" s="70" t="n">
        <v>0</v>
      </c>
      <c r="I1000" s="68" t="n">
        <v>30</v>
      </c>
      <c r="J1000" s="69" t="n">
        <v>4.3</v>
      </c>
      <c r="K1000" s="69" t="inlineStr">
        <is>
          <t>https://amazon.com/dp/B0091DJVK2</t>
        </is>
      </c>
      <c r="L1000" s="114">
        <f>HYPERLINK(Table1410[[#This Row],[Column1]])</f>
        <v/>
      </c>
    </row>
    <row r="1001" ht="17" customHeight="1" s="314">
      <c r="A1001" s="35" t="inlineStr">
        <is>
          <t>Autel MaxiSys MS908CV II 2026: Upgrade of MS908CV Heavy Duty Truck Diagnostic Scanner, Diesel Scan Tool w/ J2534 Pass-Through, 3000+ Test, 64+ Service Same as MS909CV, Auto Scan 2.0 10 OS</t>
        </is>
      </c>
      <c r="B1001" s="35" t="inlineStr">
        <is>
          <t>B071Y2XY4W</t>
        </is>
      </c>
      <c r="C1001" s="35" t="inlineStr">
        <is>
          <t>Tablet</t>
        </is>
      </c>
      <c r="D1001" s="359" t="n">
        <v>2899</v>
      </c>
      <c r="E1001" s="359" t="n">
        <v>33895.18</v>
      </c>
      <c r="F1001" s="359" t="n">
        <v>0</v>
      </c>
      <c r="G1001" s="68" t="n">
        <v>11</v>
      </c>
      <c r="H1001" s="70" t="n">
        <v>0</v>
      </c>
      <c r="I1001" s="68" t="n">
        <v>6</v>
      </c>
      <c r="J1001" s="69" t="n">
        <v>5</v>
      </c>
      <c r="K1001" s="69" t="inlineStr">
        <is>
          <t>https://amazon.com/dp/B071Y2XY4W</t>
        </is>
      </c>
      <c r="L1001" s="114">
        <f>HYPERLINK(Table1410[[#This Row],[Column1]])</f>
        <v/>
      </c>
    </row>
    <row r="1002" ht="45" customHeight="1" s="314">
      <c r="A1002" s="35" t="inlineStr">
        <is>
          <t>Autel AI Scanner MaxiSYS Ultra S2 2026, Top1 Intelligent Scan Tool 13.7" Up of MSUltra Ultra EV, 6in1 VCMI2, 3.0 Topology, Multi-Point DVI, PID Diagnosis, 48+ Reset, Motor Truspeed, EV Test, 3K+ Tests</t>
        </is>
      </c>
      <c r="B1002" s="35" t="inlineStr">
        <is>
          <t>B0FNCR4PLQ</t>
        </is>
      </c>
      <c r="C1002" s="35" t="inlineStr">
        <is>
          <t>Tablet</t>
        </is>
      </c>
      <c r="D1002" s="359" t="n">
        <v>6249.1</v>
      </c>
      <c r="E1002" s="359" t="n">
        <v>56681.3</v>
      </c>
      <c r="F1002" s="359" t="n">
        <v>0</v>
      </c>
      <c r="G1002" s="68" t="n">
        <v>10</v>
      </c>
      <c r="H1002" s="70" t="n">
        <v>0</v>
      </c>
      <c r="I1002" s="68" t="n">
        <v>5</v>
      </c>
      <c r="J1002" s="69" t="n">
        <v>5</v>
      </c>
      <c r="K1002" s="69" t="inlineStr">
        <is>
          <t>https://amazon.com/dp/B0FNCR4PLQ</t>
        </is>
      </c>
      <c r="L1002" s="114">
        <f>HYPERLINK(Table1410[[#This Row],[Column1]])</f>
        <v/>
      </c>
    </row>
    <row r="1003" ht="17" customHeight="1" s="314">
      <c r="A1003" s="35" t="inlineStr">
        <is>
          <t>Autel CAN FD Adapter — Enables Diagnostics of Vehicles, Compatible with Multiple Models, Model# CANFD-Adapt</t>
        </is>
      </c>
      <c r="B1003" s="35" t="inlineStr">
        <is>
          <t>B09WW3SS61</t>
        </is>
      </c>
      <c r="C1003" s="35" t="inlineStr">
        <is>
          <t>Cable/Adapter</t>
        </is>
      </c>
      <c r="D1003" s="359" t="n">
        <v>99.98999999999999</v>
      </c>
      <c r="E1003" s="359" t="n">
        <v>353.33</v>
      </c>
      <c r="F1003" s="359" t="n">
        <v>0</v>
      </c>
      <c r="G1003" s="68" t="n">
        <v>4</v>
      </c>
      <c r="H1003" s="70" t="n">
        <v>0</v>
      </c>
      <c r="I1003" s="68" t="n"/>
      <c r="J1003" s="69" t="n"/>
      <c r="K1003" s="69" t="inlineStr">
        <is>
          <t>https://amazon.com/dp/B09WW3SS61</t>
        </is>
      </c>
      <c r="L1003" s="114">
        <f>HYPERLINK(Table1410[[#This Row],[Column1]])</f>
        <v/>
      </c>
    </row>
    <row r="1004" ht="45" customHeight="1" s="314">
      <c r="A1004" s="35" t="inlineStr">
        <is>
          <t>Autel MaxiSYS MS906 PRO Scanner, 2026 MS906PRO Same as MS906 MAX, Top Scan Tool 2.0 Up of MP900BT MS906BT MK908 MS908S, ECU Coding, Bidirectional 3000+ Active Test, 40+ Reset, All System, CAN FD DoIP</t>
        </is>
      </c>
      <c r="B1004" s="35" t="inlineStr">
        <is>
          <t>B0F6CJSGMY</t>
        </is>
      </c>
      <c r="C1004" s="35" t="inlineStr">
        <is>
          <t>Tablet</t>
        </is>
      </c>
      <c r="D1004" s="359" t="n">
        <v>1369</v>
      </c>
      <c r="E1004" s="359" t="n">
        <v>2854.91</v>
      </c>
      <c r="F1004" s="359" t="n">
        <v>0</v>
      </c>
      <c r="G1004" s="68" t="n">
        <v>2</v>
      </c>
      <c r="H1004" s="70" t="n">
        <v>0</v>
      </c>
      <c r="I1004" s="68" t="n">
        <v>4</v>
      </c>
      <c r="J1004" s="69" t="n">
        <v>5</v>
      </c>
      <c r="K1004" s="69" t="inlineStr">
        <is>
          <t>https://amazon.com/dp/B0F6CJSGMY</t>
        </is>
      </c>
      <c r="L1004" s="114">
        <f>HYPERLINK(Table1410[[#This Row],[Column1]])</f>
        <v/>
      </c>
    </row>
    <row r="1005" ht="45" customHeight="1" s="314">
      <c r="A1005" s="35" t="inlineStr">
        <is>
          <t>2026 Autel AI Scanner MaxiSYS MS909 S2, Same as Ultra S2, Intelligent Scan Tool Up of Ultra MS919 MS909, 3.0 Topology, VCI2 J2534, PID Analyze Multi-Point DVI, 48+ Reset, Motor, 3K+ Bidirectional Test</t>
        </is>
      </c>
      <c r="B1005" s="35" t="inlineStr">
        <is>
          <t>B0FXMQ6V92</t>
        </is>
      </c>
      <c r="C1005" s="35" t="inlineStr">
        <is>
          <t>Tablet</t>
        </is>
      </c>
      <c r="D1005" s="359" t="n">
        <v>3599</v>
      </c>
      <c r="E1005" s="359" t="n">
        <v>12826.68</v>
      </c>
      <c r="F1005" s="359" t="n">
        <v>0</v>
      </c>
      <c r="G1005" s="68" t="n">
        <v>3</v>
      </c>
      <c r="H1005" s="70" t="n">
        <v>0</v>
      </c>
      <c r="I1005" s="68" t="n">
        <v>1</v>
      </c>
      <c r="J1005" s="69" t="n">
        <v>5</v>
      </c>
      <c r="K1005" s="69" t="inlineStr">
        <is>
          <t>https://amazon.com/dp/B0FXMQ6V92</t>
        </is>
      </c>
      <c r="L1005" s="114">
        <f>HYPERLINK(Table1410[[#This Row],[Column1]])</f>
        <v/>
      </c>
    </row>
    <row r="1006" ht="45" customHeight="1" s="314">
      <c r="A1006" s="35" t="inlineStr">
        <is>
          <t>Autel MaxiSys Ultra EV OBD2 Scanner, Diagnostic Scan Tool, High Voltage Battery Pack Analysis, Motor TruSpeed Repair, Better Ultra MS919 MS909, w/EVDiag Box, ECU Programming, 5-in-1 VCMI, 40+ Reset</t>
        </is>
      </c>
      <c r="B1006" s="35" t="inlineStr">
        <is>
          <t>B0BLSLC8SR</t>
        </is>
      </c>
      <c r="C1006" s="35" t="inlineStr">
        <is>
          <t>Tablet</t>
        </is>
      </c>
      <c r="D1006" s="359" t="n">
        <v>4995</v>
      </c>
      <c r="E1006" s="359" t="n">
        <v>56145.25</v>
      </c>
      <c r="F1006" s="359" t="n">
        <v>0</v>
      </c>
      <c r="G1006" s="68" t="n">
        <v>11</v>
      </c>
      <c r="H1006" s="70" t="n">
        <v>0</v>
      </c>
      <c r="I1006" s="68" t="n">
        <v>7</v>
      </c>
      <c r="J1006" s="69" t="n">
        <v>5</v>
      </c>
      <c r="K1006" s="69" t="inlineStr">
        <is>
          <t>https://amazon.com/dp/B0BLSLC8SR</t>
        </is>
      </c>
      <c r="L1006" s="114">
        <f>HYPERLINK(Table1410[[#This Row],[Column1]])</f>
        <v/>
      </c>
    </row>
    <row r="1007" ht="45" customHeight="1" s="314">
      <c r="A1007" s="35" t="inlineStr">
        <is>
          <t>Autel MaxiSys MS908CV II Heavy Duty Truck Bidirectional Scanner, 39+ CV Services, All System,Guided Function,Level-up Ver. of MS906 CV,Same as MS909CV</t>
        </is>
      </c>
      <c r="B1007" s="35" t="inlineStr">
        <is>
          <t>B0F6LG1GPF</t>
        </is>
      </c>
      <c r="C1007" s="35" t="inlineStr">
        <is>
          <t>Tablet</t>
        </is>
      </c>
      <c r="D1007" s="359" t="n">
        <v>2899</v>
      </c>
      <c r="E1007" s="359" t="n">
        <v>36018.23</v>
      </c>
      <c r="F1007" s="359" t="n">
        <v>0</v>
      </c>
      <c r="G1007" s="68" t="n">
        <v>13</v>
      </c>
      <c r="H1007" s="70" t="n">
        <v>0</v>
      </c>
      <c r="I1007" s="68" t="n">
        <v>1</v>
      </c>
      <c r="J1007" s="69" t="n">
        <v>5</v>
      </c>
      <c r="K1007" s="69" t="inlineStr">
        <is>
          <t>https://amazon.com/dp/B0F6LG1GPF</t>
        </is>
      </c>
      <c r="L1007" s="114">
        <f>HYPERLINK(Table1410[[#This Row],[Column1]])</f>
        <v/>
      </c>
    </row>
    <row r="1008" ht="45" customHeight="1" s="314">
      <c r="A1008" s="35" t="inlineStr">
        <is>
          <t>Autel MaxiSYS MS906 Pro V2.0 2026 Professional Automotive Scanner, Same as MS906 MAX, Up of MS906BT MS908 MK908, Bidirectional 3K+ Tests,36+ Reset,CAN FD DoIP,Full System OBD2 Scan for 15000+ Vehicles</t>
        </is>
      </c>
      <c r="B1008" s="35" t="inlineStr">
        <is>
          <t>B0DCFZF95X</t>
        </is>
      </c>
      <c r="C1008" s="35" t="inlineStr">
        <is>
          <t>Tablet</t>
        </is>
      </c>
      <c r="D1008" s="359" t="n">
        <v>1369</v>
      </c>
      <c r="E1008" s="359" t="n">
        <v>0</v>
      </c>
      <c r="F1008" s="359" t="n">
        <v>0</v>
      </c>
      <c r="G1008" s="68" t="n">
        <v>0</v>
      </c>
      <c r="H1008" s="70" t="n">
        <v>0</v>
      </c>
      <c r="I1008" s="68" t="n">
        <v>4</v>
      </c>
      <c r="J1008" s="69" t="n">
        <v>5</v>
      </c>
      <c r="K1008" s="69" t="inlineStr">
        <is>
          <t>https://amazon.com/dp/B0DCFZF95X</t>
        </is>
      </c>
      <c r="L1008" s="114">
        <f>HYPERLINK(Table1410[[#This Row],[Column1]])</f>
        <v/>
      </c>
    </row>
    <row r="1009" ht="17" customHeight="1" s="314">
      <c r="A1009" s="35" t="inlineStr">
        <is>
          <t>Autel MaxiCOM MK808Z-TS Upgrade of MK808S MK808Z US Ver. of MaxiCOM MK808S-TS MX808S-TS TPMS Programming Tool 28+ Service 3000+ Test Bidirectional Tool All System Diagnoses FCA SGW</t>
        </is>
      </c>
      <c r="B1009" s="35" t="inlineStr">
        <is>
          <t>B0FKGSRQL9</t>
        </is>
      </c>
      <c r="C1009" s="35" t="inlineStr">
        <is>
          <t>Tablet</t>
        </is>
      </c>
      <c r="D1009" s="359" t="n">
        <v>649</v>
      </c>
      <c r="E1009" s="359" t="n">
        <v>386.45</v>
      </c>
      <c r="F1009" s="359" t="n">
        <v>0</v>
      </c>
      <c r="G1009" s="68" t="n">
        <v>1</v>
      </c>
      <c r="H1009" s="70" t="n">
        <v>0</v>
      </c>
      <c r="I1009" s="68" t="n"/>
      <c r="J1009" s="69" t="n"/>
      <c r="K1009" s="69" t="inlineStr">
        <is>
          <t>https://amazon.com/dp/B0FKGSRQL9</t>
        </is>
      </c>
      <c r="L1009" s="114">
        <f>HYPERLINK(Table1410[[#This Row],[Column1]])</f>
        <v/>
      </c>
    </row>
    <row r="1010" ht="45" customHeight="1" s="314">
      <c r="A1010" s="35" t="inlineStr">
        <is>
          <t>Autel - Mx-Sensor 1-Sensor Press-in Metal Valve Stem (1-SENSORM)</t>
        </is>
      </c>
      <c r="B1010" s="35" t="inlineStr">
        <is>
          <t>B075RG8G7Y</t>
        </is>
      </c>
      <c r="C1010" s="35" t="inlineStr">
        <is>
          <t>Other</t>
        </is>
      </c>
      <c r="D1010" s="359" t="n">
        <v>44.99</v>
      </c>
      <c r="E1010" s="359" t="n">
        <v>0</v>
      </c>
      <c r="F1010" s="359" t="n">
        <v>0</v>
      </c>
      <c r="G1010" s="68" t="n">
        <v>0</v>
      </c>
      <c r="H1010" s="70" t="n">
        <v>0</v>
      </c>
      <c r="I1010" s="68" t="n">
        <v>23</v>
      </c>
      <c r="J1010" s="69" t="n">
        <v>4.7</v>
      </c>
      <c r="K1010" s="69" t="inlineStr">
        <is>
          <t>https://amazon.com/dp/B075RG8G7Y</t>
        </is>
      </c>
      <c r="L1010" s="114">
        <f>HYPERLINK(Table1410[[#This Row],[Column1]])</f>
        <v/>
      </c>
    </row>
    <row r="1011" ht="45" customHeight="1" s="314">
      <c r="A1011" s="35" t="inlineStr">
        <is>
          <t>Autel - Maxisys Ultra Diagnostic Tablet with Advanced Vcmi (MSULTRA)</t>
        </is>
      </c>
      <c r="B1011" s="35" t="inlineStr">
        <is>
          <t>B09WW69LMX</t>
        </is>
      </c>
      <c r="C1011" s="35" t="inlineStr">
        <is>
          <t>Tablet</t>
        </is>
      </c>
      <c r="D1011" s="359" t="n">
        <v>5125</v>
      </c>
      <c r="E1011" s="359" t="n">
        <v>65780.75</v>
      </c>
      <c r="F1011" s="359" t="n">
        <v>0</v>
      </c>
      <c r="G1011" s="68" t="n">
        <v>16</v>
      </c>
      <c r="H1011" s="70" t="n">
        <v>0</v>
      </c>
      <c r="I1011" s="68" t="n"/>
      <c r="J1011" s="69" t="n"/>
      <c r="K1011" s="69" t="inlineStr">
        <is>
          <t>https://amazon.com/dp/B09WW69LMX</t>
        </is>
      </c>
      <c r="L1011" s="114">
        <f>HYPERLINK(Table1410[[#This Row],[Column1]])</f>
        <v/>
      </c>
    </row>
    <row r="1012" ht="45" customHeight="1" s="314">
      <c r="A1012" s="35" t="inlineStr">
        <is>
          <t>Autel Original BMW-20 Pin Diagnostic Adapter, 20 Pin OBD1 Male to 16 Pin OBD2 Female Connector for BMW 20 Pin, Work with OBD II Scanners OBD2 Diagnostic Tool</t>
        </is>
      </c>
      <c r="B1012" s="35" t="inlineStr">
        <is>
          <t>B0D632NLSM</t>
        </is>
      </c>
      <c r="C1012" s="35" t="inlineStr">
        <is>
          <t>Cable/Adapter</t>
        </is>
      </c>
      <c r="D1012" s="359" t="n">
        <v>19.61133333333333</v>
      </c>
      <c r="E1012" s="359" t="n">
        <v>5728.03</v>
      </c>
      <c r="F1012" s="359" t="n">
        <v>0</v>
      </c>
      <c r="G1012" s="68" t="n">
        <v>286</v>
      </c>
      <c r="H1012" s="70" t="n">
        <v>0</v>
      </c>
      <c r="I1012" s="68" t="n">
        <v>21</v>
      </c>
      <c r="J1012" s="69" t="n">
        <v>4.9</v>
      </c>
      <c r="K1012" s="69" t="inlineStr">
        <is>
          <t>https://amazon.com/dp/B0D632NLSM</t>
        </is>
      </c>
      <c r="L1012" s="114">
        <f>HYPERLINK(Table1410[[#This Row],[Column1]])</f>
        <v/>
      </c>
    </row>
    <row r="1013" ht="45" customHeight="1" s="314">
      <c r="A1013" s="35" t="inlineStr">
        <is>
          <t>Autel Original OBD1 to OBD2 Adapter Cable for VW and Audi, OBDI 2+2 Pin Male to OBDII 16 Pin Female Extension Cable, 2x2 Pin to 16Pin OBD II Connector</t>
        </is>
      </c>
      <c r="B1013" s="35" t="inlineStr">
        <is>
          <t>B0F4CKKVXF</t>
        </is>
      </c>
      <c r="C1013" s="35" t="inlineStr">
        <is>
          <t>Cable/Adapter</t>
        </is>
      </c>
      <c r="D1013" s="359" t="n">
        <v>16.594</v>
      </c>
      <c r="E1013" s="359" t="n">
        <v>1076.06</v>
      </c>
      <c r="F1013" s="359" t="n">
        <v>0</v>
      </c>
      <c r="G1013" s="68" t="n">
        <v>55</v>
      </c>
      <c r="H1013" s="70" t="n">
        <v>0</v>
      </c>
      <c r="I1013" s="68" t="n">
        <v>8</v>
      </c>
      <c r="J1013" s="69" t="n">
        <v>3.6</v>
      </c>
      <c r="K1013" s="69" t="inlineStr">
        <is>
          <t>https://amazon.com/dp/B0F4CKKVXF</t>
        </is>
      </c>
      <c r="L1013" s="114">
        <f>HYPERLINK(Table1410[[#This Row],[Column1]])</f>
        <v/>
      </c>
    </row>
    <row r="1014" ht="30" customHeight="1" s="314">
      <c r="A1014" s="35" t="inlineStr">
        <is>
          <t>Autel MaxiCheck MX900 with MV108 Bidirectional OBD2 Scanner Updated of MK900 MK808 MK808S MK808BT Android 11, 40+ Service Functions 8 inch All System Diagnostics Scan Tool</t>
        </is>
      </c>
      <c r="B1014" s="35" t="inlineStr">
        <is>
          <t>B0CZ314PLQ</t>
        </is>
      </c>
      <c r="C1014" s="35" t="inlineStr">
        <is>
          <t>Tablet</t>
        </is>
      </c>
      <c r="D1014" s="359" t="n">
        <v>589</v>
      </c>
      <c r="E1014" s="359" t="n">
        <v>4613.81</v>
      </c>
      <c r="F1014" s="359" t="n">
        <v>0</v>
      </c>
      <c r="G1014" s="68" t="n">
        <v>8</v>
      </c>
      <c r="H1014" s="70" t="n">
        <v>0</v>
      </c>
      <c r="I1014" s="68" t="n">
        <v>4</v>
      </c>
      <c r="J1014" s="69" t="n">
        <v>5</v>
      </c>
      <c r="K1014" s="69" t="inlineStr">
        <is>
          <t>https://amazon.com/dp/B0CZ314PLQ</t>
        </is>
      </c>
      <c r="L1014" s="114">
        <f>HYPERLINK(Table1410[[#This Row],[Column1]])</f>
        <v/>
      </c>
    </row>
    <row r="1015" ht="45" customHeight="1" s="314">
      <c r="A1015" s="35" t="inlineStr">
        <is>
          <t>Autel Original OBD2 12+8 Adapter for Chrysler, OBD II Bypass Cable Gateway Protocol, Security Bypass 12 8 Connector Universal for FCA SGW Car, Fit for All Scanner MK808S MX808S MX900 MS906 Pro MS908S</t>
        </is>
      </c>
      <c r="B1015" s="35" t="inlineStr">
        <is>
          <t>B0FR9FXLRR</t>
        </is>
      </c>
      <c r="C1015" s="35" t="inlineStr">
        <is>
          <t>Cable/Adapter</t>
        </is>
      </c>
      <c r="D1015" s="359" t="n">
        <v>25.48666666666666</v>
      </c>
      <c r="E1015" s="359" t="n">
        <v>756.6899999999999</v>
      </c>
      <c r="F1015" s="359" t="n">
        <v>0</v>
      </c>
      <c r="G1015" s="68" t="n">
        <v>29</v>
      </c>
      <c r="H1015" s="70" t="n">
        <v>0</v>
      </c>
      <c r="I1015" s="68" t="n">
        <v>10</v>
      </c>
      <c r="J1015" s="69" t="n">
        <v>4.2</v>
      </c>
      <c r="K1015" s="69" t="inlineStr">
        <is>
          <t>https://amazon.com/dp/B0FR9FXLRR</t>
        </is>
      </c>
      <c r="L1015" s="114">
        <f>HYPERLINK(Table1410[[#This Row],[Column1]])</f>
        <v/>
      </c>
    </row>
    <row r="1016" ht="45" customHeight="1" s="314">
      <c r="A1016" s="35" t="inlineStr">
        <is>
          <t>Autel MaxiIM KM100(E) Diagnostic Tool, 2026 Car OBD2 Scanner Lifetime Fre.e Updates, 2GB &amp; 64GB Android 9.0, for Home Mechanics &amp; DIYers</t>
        </is>
      </c>
      <c r="B1016" s="35" t="inlineStr">
        <is>
          <t>B09JW8T7WJ</t>
        </is>
      </c>
      <c r="C1016" s="35" t="inlineStr">
        <is>
          <t>Key</t>
        </is>
      </c>
      <c r="D1016" s="359" t="n">
        <v>535</v>
      </c>
      <c r="E1016" s="359" t="n">
        <v>0</v>
      </c>
      <c r="F1016" s="359" t="n">
        <v>0</v>
      </c>
      <c r="G1016" s="68" t="n">
        <v>0</v>
      </c>
      <c r="H1016" s="70" t="n">
        <v>0</v>
      </c>
      <c r="I1016" s="68" t="n">
        <v>15</v>
      </c>
      <c r="J1016" s="69" t="n">
        <v>5</v>
      </c>
      <c r="K1016" s="69" t="inlineStr">
        <is>
          <t>https://amazon.com/dp/B09JW8T7WJ</t>
        </is>
      </c>
      <c r="L1016" s="114">
        <f>HYPERLINK(Table1410[[#This Row],[Column1]])</f>
        <v/>
      </c>
    </row>
    <row r="1017" ht="30" customHeight="1" s="314">
      <c r="A1017" s="35" t="inlineStr">
        <is>
          <t>Autel MaxiSYS MS909CV Top Intelligent Diesel Truck CV Scanner, 2026 Up of MS908CV II Heavy Duty Diagnostic with OE-Level J2534 Functions, Motor TruSpeed, Topology 2.0, 64+ Service, 3000+ Active Tests</t>
        </is>
      </c>
      <c r="B1017" s="35" t="inlineStr">
        <is>
          <t>B0FWRNZBMX</t>
        </is>
      </c>
      <c r="C1017" s="35" t="inlineStr">
        <is>
          <t>Tablet</t>
        </is>
      </c>
      <c r="D1017" s="359" t="n">
        <v>5151.28</v>
      </c>
      <c r="E1017" s="359" t="n">
        <v>15453.84</v>
      </c>
      <c r="F1017" s="359" t="n">
        <v>0</v>
      </c>
      <c r="G1017" s="68" t="n">
        <v>3</v>
      </c>
      <c r="H1017" s="70" t="n">
        <v>0</v>
      </c>
      <c r="I1017" s="68" t="n">
        <v>5</v>
      </c>
      <c r="J1017" s="69" t="n">
        <v>5</v>
      </c>
      <c r="K1017" s="69" t="inlineStr">
        <is>
          <t>https://amazon.com/dp/B0FWRNZBMX</t>
        </is>
      </c>
      <c r="L1017" s="114">
        <f>HYPERLINK(Table1410[[#This Row],[Column1]])</f>
        <v/>
      </c>
    </row>
    <row r="1018" ht="45" customHeight="1" s="314">
      <c r="A1018" s="35" t="inlineStr">
        <is>
          <t>Autel MaxiPRO MP808S KIT Scanner - 2026 2-Year Update($490) Ver. of MaxiPRO MP900-BT MP900 KIT, PR0 ECU C0ciing, 3K+ Active Tests as MS906 PRO, 31+ Resets, Up of MP808BT PRO MK808S MK900 MX900</t>
        </is>
      </c>
      <c r="B1018" s="35" t="inlineStr">
        <is>
          <t>B07VJKM2HV</t>
        </is>
      </c>
      <c r="C1018" s="35" t="inlineStr">
        <is>
          <t>Tablet</t>
        </is>
      </c>
      <c r="D1018" s="359" t="n">
        <v>888.98</v>
      </c>
      <c r="E1018" s="359" t="n">
        <v>17153.18</v>
      </c>
      <c r="F1018" s="359" t="n">
        <v>0</v>
      </c>
      <c r="G1018" s="68" t="n">
        <v>23</v>
      </c>
      <c r="H1018" s="70" t="n">
        <v>0</v>
      </c>
      <c r="I1018" s="68" t="n">
        <v>272</v>
      </c>
      <c r="J1018" s="69" t="n">
        <v>4.5</v>
      </c>
      <c r="K1018" s="69" t="inlineStr">
        <is>
          <t>https://amazon.com/dp/B07VJKM2HV</t>
        </is>
      </c>
      <c r="L1018" s="114">
        <f>HYPERLINK(Table1410[[#This Row],[Column1]])</f>
        <v/>
      </c>
    </row>
    <row r="1019" ht="60" customHeight="1" s="314">
      <c r="A1019" s="35" t="inlineStr">
        <is>
          <t>Autel MaxiDiag MD906PRO OBD2 Scanner, 2025 MD906 PRO All Sys Diagnostic Tool Same as MD909 PRO, 11 Services, CAN FD, BT Lite of MX808S, 10 OBDII Test Modes, FCA, Free Update, Up of MD808Pro MD806</t>
        </is>
      </c>
      <c r="B1019" s="35" t="inlineStr">
        <is>
          <t>B072XH9GLW</t>
        </is>
      </c>
      <c r="C1019" s="35" t="inlineStr">
        <is>
          <t>Handheld</t>
        </is>
      </c>
      <c r="D1019" s="359" t="n">
        <v>299</v>
      </c>
      <c r="E1019" s="359" t="n">
        <v>2688.34</v>
      </c>
      <c r="F1019" s="359" t="n">
        <v>0</v>
      </c>
      <c r="G1019" s="68" t="n">
        <v>22</v>
      </c>
      <c r="H1019" s="70" t="n">
        <v>0</v>
      </c>
      <c r="I1019" s="68" t="n">
        <v>925</v>
      </c>
      <c r="J1019" s="69" t="n">
        <v>4.3</v>
      </c>
      <c r="K1019" s="69" t="inlineStr">
        <is>
          <t>https://amazon.com/dp/B072XH9GLW</t>
        </is>
      </c>
      <c r="L1019" s="114">
        <f>HYPERLINK(Table1410[[#This Row],[Column1]])</f>
        <v/>
      </c>
    </row>
    <row r="1020" ht="45" customHeight="1" s="314">
      <c r="A1020" s="35" t="inlineStr">
        <is>
          <t>Autel Scanner MaxiCOM MK900: 2026 MK900 Same as MK900BT MX900, 8" Bidirectional Diagnostic Tool Up of MK808S MK808BT PRO MX808S MK808Z, 40+ Reset, 3K+ Active Tests, CAN-FD&amp;DOIP, All Sys, FCA 11 OS</t>
        </is>
      </c>
      <c r="B1020" s="35" t="inlineStr">
        <is>
          <t>B0F5MK8RS4</t>
        </is>
      </c>
      <c r="C1020" s="35" t="inlineStr">
        <is>
          <t>Tablet</t>
        </is>
      </c>
      <c r="D1020" s="359" t="n">
        <v>559</v>
      </c>
      <c r="E1020" s="359" t="n">
        <v>27729.72</v>
      </c>
      <c r="F1020" s="359" t="n">
        <v>0</v>
      </c>
      <c r="G1020" s="68" t="n">
        <v>47</v>
      </c>
      <c r="H1020" s="70" t="n">
        <v>0</v>
      </c>
      <c r="I1020" s="68" t="n">
        <v>16</v>
      </c>
      <c r="J1020" s="69" t="n">
        <v>4.4</v>
      </c>
      <c r="K1020" s="69" t="inlineStr">
        <is>
          <t>https://amazon.com/dp/B0F5MK8RS4</t>
        </is>
      </c>
      <c r="L1020" s="114">
        <f>HYPERLINK(Table1410[[#This Row],[Column1]])</f>
        <v/>
      </c>
    </row>
    <row r="1021" ht="45" customHeight="1" s="314">
      <c r="A1021" s="35" t="inlineStr">
        <is>
          <t>Autel MaxiPRO MP808Z-TS Scanner (2-Year Free Updates) - New ECU Coding Scan Tool with TPMS Relearn Rest Programming, Upgraded of MP808BT PRO /MP808BT, Active Test, 36+Service, Full System Diagnose</t>
        </is>
      </c>
      <c r="B1021" s="35" t="inlineStr">
        <is>
          <t>B0C1S6P4RN</t>
        </is>
      </c>
      <c r="C1021" s="35" t="inlineStr">
        <is>
          <t>Tablet</t>
        </is>
      </c>
      <c r="D1021" s="359" t="n">
        <v>964.84</v>
      </c>
      <c r="E1021" s="359" t="n">
        <v>4429.12</v>
      </c>
      <c r="F1021" s="359" t="n">
        <v>0</v>
      </c>
      <c r="G1021" s="68" t="n">
        <v>5</v>
      </c>
      <c r="H1021" s="70" t="n">
        <v>0</v>
      </c>
      <c r="I1021" s="68" t="n">
        <v>4</v>
      </c>
      <c r="J1021" s="69" t="n">
        <v>4.6</v>
      </c>
      <c r="K1021" s="69" t="inlineStr">
        <is>
          <t>https://amazon.com/dp/B0C1S6P4RN</t>
        </is>
      </c>
      <c r="L1021" s="114">
        <f>HYPERLINK(Table1410[[#This Row],[Column1]])</f>
        <v/>
      </c>
    </row>
    <row r="1022" ht="45" customHeight="1" s="314">
      <c r="A1022" s="35" t="inlineStr">
        <is>
          <t>Autel MaxiSys Ultra Full System Intelligent Diagnostic Scan Tool, 2026 Upgraded of EliteII/MS909/MS919, Top Auto Diagnostic Tool with 5-in-1 VCMI[$2000], ECU Programming &amp; Coding, AutoAuth for FCA SGW</t>
        </is>
      </c>
      <c r="B1022" s="35" t="inlineStr">
        <is>
          <t>B0BNBBRZFY</t>
        </is>
      </c>
      <c r="C1022" s="35" t="inlineStr">
        <is>
          <t>Tablet</t>
        </is>
      </c>
      <c r="D1022" s="359" t="n">
        <v>4356.41</v>
      </c>
      <c r="E1022" s="359" t="n">
        <v>92568.48</v>
      </c>
      <c r="F1022" s="359" t="n">
        <v>0</v>
      </c>
      <c r="G1022" s="68" t="n">
        <v>31</v>
      </c>
      <c r="H1022" s="70" t="n">
        <v>0</v>
      </c>
      <c r="I1022" s="68" t="n">
        <v>2</v>
      </c>
      <c r="J1022" s="69" t="n">
        <v>5</v>
      </c>
      <c r="K1022" s="69" t="inlineStr">
        <is>
          <t>https://amazon.com/dp/B0BNBBRZFY</t>
        </is>
      </c>
      <c r="L1022" s="114">
        <f>HYPERLINK(Table1410[[#This Row],[Column1]])</f>
        <v/>
      </c>
    </row>
    <row r="1023" ht="45" customHeight="1" s="314">
      <c r="A1023" s="35" t="inlineStr">
        <is>
          <t>Autel Scanner MaxiPRO MP900TS: 2024 8IN MP900-TS Up of MaxiSys MS906TS/ MP808S-TS/ MX900TS/ MP900BT w/ 40+ Reset, Pro ECU Coding, Full TPMS as MS906 PRO-TS, 3000+ Bidirectional, DoIP CAN-FD, FCA SGW</t>
        </is>
      </c>
      <c r="B1023" s="35" t="inlineStr">
        <is>
          <t>B08LV75DXV</t>
        </is>
      </c>
      <c r="C1023" s="35" t="inlineStr">
        <is>
          <t>Tablet</t>
        </is>
      </c>
      <c r="D1023" s="359" t="n">
        <v>1379</v>
      </c>
      <c r="E1023" s="359" t="n">
        <v>8235.5</v>
      </c>
      <c r="F1023" s="359" t="n">
        <v>0</v>
      </c>
      <c r="G1023" s="68" t="n">
        <v>7</v>
      </c>
      <c r="H1023" s="70" t="n">
        <v>0</v>
      </c>
      <c r="I1023" s="68" t="n">
        <v>61</v>
      </c>
      <c r="J1023" s="69" t="n">
        <v>4.1</v>
      </c>
      <c r="K1023" s="69" t="inlineStr">
        <is>
          <t>https://amazon.com/dp/B08LV75DXV</t>
        </is>
      </c>
      <c r="L1023" s="114">
        <f>HYPERLINK(Table1410[[#This Row],[Column1]])</f>
        <v/>
      </c>
    </row>
    <row r="1024" ht="17" customHeight="1" s="314">
      <c r="A1024" s="35" t="inlineStr">
        <is>
          <t>Autel CAN FD Adapter for MY2020 GM Models, Compatible with Autel VCI Supported Autel Vehicle Communication Interface (VCI) to Communicate with Applicable Vehicles</t>
        </is>
      </c>
      <c r="B1024" s="35" t="inlineStr">
        <is>
          <t>B0D2NC4J51</t>
        </is>
      </c>
      <c r="C1024" s="35" t="inlineStr">
        <is>
          <t>Cable/Adapter</t>
        </is>
      </c>
      <c r="D1024" s="359" t="n">
        <v>128.4</v>
      </c>
      <c r="E1024" s="359" t="n">
        <v>1372.84</v>
      </c>
      <c r="F1024" s="359" t="n">
        <v>0</v>
      </c>
      <c r="G1024" s="68" t="n">
        <v>11</v>
      </c>
      <c r="H1024" s="70" t="n">
        <v>0</v>
      </c>
      <c r="I1024" s="68" t="n"/>
      <c r="J1024" s="69" t="n"/>
      <c r="K1024" s="69" t="inlineStr">
        <is>
          <t>https://amazon.com/dp/B0D2NC4J51</t>
        </is>
      </c>
      <c r="L1024" s="114">
        <f>HYPERLINK(Table1410[[#This Row],[Column1]])</f>
        <v/>
      </c>
    </row>
    <row r="1025" ht="45" customHeight="1" s="314">
      <c r="A1025" s="35" t="inlineStr">
        <is>
          <t>Autel Scanner MaxiCOM MK808Z-BT (Same As MK808BT Pro) with 60$ MV108: New Upgraded of MK808BT/MK808S, Android 11 Based Bi-Directional Control Scan Tool, 28+ Services, All System Diagnostics(Original)</t>
        </is>
      </c>
      <c r="B1025" s="35" t="inlineStr">
        <is>
          <t>B0BVYPY1MN</t>
        </is>
      </c>
      <c r="C1025" s="35" t="inlineStr">
        <is>
          <t>Tablet</t>
        </is>
      </c>
      <c r="D1025" s="359" t="n">
        <v>521.55</v>
      </c>
      <c r="E1025" s="359" t="n">
        <v>1391.58</v>
      </c>
      <c r="F1025" s="359" t="n">
        <v>0</v>
      </c>
      <c r="G1025" s="68" t="n">
        <v>3</v>
      </c>
      <c r="H1025" s="70" t="n">
        <v>0</v>
      </c>
      <c r="I1025" s="68" t="n">
        <v>9</v>
      </c>
      <c r="J1025" s="69" t="n">
        <v>5</v>
      </c>
      <c r="K1025" s="69" t="inlineStr">
        <is>
          <t>https://amazon.com/dp/B0BVYPY1MN</t>
        </is>
      </c>
      <c r="L1025" s="114">
        <f>HYPERLINK(Table1410[[#This Row],[Column1]])</f>
        <v/>
      </c>
    </row>
    <row r="1026" ht="45" customHeight="1" s="314">
      <c r="A1026" s="35" t="inlineStr">
        <is>
          <t>Autel S2</t>
        </is>
      </c>
      <c r="B1026" s="35" t="inlineStr">
        <is>
          <t>B09JJZS2LQ</t>
        </is>
      </c>
      <c r="C1026" s="35" t="inlineStr">
        <is>
          <t>Tablet</t>
        </is>
      </c>
      <c r="D1026" s="359" t="n">
        <v>4495</v>
      </c>
      <c r="E1026" s="359" t="n">
        <v>7238.77</v>
      </c>
      <c r="F1026" s="359" t="n">
        <v>0</v>
      </c>
      <c r="G1026" s="68" t="n">
        <v>2</v>
      </c>
      <c r="H1026" s="70" t="n">
        <v>0</v>
      </c>
      <c r="I1026" s="68" t="n">
        <v>8</v>
      </c>
      <c r="J1026" s="69" t="n">
        <v>3.9</v>
      </c>
      <c r="K1026" s="69" t="inlineStr">
        <is>
          <t>https://amazon.com/dp/B09JJZS2LQ</t>
        </is>
      </c>
      <c r="L1026" s="114">
        <f>HYPERLINK(Table1410[[#This Row],[Column1]])</f>
        <v/>
      </c>
    </row>
    <row r="1027" ht="30" customHeight="1" s="314">
      <c r="A1027" s="35" t="inlineStr">
        <is>
          <t>Autel Diagnostic DIY Tools, Autel AutoLink AL329, OBD II/EOBD Handheld Code Reader W/Patented One-Click I/M Readiness Key</t>
        </is>
      </c>
      <c r="B1027" s="35" t="inlineStr">
        <is>
          <t>B0CFRL8275</t>
        </is>
      </c>
      <c r="C1027" s="35" t="inlineStr">
        <is>
          <t>Handheld</t>
        </is>
      </c>
      <c r="D1027" s="359" t="n">
        <v>52.54</v>
      </c>
      <c r="E1027" s="359" t="n">
        <v>0</v>
      </c>
      <c r="F1027" s="359" t="n">
        <v>0</v>
      </c>
      <c r="G1027" s="68" t="n">
        <v>0</v>
      </c>
      <c r="H1027" s="70" t="n">
        <v>0</v>
      </c>
      <c r="I1027" s="68" t="n">
        <v>3</v>
      </c>
      <c r="J1027" s="69" t="n">
        <v>5</v>
      </c>
      <c r="K1027" s="69" t="inlineStr">
        <is>
          <t>https://amazon.com/dp/B0CFRL8275</t>
        </is>
      </c>
      <c r="L1027" s="114">
        <f>HYPERLINK(Table1410[[#This Row],[Column1]])</f>
        <v/>
      </c>
    </row>
    <row r="1028" ht="45" customHeight="1" s="314">
      <c r="A1028" s="35" t="inlineStr">
        <is>
          <t>Autel Scanner MaxiCOM MK808S-TS, TPMS Programming/Relearn Tool, 2023 New Ver. of MK808S / TS608, OBD2 Diagnostic Scan Tool with Complete TPMS Service, Bi-Directional Control, 28+ Service, FCA SGW</t>
        </is>
      </c>
      <c r="B1028" s="35" t="inlineStr">
        <is>
          <t>B094VP8FLB</t>
        </is>
      </c>
      <c r="C1028" s="35" t="inlineStr">
        <is>
          <t>Tablet</t>
        </is>
      </c>
      <c r="D1028" s="359" t="n">
        <v>649</v>
      </c>
      <c r="E1028" s="359" t="n">
        <v>2213.6</v>
      </c>
      <c r="F1028" s="359" t="n">
        <v>0</v>
      </c>
      <c r="G1028" s="68" t="n">
        <v>3</v>
      </c>
      <c r="H1028" s="70" t="n">
        <v>0</v>
      </c>
      <c r="I1028" s="68" t="n">
        <v>23</v>
      </c>
      <c r="J1028" s="69" t="n">
        <v>4.4</v>
      </c>
      <c r="K1028" s="69" t="inlineStr">
        <is>
          <t>https://amazon.com/dp/B094VP8FLB</t>
        </is>
      </c>
      <c r="L1028" s="114">
        <f>HYPERLINK(Table1410[[#This Row],[Column1]])</f>
        <v/>
      </c>
    </row>
    <row r="1029" ht="60" customHeight="1" s="314">
      <c r="A1029" s="35" t="inlineStr">
        <is>
          <t>Autel MaxiTPMS TS900 + MV108(Worth $49) TPMS Programming Tool 2025 TPMS &amp; Bidirectional Diagnostic Scan Tool, Up of MS906TS MK808S-TS MK900BT MK900TS MX900TS MS906TS MK808S-TS Top TPMS Program/Relearn</t>
        </is>
      </c>
      <c r="B1029" s="35" t="inlineStr">
        <is>
          <t>B0992NN7TK</t>
        </is>
      </c>
      <c r="C1029" s="35" t="inlineStr">
        <is>
          <t>Tablet</t>
        </is>
      </c>
      <c r="D1029" s="359" t="n">
        <v>879</v>
      </c>
      <c r="E1029" s="359" t="n">
        <v>1779.53</v>
      </c>
      <c r="F1029" s="359" t="n">
        <v>0</v>
      </c>
      <c r="G1029" s="68" t="n">
        <v>2</v>
      </c>
      <c r="H1029" s="70" t="n">
        <v>0</v>
      </c>
      <c r="I1029" s="68" t="n">
        <v>25</v>
      </c>
      <c r="J1029" s="69" t="n">
        <v>4.5</v>
      </c>
      <c r="K1029" s="69" t="inlineStr">
        <is>
          <t>https://amazon.com/dp/B0992NN7TK</t>
        </is>
      </c>
      <c r="L1029" s="114">
        <f>HYPERLINK(Table1410[[#This Row],[Column1]])</f>
        <v/>
      </c>
    </row>
    <row r="1030" ht="17" customHeight="1" s="314">
      <c r="A1030" s="35" t="inlineStr">
        <is>
          <t>Autel MaxiSys Ultra EV: 2026 UltraEV Intelligent Scanner Level up of MS909EV, Upgrade of MS Ultra/MS919/Elite II with EVDiag Kit, High-Voltage System &amp; Battery Analysis, MaxiFlash VCMI, Topology 2.0</t>
        </is>
      </c>
      <c r="B1030" s="35" t="inlineStr">
        <is>
          <t>B0BR5K27H4</t>
        </is>
      </c>
      <c r="C1030" s="35" t="inlineStr">
        <is>
          <t>Tablet</t>
        </is>
      </c>
      <c r="D1030" s="359" t="n">
        <v>4995</v>
      </c>
      <c r="E1030" s="359" t="n">
        <v>0</v>
      </c>
      <c r="F1030" s="359" t="n">
        <v>0</v>
      </c>
      <c r="G1030" s="68" t="n">
        <v>0</v>
      </c>
      <c r="H1030" s="70" t="n">
        <v>0</v>
      </c>
      <c r="I1030" s="68" t="n">
        <v>1</v>
      </c>
      <c r="J1030" s="69" t="n">
        <v>5</v>
      </c>
      <c r="K1030" s="69" t="inlineStr">
        <is>
          <t>https://amazon.com/dp/B0BR5K27H4</t>
        </is>
      </c>
      <c r="L1030" s="114">
        <f>HYPERLINK(Table1410[[#This Row],[Column1]])</f>
        <v/>
      </c>
    </row>
    <row r="1031" ht="45" customHeight="1" s="314">
      <c r="A1031" s="35" t="inlineStr">
        <is>
          <t>Autel MaxiSys MS919 Scanner: 2025 MS919 Same as Ultra Up of MS909 Ultra Lite Elite II Pro, 5 in 1 VCMI, Motor Speed, Topology Map 2.0, J2534, All System Diagnosis, Active Test, 40 Service</t>
        </is>
      </c>
      <c r="B1031" s="35" t="inlineStr">
        <is>
          <t>B071R1TND2</t>
        </is>
      </c>
      <c r="C1031" s="35" t="inlineStr">
        <is>
          <t>Tablet</t>
        </is>
      </c>
      <c r="D1031" s="359" t="n">
        <v>3799</v>
      </c>
      <c r="E1031" s="359" t="n">
        <v>6382.28</v>
      </c>
      <c r="F1031" s="359" t="n">
        <v>0</v>
      </c>
      <c r="G1031" s="68" t="n">
        <v>2</v>
      </c>
      <c r="H1031" s="70" t="n">
        <v>0</v>
      </c>
      <c r="I1031" s="68" t="n">
        <v>3</v>
      </c>
      <c r="J1031" s="69" t="n">
        <v>5</v>
      </c>
      <c r="K1031" s="69" t="inlineStr">
        <is>
          <t>https://amazon.com/dp/B071R1TND2</t>
        </is>
      </c>
      <c r="L1031" s="114">
        <f>HYPERLINK(Table1410[[#This Row],[Column1]])</f>
        <v/>
      </c>
    </row>
    <row r="1032" ht="45" customHeight="1" s="314">
      <c r="A1032" s="35" t="inlineStr">
        <is>
          <t>Autel MaxiSys Elite Battery, Replacement Battery for Autel MaxiSys Elite Scanner</t>
        </is>
      </c>
      <c r="B1032" s="35" t="inlineStr">
        <is>
          <t>B09D86Z1SM</t>
        </is>
      </c>
      <c r="C1032" s="35" t="inlineStr">
        <is>
          <t>Other</t>
        </is>
      </c>
      <c r="D1032" s="359" t="n">
        <v>141.0978571428571</v>
      </c>
      <c r="E1032" s="359" t="n">
        <v>64054.78999999999</v>
      </c>
      <c r="F1032" s="359" t="n">
        <v>0</v>
      </c>
      <c r="G1032" s="68" t="n">
        <v>461</v>
      </c>
      <c r="H1032" s="70" t="n">
        <v>0</v>
      </c>
      <c r="I1032" s="68" t="n">
        <v>78</v>
      </c>
      <c r="J1032" s="69" t="n">
        <v>4.6</v>
      </c>
      <c r="K1032" s="69" t="inlineStr">
        <is>
          <t>https://amazon.com/dp/B09D86Z1SM</t>
        </is>
      </c>
      <c r="L1032" s="114">
        <f>HYPERLINK(Table1410[[#This Row],[Column1]])</f>
        <v/>
      </c>
    </row>
    <row r="1033" ht="45" customHeight="1" s="314">
      <c r="A1033" s="35" t="inlineStr">
        <is>
          <t>Autel MaxiVCI V200 VCI200 OBD2 Adapter Connector, 2026 VCI 200 Car Wireless Communication Interface, Work w/Autel Scanner MaxiSys MS906PRO MS906 PRO-TS KM100 BT608 BT609 ITS600 MK906 PRO MK906 PRO TS</t>
        </is>
      </c>
      <c r="B1033" s="35" t="inlineStr">
        <is>
          <t>B0F26G74N2</t>
        </is>
      </c>
      <c r="C1033" s="35" t="inlineStr">
        <is>
          <t>Dongle</t>
        </is>
      </c>
      <c r="D1033" s="359" t="n">
        <v>223.7890909090909</v>
      </c>
      <c r="E1033" s="359" t="n">
        <v>48058.18000000001</v>
      </c>
      <c r="F1033" s="359" t="n">
        <v>0</v>
      </c>
      <c r="G1033" s="68" t="n">
        <v>228</v>
      </c>
      <c r="H1033" s="70" t="n">
        <v>0</v>
      </c>
      <c r="I1033" s="68" t="n">
        <v>5</v>
      </c>
      <c r="J1033" s="69" t="n">
        <v>4.7</v>
      </c>
      <c r="K1033" s="69" t="inlineStr">
        <is>
          <t>https://amazon.com/dp/B0F26G74N2</t>
        </is>
      </c>
      <c r="L1033" s="114">
        <f>HYPERLINK(Table1410[[#This Row],[Column1]])</f>
        <v/>
      </c>
    </row>
    <row r="1034" ht="45" customHeight="1" s="314">
      <c r="A1034" s="35" t="inlineStr">
        <is>
          <t>Autel TS6081YRUPDATE MaxiSYS TS608 1 Year Total Care Program Card</t>
        </is>
      </c>
      <c r="B1034" s="35" t="inlineStr">
        <is>
          <t>B07JKD7S96</t>
        </is>
      </c>
      <c r="C1034" s="35" t="inlineStr">
        <is>
          <t>Other</t>
        </is>
      </c>
      <c r="D1034" s="359" t="n">
        <v>255</v>
      </c>
      <c r="E1034" s="359" t="n">
        <v>0</v>
      </c>
      <c r="F1034" s="359" t="n">
        <v>0</v>
      </c>
      <c r="G1034" s="68" t="n">
        <v>0</v>
      </c>
      <c r="H1034" s="70" t="n">
        <v>0</v>
      </c>
      <c r="I1034" s="68" t="n"/>
      <c r="J1034" s="69" t="n"/>
      <c r="K1034" s="69" t="inlineStr">
        <is>
          <t>https://amazon.com/dp/B07JKD7S96</t>
        </is>
      </c>
      <c r="L1034" s="114">
        <f>HYPERLINK(Table1410[[#This Row],[Column1]])</f>
        <v/>
      </c>
    </row>
    <row r="1035" ht="45" customHeight="1" s="314">
      <c r="A1035" s="35" t="inlineStr">
        <is>
          <t>Autel Scanner MaxiiM KM100E OBD2 Diagnostic Tool, 2026 KM100 OBDII Scan Tool with Lifetime Fre.e Update, OBD-Learn on 95% Car for Home Mechanics &amp; DIY Vehicle Service, Lite Ver.of IM508S IM608 PRO II</t>
        </is>
      </c>
      <c r="B1035" s="35" t="inlineStr">
        <is>
          <t>B09DGPBJNT</t>
        </is>
      </c>
      <c r="C1035" s="35" t="inlineStr">
        <is>
          <t>Tablet</t>
        </is>
      </c>
      <c r="D1035" s="359" t="n">
        <v>524.0421052631579</v>
      </c>
      <c r="E1035" s="359" t="n">
        <v>15025.07</v>
      </c>
      <c r="F1035" s="359" t="n">
        <v>0</v>
      </c>
      <c r="G1035" s="68" t="n">
        <v>29</v>
      </c>
      <c r="H1035" s="70" t="n">
        <v>0</v>
      </c>
      <c r="I1035" s="68" t="n">
        <v>30</v>
      </c>
      <c r="J1035" s="69" t="n">
        <v>4.4</v>
      </c>
      <c r="K1035" s="69" t="inlineStr">
        <is>
          <t>https://amazon.com/dp/B09DGPBJNT</t>
        </is>
      </c>
      <c r="L1035" s="114">
        <f>HYPERLINK(Table1410[[#This Row],[Column1]])</f>
        <v/>
      </c>
    </row>
    <row r="1036" ht="60" customHeight="1" s="314">
      <c r="A1036" s="35" t="inlineStr">
        <is>
          <t>MaxiIM IM608PROIIKPA Key Programming Tablet Bundle</t>
        </is>
      </c>
      <c r="B1036" s="35" t="inlineStr">
        <is>
          <t>B0C6CSB7SJ</t>
        </is>
      </c>
      <c r="C1036" s="35" t="inlineStr">
        <is>
          <t>Key</t>
        </is>
      </c>
      <c r="D1036" s="359" t="n">
        <v>4184.64</v>
      </c>
      <c r="E1036" s="359" t="n">
        <v>0</v>
      </c>
      <c r="F1036" s="359" t="n">
        <v>0</v>
      </c>
      <c r="G1036" s="68" t="n">
        <v>0</v>
      </c>
      <c r="H1036" s="70" t="n">
        <v>0</v>
      </c>
      <c r="I1036" s="68" t="n"/>
      <c r="J1036" s="69" t="n"/>
      <c r="K1036" s="69" t="inlineStr">
        <is>
          <t>https://amazon.com/dp/B0C6CSB7SJ</t>
        </is>
      </c>
      <c r="L1036" s="114">
        <f>HYPERLINK(Table1410[[#This Row],[Column1]])</f>
        <v/>
      </c>
    </row>
    <row r="1037" ht="45" customHeight="1" s="314">
      <c r="A1037" s="35" t="inlineStr">
        <is>
          <t>Autel AL609P Pro Service Tool, 1 Pack</t>
        </is>
      </c>
      <c r="B1037" s="35" t="inlineStr">
        <is>
          <t>B075LFYTYQ</t>
        </is>
      </c>
      <c r="C1037" s="35" t="inlineStr">
        <is>
          <t>Handheld</t>
        </is>
      </c>
      <c r="D1037" s="359" t="n">
        <v>129.94</v>
      </c>
      <c r="E1037" s="359" t="n">
        <v>163.11</v>
      </c>
      <c r="F1037" s="359" t="n">
        <v>0</v>
      </c>
      <c r="G1037" s="68" t="n">
        <v>1</v>
      </c>
      <c r="H1037" s="70" t="n">
        <v>0</v>
      </c>
      <c r="I1037" s="68" t="n">
        <v>8</v>
      </c>
      <c r="J1037" s="69" t="n">
        <v>3.2</v>
      </c>
      <c r="K1037" s="69" t="inlineStr">
        <is>
          <t>https://amazon.com/dp/B075LFYTYQ</t>
        </is>
      </c>
      <c r="L1037" s="114">
        <f>HYPERLINK(Table1410[[#This Row],[Column1]])</f>
        <v/>
      </c>
    </row>
    <row r="1038" ht="17" customHeight="1" s="314">
      <c r="A1038" s="35" t="inlineStr">
        <is>
          <t>Autel MaxiTPMS TS900 Kit(4PCS MX Sensors Valued $120) TPMS Programming Tool Scanner All System Diagnosis Full TPMS 40+Services CAN FD/DoIP Compatible 315/433/434MHz Autel Sensors</t>
        </is>
      </c>
      <c r="B1038" s="35" t="inlineStr">
        <is>
          <t>B0CP25139M</t>
        </is>
      </c>
      <c r="C1038" s="35" t="inlineStr">
        <is>
          <t>Tablet</t>
        </is>
      </c>
      <c r="D1038" s="359" t="n">
        <v>920</v>
      </c>
      <c r="E1038" s="359" t="n">
        <v>0</v>
      </c>
      <c r="F1038" s="359" t="n">
        <v>0</v>
      </c>
      <c r="G1038" s="68" t="n">
        <v>0</v>
      </c>
      <c r="H1038" s="70" t="n">
        <v>0</v>
      </c>
      <c r="I1038" s="68" t="n">
        <v>3</v>
      </c>
      <c r="J1038" s="69" t="n">
        <v>5</v>
      </c>
      <c r="K1038" s="69" t="inlineStr">
        <is>
          <t>https://amazon.com/dp/B0CP25139M</t>
        </is>
      </c>
      <c r="L1038" s="114">
        <f>HYPERLINK(Table1410[[#This Row],[Column1]])</f>
        <v/>
      </c>
    </row>
    <row r="1039" ht="45" customHeight="1" s="314">
      <c r="A1039" s="35" t="inlineStr">
        <is>
          <t>Autel MaxiIM KM100E Programmer Diagnostic Programming Tool Free Lifetime Update Lite of IM508S IM608 PRO II Built in APB112 OBD Learning On 95% Car Auto VIN &amp; Scan VIN/License WiFi Connection</t>
        </is>
      </c>
      <c r="B1039" s="35" t="inlineStr">
        <is>
          <t>B0F74NKX46</t>
        </is>
      </c>
      <c r="C1039" s="35" t="inlineStr">
        <is>
          <t>Tablet</t>
        </is>
      </c>
      <c r="D1039" s="359" t="n">
        <v>533.511797752809</v>
      </c>
      <c r="E1039" s="359" t="n">
        <v>93598.24000000001</v>
      </c>
      <c r="F1039" s="359" t="n">
        <v>0</v>
      </c>
      <c r="G1039" s="68" t="n">
        <v>174</v>
      </c>
      <c r="H1039" s="70" t="n">
        <v>0</v>
      </c>
      <c r="I1039" s="68" t="n">
        <v>9</v>
      </c>
      <c r="J1039" s="69" t="n">
        <v>4.7</v>
      </c>
      <c r="K1039" s="69" t="inlineStr">
        <is>
          <t>https://amazon.com/dp/B0F74NKX46</t>
        </is>
      </c>
      <c r="L1039" s="114">
        <f>HYPERLINK(Table1410[[#This Row],[Column1]])</f>
        <v/>
      </c>
    </row>
    <row r="1040" ht="17" customHeight="1" s="314">
      <c r="A1040" s="35" t="inlineStr">
        <is>
          <t>Autel 20 Pin to 16 Pin OBD2 Cable for BMW, OBD1 to OBD2 Diagnostic Adapter Extension Convert Connector, OE-Quality, Work w/OBDII Scanners</t>
        </is>
      </c>
      <c r="B1040" s="35" t="inlineStr">
        <is>
          <t>B0DBZLD6SZ</t>
        </is>
      </c>
      <c r="C1040" s="35" t="inlineStr">
        <is>
          <t>Cable/Adapter</t>
        </is>
      </c>
      <c r="D1040" s="359" t="n">
        <v>20.07581395348837</v>
      </c>
      <c r="E1040" s="359" t="n">
        <v>16781.03</v>
      </c>
      <c r="F1040" s="359" t="n">
        <v>0</v>
      </c>
      <c r="G1040" s="68" t="n">
        <v>840</v>
      </c>
      <c r="H1040" s="70" t="n">
        <v>0</v>
      </c>
      <c r="I1040" s="68" t="n">
        <v>31</v>
      </c>
      <c r="J1040" s="69" t="n">
        <v>4.4</v>
      </c>
      <c r="K1040" s="69" t="inlineStr">
        <is>
          <t>https://amazon.com/dp/B0DBZLD6SZ</t>
        </is>
      </c>
      <c r="L1040" s="114">
        <f>HYPERLINK(Table1410[[#This Row],[Column1]])</f>
        <v/>
      </c>
    </row>
    <row r="1041" ht="30" customHeight="1" s="314">
      <c r="A1041" s="35" t="inlineStr">
        <is>
          <t>Autel MaxiSYS VCI100 Compact Bluetooth, Maxivci V100 Wireless Diagnostic Interface, Vehicle Communication Interface, OBD2 Connector Adapter Dongle, Compatible for MS906BT MK906BT</t>
        </is>
      </c>
      <c r="B1041" s="35" t="inlineStr">
        <is>
          <t>B09D3SHFKS</t>
        </is>
      </c>
      <c r="C1041" s="35" t="inlineStr">
        <is>
          <t>Dongle</t>
        </is>
      </c>
      <c r="D1041" s="359" t="n">
        <v>202.8508695652174</v>
      </c>
      <c r="E1041" s="359" t="n">
        <v>53741.56</v>
      </c>
      <c r="F1041" s="359" t="n">
        <v>0</v>
      </c>
      <c r="G1041" s="68" t="n">
        <v>275</v>
      </c>
      <c r="H1041" s="70" t="n">
        <v>0</v>
      </c>
      <c r="I1041" s="68" t="n">
        <v>55</v>
      </c>
      <c r="J1041" s="69" t="n">
        <v>4.6</v>
      </c>
      <c r="K1041" s="69" t="inlineStr">
        <is>
          <t>https://amazon.com/dp/B09D3SHFKS</t>
        </is>
      </c>
      <c r="L1041" s="114">
        <f>HYPERLINK(Table1410[[#This Row],[Column1]])</f>
        <v/>
      </c>
    </row>
    <row r="1042" ht="17" customHeight="1" s="314">
      <c r="A1042" s="35" t="inlineStr">
        <is>
          <t>Autel Maxi-IM KM100(E) Diagnostic Scan Tool, 2026 OBDII Scanner for 90% Vehicles, Lifetime Fre.e Update, 10X Faster Hardware Android 9.0 for Home Mechanics &amp; DIYers</t>
        </is>
      </c>
      <c r="B1042" s="35" t="inlineStr">
        <is>
          <t>B0F7M7XGJF</t>
        </is>
      </c>
      <c r="C1042" s="35" t="inlineStr">
        <is>
          <t>Handheld</t>
        </is>
      </c>
      <c r="D1042" s="359" t="n">
        <v>511.8345454545455</v>
      </c>
      <c r="E1042" s="359" t="n">
        <v>54773.57</v>
      </c>
      <c r="F1042" s="359" t="n">
        <v>0</v>
      </c>
      <c r="G1042" s="68" t="n">
        <v>104</v>
      </c>
      <c r="H1042" s="70" t="n">
        <v>0</v>
      </c>
      <c r="I1042" s="68" t="n">
        <v>12</v>
      </c>
      <c r="J1042" s="69" t="n">
        <v>4.4</v>
      </c>
      <c r="K1042" s="69" t="inlineStr">
        <is>
          <t>https://amazon.com/dp/B0F7M7XGJF</t>
        </is>
      </c>
      <c r="L1042" s="114">
        <f>HYPERLINK(Table1410[[#This Row],[Column1]])</f>
        <v/>
      </c>
    </row>
    <row r="1043" ht="45" customHeight="1" s="314">
      <c r="A1043" s="35" t="inlineStr">
        <is>
          <t>Autel OBD2 Scanner MaxiScan MS309 Car Check Engine Code Reader, Check Emission Monitor Status, Newer CAN Diagnostic Scan Tool for All OBD II Protocol Vehicles After 1996</t>
        </is>
      </c>
      <c r="B1043" s="35" t="inlineStr">
        <is>
          <t>B07VDKGK4T</t>
        </is>
      </c>
      <c r="C1043" s="35" t="inlineStr">
        <is>
          <t>Handheld</t>
        </is>
      </c>
      <c r="D1043" s="359" t="n">
        <v>23.0515</v>
      </c>
      <c r="E1043" s="359" t="n">
        <v>6464.540000000001</v>
      </c>
      <c r="F1043" s="359" t="n">
        <v>0</v>
      </c>
      <c r="G1043" s="68" t="n">
        <v>283</v>
      </c>
      <c r="H1043" s="70" t="n">
        <v>0</v>
      </c>
      <c r="I1043" s="68" t="n">
        <v>713</v>
      </c>
      <c r="J1043" s="69" t="n">
        <v>4.6</v>
      </c>
      <c r="K1043" s="69" t="inlineStr">
        <is>
          <t>https://amazon.com/dp/B07VDKGK4T</t>
        </is>
      </c>
      <c r="L1043" s="114">
        <f>HYPERLINK(Table1410[[#This Row],[Column1]])</f>
        <v/>
      </c>
    </row>
    <row r="1044" ht="45" customHeight="1" s="314">
      <c r="A1044" s="35" t="inlineStr">
        <is>
          <t>Autel MaxiScan MS300 Car OBD2 Scanner Code Reader Engine Fault Code Reader Scanner CAN Diagnostic Scan Tool for All OBD II Protocol Cars Since 1996, Red</t>
        </is>
      </c>
      <c r="B1044" s="35" t="inlineStr">
        <is>
          <t>B01LTI9EZ8</t>
        </is>
      </c>
      <c r="C1044" s="35" t="inlineStr">
        <is>
          <t>Handheld</t>
        </is>
      </c>
      <c r="D1044" s="359" t="n">
        <v>20.42333333333333</v>
      </c>
      <c r="E1044" s="359" t="n">
        <v>3195.63</v>
      </c>
      <c r="F1044" s="359" t="n">
        <v>0</v>
      </c>
      <c r="G1044" s="68" t="n">
        <v>159</v>
      </c>
      <c r="H1044" s="70" t="n">
        <v>0</v>
      </c>
      <c r="I1044" s="68" t="n">
        <v>246</v>
      </c>
      <c r="J1044" s="69" t="n">
        <v>4.3</v>
      </c>
      <c r="K1044" s="69" t="inlineStr">
        <is>
          <t>https://amazon.com/dp/B01LTI9EZ8</t>
        </is>
      </c>
      <c r="L1044" s="114">
        <f>HYPERLINK(Table1410[[#This Row],[Column1]])</f>
        <v/>
      </c>
    </row>
    <row r="1045" ht="17" customHeight="1" s="314">
      <c r="A1045" s="35" t="inlineStr">
        <is>
          <t>Autel Scanner MaxiIM KM100 OBD2 Diagnostic Scan Tool, Lifetime Free Update 2026 OBD Learning for 95% Vehicles Covered, 10+ Service, 2+64G, 10X Fast Hardware, No IP Limit</t>
        </is>
      </c>
      <c r="B1045" s="35" t="inlineStr">
        <is>
          <t>B0FXDM2MHW</t>
        </is>
      </c>
      <c r="C1045" s="35" t="inlineStr">
        <is>
          <t>Tablet</t>
        </is>
      </c>
      <c r="D1045" s="359" t="n">
        <v>544.7123076923077</v>
      </c>
      <c r="E1045" s="359" t="n">
        <v>14518.85</v>
      </c>
      <c r="F1045" s="359" t="n">
        <v>0</v>
      </c>
      <c r="G1045" s="68" t="n">
        <v>27</v>
      </c>
      <c r="H1045" s="70" t="n">
        <v>0</v>
      </c>
      <c r="I1045" s="68" t="n">
        <v>5</v>
      </c>
      <c r="J1045" s="69" t="n">
        <v>5</v>
      </c>
      <c r="K1045" s="69" t="inlineStr">
        <is>
          <t>https://amazon.com/dp/B0FXDM2MHW</t>
        </is>
      </c>
      <c r="L1045" s="114">
        <f>HYPERLINK(Table1410[[#This Row],[Column1]])</f>
        <v/>
      </c>
    </row>
    <row r="1046" ht="45" customHeight="1" s="314">
      <c r="A1046" s="35" t="inlineStr">
        <is>
          <t>Autel Scanner MaxiiM KM100 OBD2 Diagnostic Tool, 2026 KM100E OBDII Scan Tool with Lifetime Free Updates, OBD-Learn on 95% Car, 2GB &amp; 64GB Android 9.0, for Home Mechanics &amp; DIYers</t>
        </is>
      </c>
      <c r="B1046" s="35" t="inlineStr">
        <is>
          <t>B0FX9QY4JQ</t>
        </is>
      </c>
      <c r="C1046" s="35" t="inlineStr">
        <is>
          <t>Tablet</t>
        </is>
      </c>
      <c r="D1046" s="359" t="n">
        <v>516.24</v>
      </c>
      <c r="E1046" s="359" t="n">
        <v>11964.59</v>
      </c>
      <c r="F1046" s="359" t="n">
        <v>0</v>
      </c>
      <c r="G1046" s="68" t="n">
        <v>23</v>
      </c>
      <c r="H1046" s="70" t="n">
        <v>0</v>
      </c>
      <c r="I1046" s="68" t="n">
        <v>3</v>
      </c>
      <c r="J1046" s="69" t="n">
        <v>5</v>
      </c>
      <c r="K1046" s="69" t="inlineStr">
        <is>
          <t>https://amazon.com/dp/B0FX9QY4JQ</t>
        </is>
      </c>
      <c r="L1046" s="114">
        <f>HYPERLINK(Table1410[[#This Row],[Column1]])</f>
        <v/>
      </c>
    </row>
    <row r="1047" ht="17" customHeight="1" s="314">
      <c r="A1047" s="35" t="inlineStr">
        <is>
          <t>Autel AutoLink AL329 OBD2 Scanner, Upgrade of AL319 &amp; MS309 Code Reader, OBDII Reader with Auto VIN, Live Data, DTC Lookup, Emission Monitor Test, I/M Readiness Smog Check CAN Diagnostic Scan Tool</t>
        </is>
      </c>
      <c r="B1047" s="35" t="inlineStr">
        <is>
          <t>B0C3BZSPT9</t>
        </is>
      </c>
      <c r="C1047" s="35" t="inlineStr">
        <is>
          <t>Handheld</t>
        </is>
      </c>
      <c r="D1047" s="359" t="n">
        <v>48.95692307692308</v>
      </c>
      <c r="E1047" s="359" t="n">
        <v>17426.06</v>
      </c>
      <c r="F1047" s="359" t="n">
        <v>0</v>
      </c>
      <c r="G1047" s="68" t="n">
        <v>394</v>
      </c>
      <c r="H1047" s="70" t="n">
        <v>0</v>
      </c>
      <c r="I1047" s="68" t="n">
        <v>321</v>
      </c>
      <c r="J1047" s="69" t="n">
        <v>4.5</v>
      </c>
      <c r="K1047" s="69" t="inlineStr">
        <is>
          <t>https://amazon.com/dp/B0C3BZSPT9</t>
        </is>
      </c>
      <c r="L1047" s="114">
        <f>HYPERLINK(Table1410[[#This Row],[Column1]])</f>
        <v/>
      </c>
    </row>
    <row r="1048" ht="45" customHeight="1" s="314">
      <c r="A1048" s="35" t="inlineStr">
        <is>
          <t>Autel OBD2 12+8 Adapter for Chrysler: OBD II Bypa3s FCA SGW Cable for 2018+ Chrysler, Dodge, Je*p, Fiat, or Alfa R0meo SGW Cars, Work w/All Scanners MK808S MK900BT MX900 MS906 Pro Elite II Pro KM100</t>
        </is>
      </c>
      <c r="B1048" s="35" t="inlineStr">
        <is>
          <t>B0FQPHDQSH</t>
        </is>
      </c>
      <c r="C1048" s="35" t="inlineStr">
        <is>
          <t>Cable/Adapter</t>
        </is>
      </c>
      <c r="D1048" s="359" t="n">
        <v>26.170625</v>
      </c>
      <c r="E1048" s="359" t="n">
        <v>1385.7</v>
      </c>
      <c r="F1048" s="359" t="n">
        <v>0</v>
      </c>
      <c r="G1048" s="68" t="n">
        <v>53</v>
      </c>
      <c r="H1048" s="70" t="n">
        <v>0</v>
      </c>
      <c r="I1048" s="68" t="n">
        <v>12</v>
      </c>
      <c r="J1048" s="69" t="n">
        <v>4.5</v>
      </c>
      <c r="K1048" s="69" t="inlineStr">
        <is>
          <t>https://amazon.com/dp/B0FQPHDQSH</t>
        </is>
      </c>
      <c r="L1048" s="114">
        <f>HYPERLINK(Table1410[[#This Row],[Column1]])</f>
        <v/>
      </c>
    </row>
    <row r="1049" ht="60" customHeight="1" s="314">
      <c r="A1049" s="35" t="inlineStr">
        <is>
          <t>Autel OBD2 Scanner MaxiDiag MD909 PRO, 2026 MD909PRO Full Systems Diagnostic Scan Tool, 2.0 of MD906Pro MD808 Pro MD806, BT Lite of MK808S MX808S MX900 MK900, CAN FD, 11 Service, FCA, SFD, Free Update</t>
        </is>
      </c>
      <c r="B1049" s="35" t="inlineStr">
        <is>
          <t>B0FMRZ89PL</t>
        </is>
      </c>
      <c r="C1049" s="35" t="inlineStr">
        <is>
          <t>Tablet</t>
        </is>
      </c>
      <c r="D1049" s="359" t="n">
        <v>325.7222222222222</v>
      </c>
      <c r="E1049" s="359" t="n">
        <v>9714.030000000001</v>
      </c>
      <c r="F1049" s="359" t="n">
        <v>0</v>
      </c>
      <c r="G1049" s="68" t="n">
        <v>29</v>
      </c>
      <c r="H1049" s="70" t="n">
        <v>0</v>
      </c>
      <c r="I1049" s="68" t="n">
        <v>1</v>
      </c>
      <c r="J1049" s="69" t="n">
        <v>5</v>
      </c>
      <c r="K1049" s="69" t="inlineStr">
        <is>
          <t>https://amazon.com/dp/B0FMRZ89PL</t>
        </is>
      </c>
      <c r="L1049" s="114">
        <f>HYPERLINK(Table1410[[#This Row],[Column1]])</f>
        <v/>
      </c>
    </row>
    <row r="1050" ht="17" customHeight="1" s="314">
      <c r="A1050" s="35" t="inlineStr">
        <is>
          <t>Autel Maxi-IM KM100(E) Diagnostic Tool, 2026 Car Scanner lite Ver.of IM508S IM608 PRO 2, Lifetime Free Updates,V200 Wireless BT Connection, 10X Faster Hardware, for Home Mechanics &amp; DIYers</t>
        </is>
      </c>
      <c r="B1050" s="35" t="inlineStr">
        <is>
          <t>B0FMK83KGN</t>
        </is>
      </c>
      <c r="C1050" s="35" t="inlineStr">
        <is>
          <t>Dongle</t>
        </is>
      </c>
      <c r="D1050" s="359" t="n">
        <v>533.9461290322581</v>
      </c>
      <c r="E1050" s="359" t="n">
        <v>51146.79</v>
      </c>
      <c r="F1050" s="359" t="n">
        <v>0</v>
      </c>
      <c r="G1050" s="68" t="n">
        <v>95</v>
      </c>
      <c r="H1050" s="70" t="n">
        <v>0</v>
      </c>
      <c r="I1050" s="68" t="n">
        <v>10</v>
      </c>
      <c r="J1050" s="69" t="n">
        <v>4.4</v>
      </c>
      <c r="K1050" s="69" t="inlineStr">
        <is>
          <t>https://amazon.com/dp/B0FMK83KGN</t>
        </is>
      </c>
      <c r="L1050" s="114">
        <f>HYPERLINK(Table1410[[#This Row],[Column1]])</f>
        <v/>
      </c>
    </row>
    <row r="1051" ht="45" customHeight="1" s="314">
      <c r="A1051" s="35" t="inlineStr">
        <is>
          <t>2026 Autel MaxiDiag MD909 PRO OBD2 Scanner, MD909PRO Full Systems OBDII Diagnostic Tool, Wireless CAN FD Up of MaxiCOM MK808S MK808 MX808S, V2.0 of MD906PRO, 11 Services, Lifetime Free Updates, FCA</t>
        </is>
      </c>
      <c r="B1051" s="35" t="inlineStr">
        <is>
          <t>B0FMRMXB7F</t>
        </is>
      </c>
      <c r="C1051" s="35" t="inlineStr">
        <is>
          <t>Tablet</t>
        </is>
      </c>
      <c r="D1051" s="359" t="n">
        <v>326.485</v>
      </c>
      <c r="E1051" s="359" t="n">
        <v>14828.12</v>
      </c>
      <c r="F1051" s="359" t="n">
        <v>0</v>
      </c>
      <c r="G1051" s="68" t="n">
        <v>45</v>
      </c>
      <c r="H1051" s="70" t="n">
        <v>0</v>
      </c>
      <c r="I1051" s="68" t="n">
        <v>3</v>
      </c>
      <c r="J1051" s="69" t="n">
        <v>3.8</v>
      </c>
      <c r="K1051" s="69" t="inlineStr">
        <is>
          <t>https://amazon.com/dp/B0FMRMXB7F</t>
        </is>
      </c>
      <c r="L1051" s="114">
        <f>HYPERLINK(Table1410[[#This Row],[Column1]])</f>
        <v/>
      </c>
    </row>
    <row r="1052" ht="17" customHeight="1" s="314">
      <c r="A1052" s="35" t="inlineStr">
        <is>
          <t>Autel Original OBD2 Diagnostic Adapter Compatible with BMW Motorcycles Year 1996 to 2016, 10Pin Connector to 16 Pin OBD II Female Cable, Work with Scan Tool and Code Reader</t>
        </is>
      </c>
      <c r="B1052" s="35" t="inlineStr">
        <is>
          <t>B0DC6526D8</t>
        </is>
      </c>
      <c r="C1052" s="35" t="inlineStr">
        <is>
          <t>Cable/Adapter</t>
        </is>
      </c>
      <c r="D1052" s="359" t="n">
        <v>20.14473684210526</v>
      </c>
      <c r="E1052" s="359" t="n">
        <v>4733.320000000001</v>
      </c>
      <c r="F1052" s="359" t="n">
        <v>0</v>
      </c>
      <c r="G1052" s="68" t="n">
        <v>236</v>
      </c>
      <c r="H1052" s="70" t="n">
        <v>0</v>
      </c>
      <c r="I1052" s="68" t="n">
        <v>19</v>
      </c>
      <c r="J1052" s="69" t="n">
        <v>4.7</v>
      </c>
      <c r="K1052" s="69" t="inlineStr">
        <is>
          <t>https://amazon.com/dp/B0DC6526D8</t>
        </is>
      </c>
      <c r="L1052" s="114">
        <f>HYPERLINK(Table1410[[#This Row],[Column1]])</f>
        <v/>
      </c>
    </row>
    <row r="1053" ht="17" customHeight="1" s="314">
      <c r="A1053" s="35" t="inlineStr">
        <is>
          <t>Autel MaxiVCI V200 VCI200 Wireless OBD2 Connector Adapter, VCI 200 OBD2 Diagnostic Dongle, Work w/MaxiSys Scanner MS906 PRO MS906MAX MS906 PRO-TS KM100 BT608 BT609 ITS600 MK906 PRO TS</t>
        </is>
      </c>
      <c r="B1053" s="35" t="inlineStr">
        <is>
          <t>B0FHLVKQ7J</t>
        </is>
      </c>
      <c r="C1053" s="35" t="inlineStr">
        <is>
          <t>Dongle</t>
        </is>
      </c>
      <c r="D1053" s="359" t="n">
        <v>231.245</v>
      </c>
      <c r="E1053" s="359" t="n">
        <v>9377.84</v>
      </c>
      <c r="F1053" s="359" t="n">
        <v>0</v>
      </c>
      <c r="G1053" s="68" t="n">
        <v>42</v>
      </c>
      <c r="H1053" s="70" t="n">
        <v>0</v>
      </c>
      <c r="I1053" s="68" t="n">
        <v>8</v>
      </c>
      <c r="J1053" s="69" t="n">
        <v>4.8</v>
      </c>
      <c r="K1053" s="69" t="inlineStr">
        <is>
          <t>https://amazon.com/dp/B0FHLVKQ7J</t>
        </is>
      </c>
      <c r="L1053" s="114">
        <f>HYPERLINK(Table1410[[#This Row],[Column1]])</f>
        <v/>
      </c>
    </row>
    <row r="1054" ht="45" customHeight="1" s="314">
      <c r="A1054" s="35" t="inlineStr">
        <is>
          <t>2026 Autel Scanner MaxiIM KM100(X), Lifetime Fre.e Update, OBD-Learn for 95% Car, Wireless OBD2 Diagnostic Scan Tool, Lite of IM508S IM608 PRO 2, 2GB &amp; 64GB Android 9.0, for Home Mechanics &amp; DIYers</t>
        </is>
      </c>
      <c r="B1054" s="35" t="inlineStr">
        <is>
          <t>B01N59FST0</t>
        </is>
      </c>
      <c r="C1054" s="35" t="inlineStr">
        <is>
          <t>Tablet</t>
        </is>
      </c>
      <c r="D1054" s="359" t="n">
        <v>534.2557692307693</v>
      </c>
      <c r="E1054" s="359" t="n">
        <v>34559.61</v>
      </c>
      <c r="F1054" s="359" t="n">
        <v>0</v>
      </c>
      <c r="G1054" s="68" t="n">
        <v>65</v>
      </c>
      <c r="H1054" s="70" t="n">
        <v>0</v>
      </c>
      <c r="I1054" s="68" t="n">
        <v>83</v>
      </c>
      <c r="J1054" s="69" t="n">
        <v>4.6</v>
      </c>
      <c r="K1054" s="69" t="inlineStr">
        <is>
          <t>https://amazon.com/dp/B01N59FST0</t>
        </is>
      </c>
      <c r="L1054" s="114">
        <f>HYPERLINK(Table1410[[#This Row],[Column1]])</f>
        <v/>
      </c>
    </row>
    <row r="1055" ht="17" customHeight="1" s="314">
      <c r="A1055" s="35" t="inlineStr">
        <is>
          <t>Autel MaxiCOM MK906 PRO 2026 Scanner, Same as MS906PRO Diagnostic Scan Tool, Upgade of MS906BT / MP900-BT, 3000+ Test, 40+ Services, FCA AutoAuth, AutoVIN, Guided Functions</t>
        </is>
      </c>
      <c r="B1055" s="35" t="inlineStr">
        <is>
          <t>B09M48KH2B</t>
        </is>
      </c>
      <c r="C1055" s="35" t="inlineStr">
        <is>
          <t>Tablet</t>
        </is>
      </c>
      <c r="D1055" s="359" t="n">
        <v>1369</v>
      </c>
      <c r="E1055" s="359" t="n">
        <v>7253.49</v>
      </c>
      <c r="F1055" s="359" t="n">
        <v>0</v>
      </c>
      <c r="G1055" s="68" t="n">
        <v>7</v>
      </c>
      <c r="H1055" s="70" t="n">
        <v>0</v>
      </c>
      <c r="I1055" s="68" t="n">
        <v>15</v>
      </c>
      <c r="J1055" s="69" t="n">
        <v>4.5</v>
      </c>
      <c r="K1055" s="69" t="inlineStr">
        <is>
          <t>https://amazon.com/dp/B09M48KH2B</t>
        </is>
      </c>
      <c r="L1055" s="114">
        <f>HYPERLINK(Table1410[[#This Row],[Column1]])</f>
        <v/>
      </c>
    </row>
    <row r="1056" ht="45" customHeight="1" s="314">
      <c r="A1056" s="35" t="inlineStr">
        <is>
          <t>Autel VCI MaxiFlash Xlink J2534 Reprogramming Tool Expert-Driven Remote Diagnostic Tool Supports DoIP/CAN/CAN FD/D-PDU/J2534/RP1210 Work with Autel MaxiSYS Ultra MS919 MS909 PC and Mobile Phone</t>
        </is>
      </c>
      <c r="B1056" s="35" t="inlineStr">
        <is>
          <t>B0C6LFN1PN</t>
        </is>
      </c>
      <c r="C1056" s="35" t="inlineStr">
        <is>
          <t>VCI</t>
        </is>
      </c>
      <c r="D1056" s="359" t="n">
        <v>1295</v>
      </c>
      <c r="E1056" s="359" t="n">
        <v>21934.04</v>
      </c>
      <c r="F1056" s="359" t="n">
        <v>0</v>
      </c>
      <c r="G1056" s="68" t="n">
        <v>18</v>
      </c>
      <c r="H1056" s="70" t="n">
        <v>0</v>
      </c>
      <c r="I1056" s="68" t="n">
        <v>7</v>
      </c>
      <c r="J1056" s="69" t="n">
        <v>2.9</v>
      </c>
      <c r="K1056" s="69" t="inlineStr">
        <is>
          <t>https://amazon.com/dp/B0C6LFN1PN</t>
        </is>
      </c>
      <c r="L1056" s="114">
        <f>HYPERLINK(Table1410[[#This Row],[Column1]])</f>
        <v/>
      </c>
    </row>
    <row r="1057" ht="45" customHeight="1" s="314">
      <c r="A1057" s="35" t="inlineStr">
        <is>
          <t>Autel MaxiTPMS TS508WFK-4 TS508WF with 4pcs MX Sensor + 4pcs Metal Valves Upgrade of TS508K TS508 Read Activate Relearn All Known Sensors Detect &amp; Display TPMS System Faults Perform OBDII Relearns</t>
        </is>
      </c>
      <c r="B1057" s="35" t="inlineStr">
        <is>
          <t>B0DB188CHQ</t>
        </is>
      </c>
      <c r="C1057" s="35" t="inlineStr">
        <is>
          <t>Handheld</t>
        </is>
      </c>
      <c r="D1057" s="359" t="n">
        <v>348</v>
      </c>
      <c r="E1057" s="359" t="n">
        <v>164.06</v>
      </c>
      <c r="F1057" s="359" t="n">
        <v>0</v>
      </c>
      <c r="G1057" s="68" t="n">
        <v>1</v>
      </c>
      <c r="H1057" s="70" t="n">
        <v>0</v>
      </c>
      <c r="I1057" s="68" t="n">
        <v>3</v>
      </c>
      <c r="J1057" s="69" t="n">
        <v>5</v>
      </c>
      <c r="K1057" s="69" t="inlineStr">
        <is>
          <t>https://amazon.com/dp/B0DB188CHQ</t>
        </is>
      </c>
      <c r="L1057" s="114">
        <f>HYPERLINK(Table1410[[#This Row],[Column1]])</f>
        <v/>
      </c>
    </row>
    <row r="1058" ht="45" customHeight="1" s="314">
      <c r="A1058" s="35" t="inlineStr">
        <is>
          <t>Autel MaxiSys MS906 Pro-TS Diagnostic Scanner, 2026 Top Bidirectional Scan Tool with Full TPMS Function, Up of MP900TS MS906PRO MS906 MK900, ECU Coding, 3000+ Active Test, 36+ Service, CAN FD&amp;DoIP</t>
        </is>
      </c>
      <c r="B1058" s="35" t="inlineStr">
        <is>
          <t>B0B9S3WPRZ</t>
        </is>
      </c>
      <c r="C1058" s="35" t="inlineStr">
        <is>
          <t>Tablet</t>
        </is>
      </c>
      <c r="D1058" s="359" t="n">
        <v>1569</v>
      </c>
      <c r="E1058" s="359" t="n">
        <v>30123.56</v>
      </c>
      <c r="F1058" s="359" t="n">
        <v>0</v>
      </c>
      <c r="G1058" s="68" t="n">
        <v>19</v>
      </c>
      <c r="H1058" s="70" t="n">
        <v>0</v>
      </c>
      <c r="I1058" s="68" t="n">
        <v>13</v>
      </c>
      <c r="J1058" s="69" t="n">
        <v>4.5</v>
      </c>
      <c r="K1058" s="69" t="inlineStr">
        <is>
          <t>https://amazon.com/dp/B0B9S3WPRZ</t>
        </is>
      </c>
      <c r="L1058" s="114">
        <f>HYPERLINK(Table1410[[#This Row],[Column1]])</f>
        <v/>
      </c>
    </row>
    <row r="1059" ht="45" customHeight="1" s="314">
      <c r="A1059" s="35" t="inlineStr">
        <is>
          <t>Autel MaxiSys MS906 Pro TS Professional OBD2 Scanner with TPMS Programming ECU Coding 36+ Service Functions, Full System Diagnostic Tool for 80+ Vehicle Brands, Android 10, 8" Touchscreen</t>
        </is>
      </c>
      <c r="B1059" s="35" t="inlineStr">
        <is>
          <t>B0D1QRKDYD</t>
        </is>
      </c>
      <c r="C1059" s="35" t="inlineStr">
        <is>
          <t>Tablet</t>
        </is>
      </c>
      <c r="D1059" s="359" t="n">
        <v>1569</v>
      </c>
      <c r="E1059" s="359" t="n">
        <v>150830.38</v>
      </c>
      <c r="F1059" s="359" t="n">
        <v>0</v>
      </c>
      <c r="G1059" s="68" t="n">
        <v>96</v>
      </c>
      <c r="H1059" s="70" t="n">
        <v>0</v>
      </c>
      <c r="I1059" s="68" t="n">
        <v>11</v>
      </c>
      <c r="J1059" s="69" t="n">
        <v>5</v>
      </c>
      <c r="K1059" s="69" t="inlineStr">
        <is>
          <t>https://amazon.com/dp/B0D1QRKDYD</t>
        </is>
      </c>
      <c r="L1059" s="114">
        <f>HYPERLINK(Table1410[[#This Row],[Column1]])</f>
        <v/>
      </c>
    </row>
    <row r="1060" ht="45" customHeight="1" s="314">
      <c r="A1060" s="35" t="inlineStr">
        <is>
          <t>Autel Scanner MaxiDiag MD906 PRO, 2026 MD906PRO OBD2 Automotive Diagnostic Tool for Full System Same as MD909 PRO, Lite Ver. of MaxiCOM MK808S MK808S, CAN FD OBDII Scanner for All Car, 11 Services FCA</t>
        </is>
      </c>
      <c r="B1060" s="35" t="inlineStr">
        <is>
          <t>B0FG78RPS2</t>
        </is>
      </c>
      <c r="C1060" s="35" t="inlineStr">
        <is>
          <t>Tablet</t>
        </is>
      </c>
      <c r="D1060" s="359" t="n">
        <v>279</v>
      </c>
      <c r="E1060" s="359" t="n">
        <v>31067.09</v>
      </c>
      <c r="F1060" s="359" t="n">
        <v>0</v>
      </c>
      <c r="G1060" s="68" t="n">
        <v>106</v>
      </c>
      <c r="H1060" s="70" t="n">
        <v>0</v>
      </c>
      <c r="I1060" s="68" t="n">
        <v>32</v>
      </c>
      <c r="J1060" s="69" t="n">
        <v>4.6</v>
      </c>
      <c r="K1060" s="69" t="inlineStr">
        <is>
          <t>https://amazon.com/dp/B0FG78RPS2</t>
        </is>
      </c>
      <c r="L1060" s="114">
        <f>HYPERLINK(Table1410[[#This Row],[Column1]])</f>
        <v/>
      </c>
    </row>
    <row r="1061" ht="45" customHeight="1" s="314">
      <c r="A1061" s="35" t="inlineStr">
        <is>
          <t>Autel MaxiCheck MX900 Scanner w/ MV108S - Up of MK808BT MX808S MX900 MK900 All System Diagnostic Scan Tool, 40+ Services, 3000+ Active Test, DoIP&amp;CAN FD, Auto VIN, Cloud Report</t>
        </is>
      </c>
      <c r="B1061" s="35" t="inlineStr">
        <is>
          <t>B0CRQY8QBY</t>
        </is>
      </c>
      <c r="C1061" s="35" t="inlineStr">
        <is>
          <t>Tablet</t>
        </is>
      </c>
      <c r="D1061" s="359" t="n">
        <v>589</v>
      </c>
      <c r="E1061" s="359" t="n">
        <v>20301.56</v>
      </c>
      <c r="F1061" s="359" t="n">
        <v>0</v>
      </c>
      <c r="G1061" s="68" t="n">
        <v>35</v>
      </c>
      <c r="H1061" s="70" t="n">
        <v>0</v>
      </c>
      <c r="I1061" s="68" t="n">
        <v>18</v>
      </c>
      <c r="J1061" s="69" t="n">
        <v>4.4</v>
      </c>
      <c r="K1061" s="69" t="inlineStr">
        <is>
          <t>https://amazon.com/dp/B0CRQY8QBY</t>
        </is>
      </c>
      <c r="L1061" s="114">
        <f>HYPERLINK(Table1410[[#This Row],[Column1]])</f>
        <v/>
      </c>
    </row>
    <row r="1062" ht="45" customHeight="1" s="314">
      <c r="A1062" s="35" t="inlineStr">
        <is>
          <t>Autel Scan Tool MX900 MK900 OBD2 All System Diagnostic Scanner, Same as MK900BT, Upgraded MK808S MK808BT MX808 MX808S MK808Z, Bi Directional, 40+ Service, DoIP/CAN FD, 3000+ Active Tests, FCA SGW</t>
        </is>
      </c>
      <c r="B1062" s="35" t="inlineStr">
        <is>
          <t>B0C4H7PJBN</t>
        </is>
      </c>
      <c r="C1062" s="35" t="inlineStr">
        <is>
          <t>Tablet</t>
        </is>
      </c>
      <c r="D1062" s="359" t="n">
        <v>559</v>
      </c>
      <c r="E1062" s="359" t="n">
        <v>33308.56999999999</v>
      </c>
      <c r="F1062" s="359" t="n">
        <v>0</v>
      </c>
      <c r="G1062" s="68" t="n">
        <v>62</v>
      </c>
      <c r="H1062" s="70" t="n">
        <v>0</v>
      </c>
      <c r="I1062" s="68" t="n">
        <v>33</v>
      </c>
      <c r="J1062" s="69" t="n">
        <v>4.3</v>
      </c>
      <c r="K1062" s="69" t="inlineStr">
        <is>
          <t>https://amazon.com/dp/B0C4H7PJBN</t>
        </is>
      </c>
      <c r="L1062" s="114">
        <f>HYPERLINK(Table1410[[#This Row],[Column1]])</f>
        <v/>
      </c>
    </row>
    <row r="1063" ht="17" customHeight="1" s="314">
      <c r="A1063" s="35" t="inlineStr">
        <is>
          <t>Autel Scanner MaxiCheck MX900TS, 2026 Same as MK900TS Up of MK808S-TS MX808S-TS MK900BT MK900 MX900, Top TPMS Function as MS906 PRO-TS MP900TS, Bidirectional All-Sys Diagnostic, 40+ Service, FCA SGW</t>
        </is>
      </c>
      <c r="B1063" s="35" t="inlineStr">
        <is>
          <t>B08VRZWM26</t>
        </is>
      </c>
      <c r="C1063" s="35" t="inlineStr">
        <is>
          <t>Tablet</t>
        </is>
      </c>
      <c r="D1063" s="359" t="n">
        <v>879</v>
      </c>
      <c r="E1063" s="359" t="n">
        <v>40813.54</v>
      </c>
      <c r="F1063" s="359" t="n">
        <v>0</v>
      </c>
      <c r="G1063" s="68" t="n">
        <v>47</v>
      </c>
      <c r="H1063" s="70" t="n">
        <v>0</v>
      </c>
      <c r="I1063" s="68" t="n">
        <v>38</v>
      </c>
      <c r="J1063" s="69" t="n">
        <v>4.4</v>
      </c>
      <c r="K1063" s="69" t="inlineStr">
        <is>
          <t>https://amazon.com/dp/B08VRZWM26</t>
        </is>
      </c>
      <c r="L1063" s="114">
        <f>HYPERLINK(Table1410[[#This Row],[Column1]])</f>
        <v/>
      </c>
    </row>
    <row r="1064" ht="60" customHeight="1" s="314">
      <c r="A1064" s="35" t="inlineStr">
        <is>
          <t>Autel MaxiSYS Pro OBDII Replacement Cable</t>
        </is>
      </c>
      <c r="B1064" s="35" t="inlineStr">
        <is>
          <t>B07V8L3W1S</t>
        </is>
      </c>
      <c r="C1064" s="35" t="inlineStr">
        <is>
          <t>Cable/Adapter</t>
        </is>
      </c>
      <c r="D1064" s="359" t="n">
        <v>47.98</v>
      </c>
      <c r="E1064" s="359" t="n">
        <v>2144.26</v>
      </c>
      <c r="F1064" s="359" t="n">
        <v>0</v>
      </c>
      <c r="G1064" s="68" t="n">
        <v>40</v>
      </c>
      <c r="H1064" s="70" t="n">
        <v>0</v>
      </c>
      <c r="I1064" s="68" t="n">
        <v>1</v>
      </c>
      <c r="J1064" s="69" t="n">
        <v>4</v>
      </c>
      <c r="K1064" s="69" t="inlineStr">
        <is>
          <t>https://amazon.com/dp/B07V8L3W1S</t>
        </is>
      </c>
      <c r="L1064" s="114">
        <f>HYPERLINK(Table1410[[#This Row],[Column1]])</f>
        <v/>
      </c>
    </row>
    <row r="1065" ht="45" customHeight="1" s="314">
      <c r="A1065" s="35" t="inlineStr">
        <is>
          <t>Autel Scanner MaxiSYS MS908S PRO II w/ $60 MV108S | 2026 Same as MS Ultra Elite II Pro, J2534 ECU Pr0gramming Scan Tool Up of MaxiCOM MK908 Pro II Elite MS906 PRO/MAX, 4K+ Tests, 38+ Resets, 4/128G</t>
        </is>
      </c>
      <c r="B1065" s="35" t="inlineStr">
        <is>
          <t>B0894F6H61</t>
        </is>
      </c>
      <c r="C1065" s="35" t="inlineStr">
        <is>
          <t>Tablet</t>
        </is>
      </c>
      <c r="D1065" s="359" t="n">
        <v>1999</v>
      </c>
      <c r="E1065" s="359" t="n">
        <v>61550.99</v>
      </c>
      <c r="F1065" s="359" t="n">
        <v>0</v>
      </c>
      <c r="G1065" s="68" t="n">
        <v>31</v>
      </c>
      <c r="H1065" s="70" t="n">
        <v>0</v>
      </c>
      <c r="I1065" s="68" t="n">
        <v>37</v>
      </c>
      <c r="J1065" s="69" t="n">
        <v>4.6</v>
      </c>
      <c r="K1065" s="69" t="inlineStr">
        <is>
          <t>https://amazon.com/dp/B0894F6H61</t>
        </is>
      </c>
      <c r="L1065" s="114">
        <f>HYPERLINK(Table1410[[#This Row],[Column1]])</f>
        <v/>
      </c>
    </row>
    <row r="1066" ht="45" customHeight="1" s="314">
      <c r="A1066" s="35" t="inlineStr">
        <is>
          <t>Autel MaxiCOM MK808Z, Autel Scanner, 2025 Bi-Directional Tool, OBD2 Scanner for All Vehicles All System Diagnostic Tool Bi-Directional Control Same as MaxiCOM MK808 Lite MX900</t>
        </is>
      </c>
      <c r="B1066" s="35" t="inlineStr">
        <is>
          <t>B0B8RDH4C7</t>
        </is>
      </c>
      <c r="C1066" s="35" t="inlineStr">
        <is>
          <t>Tablet</t>
        </is>
      </c>
      <c r="D1066" s="359" t="n">
        <v>449</v>
      </c>
      <c r="E1066" s="359" t="n">
        <v>1056.01</v>
      </c>
      <c r="F1066" s="359" t="n">
        <v>0</v>
      </c>
      <c r="G1066" s="68" t="n">
        <v>2</v>
      </c>
      <c r="H1066" s="70" t="n">
        <v>0</v>
      </c>
      <c r="I1066" s="68" t="n">
        <v>22</v>
      </c>
      <c r="J1066" s="69" t="n">
        <v>4.8</v>
      </c>
      <c r="K1066" s="69" t="inlineStr">
        <is>
          <t>https://amazon.com/dp/B0B8RDH4C7</t>
        </is>
      </c>
      <c r="L1066" s="114">
        <f>HYPERLINK(Table1410[[#This Row],[Column1]])</f>
        <v/>
      </c>
    </row>
    <row r="1067" ht="60" customHeight="1" s="314">
      <c r="A1067" s="35" t="inlineStr">
        <is>
          <t>Autel MaxiCOM MK808Z-BT OBD2 Scanner, 2026 Bidirectional Diagnostic Tool, Up of MK808S MX808S MK808Z MK808BT, 28+ Service, OE All System Diagnostic, 3000+ Active Test, FCA, Alternative of MK900 MX900</t>
        </is>
      </c>
      <c r="B1067" s="35" t="inlineStr">
        <is>
          <t>B0D1QVSF5F</t>
        </is>
      </c>
      <c r="C1067" s="35" t="inlineStr">
        <is>
          <t>Tablet</t>
        </is>
      </c>
      <c r="D1067" s="359" t="n">
        <v>549</v>
      </c>
      <c r="E1067" s="359" t="n">
        <v>5036.24</v>
      </c>
      <c r="F1067" s="359" t="n">
        <v>0</v>
      </c>
      <c r="G1067" s="68" t="n">
        <v>9</v>
      </c>
      <c r="H1067" s="70" t="n">
        <v>0</v>
      </c>
      <c r="I1067" s="68" t="n">
        <v>3</v>
      </c>
      <c r="J1067" s="69" t="n">
        <v>5</v>
      </c>
      <c r="K1067" s="69" t="inlineStr">
        <is>
          <t>https://amazon.com/dp/B0D1QVSF5F</t>
        </is>
      </c>
      <c r="L1067" s="114">
        <f>HYPERLINK(Table1410[[#This Row],[Column1]])</f>
        <v/>
      </c>
    </row>
    <row r="1068" ht="60" customHeight="1" s="314">
      <c r="A1068" s="35" t="inlineStr">
        <is>
          <t>Autel MaxiIM IM608S II 2026 Automotive Diagnostic Scan Tool | Global Ver. of IM608 PRO 2 w/ XP400 PRO GBOX3 APB112 [$1300], OE Full Sys ECU Function as Elite II Pro 4K+ Test 40+ Reset OS10 DoIP CAN FD</t>
        </is>
      </c>
      <c r="B1068" s="35" t="inlineStr">
        <is>
          <t>B08DLGD6FD</t>
        </is>
      </c>
      <c r="C1068" s="35" t="inlineStr">
        <is>
          <t>Tablet</t>
        </is>
      </c>
      <c r="D1068" s="359" t="n">
        <v>3199</v>
      </c>
      <c r="E1068" s="359" t="n">
        <v>156925.11</v>
      </c>
      <c r="F1068" s="359" t="n">
        <v>0</v>
      </c>
      <c r="G1068" s="68" t="n">
        <v>49</v>
      </c>
      <c r="H1068" s="70" t="n">
        <v>0</v>
      </c>
      <c r="I1068" s="68" t="n">
        <v>36</v>
      </c>
      <c r="J1068" s="69" t="n">
        <v>4.3</v>
      </c>
      <c r="K1068" s="69" t="inlineStr">
        <is>
          <t>https://amazon.com/dp/B08DLGD6FD</t>
        </is>
      </c>
      <c r="L1068" s="114">
        <f>HYPERLINK(Table1410[[#This Row],[Column1]])</f>
        <v/>
      </c>
    </row>
    <row r="1069" ht="17" customHeight="1" s="314">
      <c r="A1069" s="35" t="inlineStr">
        <is>
          <t>Autel TS508WFK-1 TPMS Tool Kit — Includes TS508WF Tool, 8 Programmable 1-Sensors, Model# 700020</t>
        </is>
      </c>
      <c r="B1069" s="35" t="inlineStr">
        <is>
          <t>B07RZHCBH5</t>
        </is>
      </c>
      <c r="C1069" s="35" t="inlineStr">
        <is>
          <t>Handheld</t>
        </is>
      </c>
      <c r="D1069" s="359" t="n">
        <v>419.95</v>
      </c>
      <c r="E1069" s="359" t="n">
        <v>16714.56</v>
      </c>
      <c r="F1069" s="359" t="n">
        <v>0</v>
      </c>
      <c r="G1069" s="68" t="n">
        <v>46</v>
      </c>
      <c r="H1069" s="70" t="n">
        <v>0</v>
      </c>
      <c r="I1069" s="68" t="n">
        <v>3</v>
      </c>
      <c r="J1069" s="69" t="n">
        <v>4.6</v>
      </c>
      <c r="K1069" s="69" t="inlineStr">
        <is>
          <t>https://amazon.com/dp/B07RZHCBH5</t>
        </is>
      </c>
      <c r="L1069" s="114">
        <f>HYPERLINK(Table1410[[#This Row],[Column1]])</f>
        <v/>
      </c>
    </row>
    <row r="1070" ht="30" customHeight="1" s="314">
      <c r="A1070" s="35" t="inlineStr">
        <is>
          <t>Autel MS908-1YRUPDATE Scan Tool</t>
        </is>
      </c>
      <c r="B1070" s="35" t="inlineStr">
        <is>
          <t>B00S8R7ZZ0</t>
        </is>
      </c>
      <c r="C1070" s="35" t="inlineStr">
        <is>
          <t>Other</t>
        </is>
      </c>
      <c r="D1070" s="359" t="n">
        <v>650</v>
      </c>
      <c r="E1070" s="359" t="n">
        <v>16418.37</v>
      </c>
      <c r="F1070" s="359" t="n">
        <v>0</v>
      </c>
      <c r="G1070" s="68" t="n">
        <v>32</v>
      </c>
      <c r="H1070" s="70" t="n">
        <v>0</v>
      </c>
      <c r="I1070" s="68" t="n">
        <v>25</v>
      </c>
      <c r="J1070" s="69" t="n">
        <v>4.7</v>
      </c>
      <c r="K1070" s="69" t="inlineStr">
        <is>
          <t>https://amazon.com/dp/B00S8R7ZZ0</t>
        </is>
      </c>
      <c r="L1070" s="114">
        <f>HYPERLINK(Table1410[[#This Row],[Column1]])</f>
        <v/>
      </c>
    </row>
    <row r="1071" ht="45" customHeight="1" s="314">
      <c r="A1071" s="35" t="inlineStr">
        <is>
          <t>Autel Scan Tool MS906 PRO-TS, Better MaxiSYS MS906TS MS906Pro MS906BT MK906Pro MP900TS, All System Diagnostic, Full TPMS, ECU Coding, CAN FD&amp;DoIP, 3000+ Active Test, 36+ Service, Auto Scan, WiFi Print</t>
        </is>
      </c>
      <c r="B1071" s="35" t="inlineStr">
        <is>
          <t>B0BHNTBHLV</t>
        </is>
      </c>
      <c r="C1071" s="35" t="inlineStr">
        <is>
          <t>Tablet</t>
        </is>
      </c>
      <c r="D1071" s="359" t="n">
        <v>1569</v>
      </c>
      <c r="E1071" s="359" t="n">
        <v>29133.22</v>
      </c>
      <c r="F1071" s="359" t="n">
        <v>0</v>
      </c>
      <c r="G1071" s="68" t="n">
        <v>19</v>
      </c>
      <c r="H1071" s="70" t="n">
        <v>0</v>
      </c>
      <c r="I1071" s="68" t="n">
        <v>8</v>
      </c>
      <c r="J1071" s="69" t="n">
        <v>4.6</v>
      </c>
      <c r="K1071" s="69" t="inlineStr">
        <is>
          <t>https://amazon.com/dp/B0BHNTBHLV</t>
        </is>
      </c>
      <c r="L1071" s="114">
        <f>HYPERLINK(Table1410[[#This Row],[Column1]])</f>
        <v/>
      </c>
    </row>
    <row r="1072" ht="45" customHeight="1" s="314">
      <c r="A1072" s="35" t="inlineStr">
        <is>
          <t>Autel TPMS Programming Tool TS508WF KIT, with $180 4PCS 315+433Mhz MX Sensors &amp; 4PCS Metal Valves, Upgrade of MaxiTPMS TS601/ TS508 Tire Sensor Programmer, TPMS Diagnostic/Activate/Relearn Tool</t>
        </is>
      </c>
      <c r="B1072" s="35" t="inlineStr">
        <is>
          <t>B0DB1TGM5F</t>
        </is>
      </c>
      <c r="C1072" s="35" t="inlineStr">
        <is>
          <t>Handheld</t>
        </is>
      </c>
      <c r="D1072" s="359" t="n">
        <v>318</v>
      </c>
      <c r="E1072" s="359" t="n">
        <v>13163.68</v>
      </c>
      <c r="F1072" s="359" t="n">
        <v>0</v>
      </c>
      <c r="G1072" s="68" t="n">
        <v>41</v>
      </c>
      <c r="H1072" s="70" t="n">
        <v>0</v>
      </c>
      <c r="I1072" s="68" t="n">
        <v>7</v>
      </c>
      <c r="J1072" s="69" t="n">
        <v>5</v>
      </c>
      <c r="K1072" s="69" t="inlineStr">
        <is>
          <t>https://amazon.com/dp/B0DB1TGM5F</t>
        </is>
      </c>
      <c r="L1072" s="114">
        <f>HYPERLINK(Table1410[[#This Row],[Column1]])</f>
        <v/>
      </c>
    </row>
    <row r="1073" ht="60" customHeight="1" s="314">
      <c r="A1073" s="35" t="inlineStr">
        <is>
          <t>Autel AL529HD Heavy Duty Vehicle Code Reader</t>
        </is>
      </c>
      <c r="B1073" s="35" t="inlineStr">
        <is>
          <t>B073FJ9SY5</t>
        </is>
      </c>
      <c r="C1073" s="35" t="inlineStr">
        <is>
          <t>Handheld</t>
        </is>
      </c>
      <c r="D1073" s="359" t="n">
        <v>110.81</v>
      </c>
      <c r="E1073" s="359" t="n">
        <v>1603.88</v>
      </c>
      <c r="F1073" s="359" t="n">
        <v>0</v>
      </c>
      <c r="G1073" s="68" t="n">
        <v>17</v>
      </c>
      <c r="H1073" s="70" t="n">
        <v>0</v>
      </c>
      <c r="I1073" s="68" t="n">
        <v>42</v>
      </c>
      <c r="J1073" s="69" t="n">
        <v>4</v>
      </c>
      <c r="K1073" s="69" t="inlineStr">
        <is>
          <t>https://amazon.com/dp/B073FJ9SY5</t>
        </is>
      </c>
      <c r="L1073" s="114">
        <f>HYPERLINK(Table1410[[#This Row],[Column1]])</f>
        <v/>
      </c>
    </row>
    <row r="1074" ht="30" customHeight="1" s="314">
      <c r="A1074" s="35" t="inlineStr">
        <is>
          <t>Autel MS906-1YRUpdate MS906 One Year Total Care Program Card</t>
        </is>
      </c>
      <c r="B1074" s="35" t="inlineStr">
        <is>
          <t>B0756XN3C5</t>
        </is>
      </c>
      <c r="C1074" s="35" t="inlineStr">
        <is>
          <t>Other</t>
        </is>
      </c>
      <c r="D1074" s="359" t="n">
        <v>290.81</v>
      </c>
      <c r="E1074" s="359" t="n">
        <v>17150.44</v>
      </c>
      <c r="F1074" s="359" t="n">
        <v>0</v>
      </c>
      <c r="G1074" s="68" t="n">
        <v>63</v>
      </c>
      <c r="H1074" s="70" t="n">
        <v>0</v>
      </c>
      <c r="I1074" s="68" t="n">
        <v>8</v>
      </c>
      <c r="J1074" s="69" t="n">
        <v>3.9</v>
      </c>
      <c r="K1074" s="69" t="inlineStr">
        <is>
          <t>https://amazon.com/dp/B0756XN3C5</t>
        </is>
      </c>
      <c r="L1074" s="114">
        <f>HYPERLINK(Table1410[[#This Row],[Column1]])</f>
        <v/>
      </c>
    </row>
    <row r="1075" ht="45" customHeight="1" s="314">
      <c r="A1075" s="35" t="inlineStr">
        <is>
          <t>Autel MaxiSYS Ultra Scanner, 2026 MSUltra Top Intelligent Scan Tool, Topology, 5IN1 VCMI, ECU Function, 3K+ Bidirectional Diagnostic, 40+ Reset Up of Ultra Lite MS919 MS909 Elite 2 Pro, Motor TruSpeed</t>
        </is>
      </c>
      <c r="B1075" s="35" t="inlineStr">
        <is>
          <t>B0971ZJ32Q</t>
        </is>
      </c>
      <c r="C1075" s="35" t="inlineStr">
        <is>
          <t>Tablet</t>
        </is>
      </c>
      <c r="D1075" s="359" t="n">
        <v>3999</v>
      </c>
      <c r="E1075" s="359" t="n">
        <v>116167.2</v>
      </c>
      <c r="F1075" s="359" t="n">
        <v>0</v>
      </c>
      <c r="G1075" s="68" t="n">
        <v>28</v>
      </c>
      <c r="H1075" s="70" t="n">
        <v>0</v>
      </c>
      <c r="I1075" s="68" t="n">
        <v>30</v>
      </c>
      <c r="J1075" s="69" t="n">
        <v>4.7</v>
      </c>
      <c r="K1075" s="69" t="inlineStr">
        <is>
          <t>https://amazon.com/dp/B0971ZJ32Q</t>
        </is>
      </c>
      <c r="L1075" s="114">
        <f>HYPERLINK(Table1410[[#This Row],[Column1]])</f>
        <v/>
      </c>
    </row>
    <row r="1076" ht="45" customHeight="1" s="314">
      <c r="A1076" s="35" t="inlineStr">
        <is>
          <t>Autel Memory Saver for Car Battery, MaxiBAS BTMS OBDII Battery Tester, Preserves Vehicle Codes, Electronic Presets, Provides Power, Maintain Data Surge Protection, Attaches to 12 Volt Backup Battery</t>
        </is>
      </c>
      <c r="B1076" s="35" t="inlineStr">
        <is>
          <t>B0BWDLM32C</t>
        </is>
      </c>
      <c r="C1076" s="35" t="inlineStr">
        <is>
          <t>Other</t>
        </is>
      </c>
      <c r="D1076" s="359" t="n">
        <v>45.99</v>
      </c>
      <c r="E1076" s="359" t="n">
        <v>3363.42</v>
      </c>
      <c r="F1076" s="359" t="n">
        <v>0</v>
      </c>
      <c r="G1076" s="68" t="n">
        <v>75</v>
      </c>
      <c r="H1076" s="70" t="n">
        <v>0</v>
      </c>
      <c r="I1076" s="68" t="n">
        <v>32</v>
      </c>
      <c r="J1076" s="69" t="n">
        <v>4.6</v>
      </c>
      <c r="K1076" s="69" t="inlineStr">
        <is>
          <t>https://amazon.com/dp/B0BWDLM32C</t>
        </is>
      </c>
      <c r="L1076" s="114">
        <f>HYPERLINK(Table1410[[#This Row],[Column1]])</f>
        <v/>
      </c>
    </row>
    <row r="1077" ht="45" customHeight="1" s="314">
      <c r="A1077" s="35" t="inlineStr">
        <is>
          <t>Autel Scanner MaxiPro MP808Z-TS with 2 Year Updates: Upgrade Version of MK900BT &amp; MP808BT Bidirectional Scan Tool, ECU Coding Same As MP900BT &amp; MP900-TS, Full System Diagnostic Tool with 31+ Services</t>
        </is>
      </c>
      <c r="B1077" s="35" t="inlineStr">
        <is>
          <t>B0BLNM89HH</t>
        </is>
      </c>
      <c r="C1077" s="35" t="inlineStr">
        <is>
          <t>Tablet</t>
        </is>
      </c>
      <c r="D1077" s="359" t="n">
        <v>899</v>
      </c>
      <c r="E1077" s="359" t="n">
        <v>18299.74</v>
      </c>
      <c r="F1077" s="359" t="n">
        <v>0</v>
      </c>
      <c r="G1077" s="68" t="n">
        <v>21</v>
      </c>
      <c r="H1077" s="70" t="n">
        <v>0</v>
      </c>
      <c r="I1077" s="68" t="n">
        <v>34</v>
      </c>
      <c r="J1077" s="69" t="n">
        <v>4.4</v>
      </c>
      <c r="K1077" s="69" t="inlineStr">
        <is>
          <t>https://amazon.com/dp/B0BLNM89HH</t>
        </is>
      </c>
      <c r="L1077" s="114">
        <f>HYPERLINK(Table1410[[#This Row],[Column1]])</f>
        <v/>
      </c>
    </row>
    <row r="1078" ht="45" customHeight="1" s="314">
      <c r="A1078" s="35" t="inlineStr">
        <is>
          <t>Autel MaxiTPMS TS608 1-Year Update Service, Total Care Program (TCP) Card, One Year Software Subscription &amp; Warranty for Complete TPMS &amp; All System Service Tablet Tool</t>
        </is>
      </c>
      <c r="B1078" s="35" t="inlineStr">
        <is>
          <t>B0CZ36BSQZ</t>
        </is>
      </c>
      <c r="C1078" s="35" t="inlineStr">
        <is>
          <t>Other</t>
        </is>
      </c>
      <c r="D1078" s="359" t="n">
        <v>219</v>
      </c>
      <c r="E1078" s="359" t="n">
        <v>1865.79</v>
      </c>
      <c r="F1078" s="359" t="n">
        <v>0</v>
      </c>
      <c r="G1078" s="68" t="n">
        <v>9</v>
      </c>
      <c r="H1078" s="70" t="n">
        <v>0</v>
      </c>
      <c r="I1078" s="68" t="n"/>
      <c r="J1078" s="69" t="n"/>
      <c r="K1078" s="69" t="inlineStr">
        <is>
          <t>https://amazon.com/dp/B0CZ36BSQZ</t>
        </is>
      </c>
      <c r="L1078" s="114">
        <f>HYPERLINK(Table1410[[#This Row],[Column1]])</f>
        <v/>
      </c>
    </row>
    <row r="1079" ht="17" customHeight="1" s="314">
      <c r="A1079" s="35" t="inlineStr">
        <is>
          <t>Autel Scanner MaxiPro MP900-TS, TPMS Version of MP900 &amp; MP900BT Bidirectional Scan Tool, ECU Coding Tool Same As MaxiSYS MS906BT MS906 Pro,40+ Services, All System OBD2 Scanner, CAN FD/DoIP</t>
        </is>
      </c>
      <c r="B1079" s="35" t="inlineStr">
        <is>
          <t>B0CCJN81JY</t>
        </is>
      </c>
      <c r="C1079" s="35" t="inlineStr">
        <is>
          <t>Tablet</t>
        </is>
      </c>
      <c r="D1079" s="359" t="n">
        <v>1099</v>
      </c>
      <c r="E1079" s="359" t="n">
        <v>10826.95</v>
      </c>
      <c r="F1079" s="359" t="n">
        <v>0</v>
      </c>
      <c r="G1079" s="68" t="n">
        <v>11</v>
      </c>
      <c r="H1079" s="70" t="n">
        <v>0</v>
      </c>
      <c r="I1079" s="68" t="n">
        <v>34</v>
      </c>
      <c r="J1079" s="69" t="n">
        <v>4.4</v>
      </c>
      <c r="K1079" s="69" t="inlineStr">
        <is>
          <t>https://amazon.com/dp/B0CCJN81JY</t>
        </is>
      </c>
      <c r="L1079" s="114">
        <f>HYPERLINK(Table1410[[#This Row],[Column1]])</f>
        <v/>
      </c>
    </row>
    <row r="1080" ht="60" customHeight="1" s="314">
      <c r="A1080" s="35" t="inlineStr">
        <is>
          <t>Autel MaxiCOM MK906Pro OBD2 Scanner Up of MS906BT MP900BT MS908S Bidirectional Control 36+ Services OE-Level Full System Diagnosis 8" in CAN FD DoIP FCA Autoauth Support</t>
        </is>
      </c>
      <c r="B1080" s="35" t="inlineStr">
        <is>
          <t>B0GFJ65MTR</t>
        </is>
      </c>
      <c r="C1080" s="35" t="inlineStr">
        <is>
          <t>Tablet</t>
        </is>
      </c>
      <c r="D1080" s="359" t="n">
        <v>1369</v>
      </c>
      <c r="E1080" s="359" t="n">
        <v>0</v>
      </c>
      <c r="F1080" s="359" t="n">
        <v>0</v>
      </c>
      <c r="G1080" s="68" t="n">
        <v>0</v>
      </c>
      <c r="H1080" s="70" t="n">
        <v>0</v>
      </c>
      <c r="I1080" s="68" t="n"/>
      <c r="J1080" s="69" t="n"/>
      <c r="K1080" s="69" t="inlineStr">
        <is>
          <t>https://amazon.com/dp/B0GFJ65MTR</t>
        </is>
      </c>
      <c r="L1080" s="114">
        <f>HYPERLINK(Table1410[[#This Row],[Column1]])</f>
        <v/>
      </c>
    </row>
    <row r="1081" ht="45" customHeight="1" s="314">
      <c r="A1081" s="35" t="inlineStr">
        <is>
          <t>Autel MaxiCheck MX900 Scanner Function as MK900 MK900BT Better Than MX808 MX808S MK808 MK808S MK808BT MS906 for 10000+ Vehicles 40+ Services as MP900 All System Diagnostic Scan Tool</t>
        </is>
      </c>
      <c r="B1081" s="35" t="inlineStr">
        <is>
          <t>B0C65JVRQM</t>
        </is>
      </c>
      <c r="C1081" s="35" t="inlineStr">
        <is>
          <t>Tablet</t>
        </is>
      </c>
      <c r="D1081" s="359" t="n">
        <v>559</v>
      </c>
      <c r="E1081" s="359" t="n">
        <v>19710.85</v>
      </c>
      <c r="F1081" s="359" t="n">
        <v>0</v>
      </c>
      <c r="G1081" s="68" t="n">
        <v>39</v>
      </c>
      <c r="H1081" s="70" t="n">
        <v>0</v>
      </c>
      <c r="I1081" s="68" t="n">
        <v>14</v>
      </c>
      <c r="J1081" s="69" t="n">
        <v>5</v>
      </c>
      <c r="K1081" s="69" t="inlineStr">
        <is>
          <t>https://amazon.com/dp/B0C65JVRQM</t>
        </is>
      </c>
      <c r="L1081" s="114">
        <f>HYPERLINK(Table1410[[#This Row],[Column1]])</f>
        <v/>
      </c>
    </row>
    <row r="1082" ht="60" customHeight="1" s="314">
      <c r="A1082" s="35" t="inlineStr">
        <is>
          <t>Autel Scanner MaxiCheck MX900, 2026 Bidirectional Scan Tool Same as MK900 MK900BT, All System Diagnostic, Updated of MK808S MK808BT Pro MX808S, 3000+ Active Test, 40+ Service, CAN-FD&amp;DoIP, FCA SGW</t>
        </is>
      </c>
      <c r="B1082" s="35" t="inlineStr">
        <is>
          <t>B0C65N1BG4</t>
        </is>
      </c>
      <c r="C1082" s="35" t="inlineStr">
        <is>
          <t>Tablet</t>
        </is>
      </c>
      <c r="D1082" s="359" t="n">
        <v>559</v>
      </c>
      <c r="E1082" s="359" t="n">
        <v>24423.14</v>
      </c>
      <c r="F1082" s="359" t="n">
        <v>0</v>
      </c>
      <c r="G1082" s="68" t="n">
        <v>48</v>
      </c>
      <c r="H1082" s="70" t="n">
        <v>0</v>
      </c>
      <c r="I1082" s="68" t="n">
        <v>27</v>
      </c>
      <c r="J1082" s="69" t="n">
        <v>4.7</v>
      </c>
      <c r="K1082" s="69" t="inlineStr">
        <is>
          <t>https://amazon.com/dp/B0C65N1BG4</t>
        </is>
      </c>
      <c r="L1082" s="114">
        <f>HYPERLINK(Table1410[[#This Row],[Column1]])</f>
        <v/>
      </c>
    </row>
    <row r="1083" ht="60" customHeight="1" s="314">
      <c r="A1083" s="35" t="inlineStr">
        <is>
          <t>Autel MaxiBAS BT608 12v Car Bettery Tester Automotive Electrical System Tester Adaptive Conductance All System Diagnostic AutoScan VIN scan Read/Clear Code Upgraded BT508 BT506</t>
        </is>
      </c>
      <c r="B1083" s="35" t="inlineStr">
        <is>
          <t>B08T84XL2N</t>
        </is>
      </c>
      <c r="C1083" s="35" t="inlineStr">
        <is>
          <t>Handheld</t>
        </is>
      </c>
      <c r="D1083" s="359" t="n">
        <v>449</v>
      </c>
      <c r="E1083" s="359" t="n">
        <v>3474.97</v>
      </c>
      <c r="F1083" s="359" t="n">
        <v>0</v>
      </c>
      <c r="G1083" s="68" t="n">
        <v>8</v>
      </c>
      <c r="H1083" s="70" t="n">
        <v>0</v>
      </c>
      <c r="I1083" s="68" t="n">
        <v>11</v>
      </c>
      <c r="J1083" s="69" t="n">
        <v>5</v>
      </c>
      <c r="K1083" s="69" t="inlineStr">
        <is>
          <t>https://amazon.com/dp/B08T84XL2N</t>
        </is>
      </c>
      <c r="L1083" s="114">
        <f>HYPERLINK(Table1410[[#This Row],[Column1]])</f>
        <v/>
      </c>
    </row>
    <row r="1084" ht="45" customHeight="1" s="314">
      <c r="A1084" s="35" t="inlineStr">
        <is>
          <t>Autel MaxiCOM MK808Z-BT Diagnostic Scanner - Bidirectional Scan Tool Work as MK900BT, Up of MK808S MX808S MK808Z, 28+ Services, Works w/ BT506/MV108S, Android 11, 150+ Brands, FCA</t>
        </is>
      </c>
      <c r="B1084" s="35" t="inlineStr">
        <is>
          <t>B0FJXY9426</t>
        </is>
      </c>
      <c r="C1084" s="35" t="inlineStr">
        <is>
          <t>Tablet</t>
        </is>
      </c>
      <c r="D1084" s="359" t="n">
        <v>519</v>
      </c>
      <c r="E1084" s="359" t="n">
        <v>4293.14</v>
      </c>
      <c r="F1084" s="359" t="n">
        <v>0</v>
      </c>
      <c r="G1084" s="68" t="n">
        <v>9</v>
      </c>
      <c r="H1084" s="70" t="n">
        <v>0</v>
      </c>
      <c r="I1084" s="68" t="n">
        <v>1</v>
      </c>
      <c r="J1084" s="69" t="n">
        <v>5</v>
      </c>
      <c r="K1084" s="69" t="inlineStr">
        <is>
          <t>https://amazon.com/dp/B0FJXY9426</t>
        </is>
      </c>
      <c r="L1084" s="114">
        <f>HYPERLINK(Table1410[[#This Row],[Column1]])</f>
        <v/>
      </c>
    </row>
    <row r="1085" ht="45" customHeight="1" s="314">
      <c r="A1085" s="35" t="inlineStr">
        <is>
          <t>Autel MaxiSys MS906MAX Scan Tool, Upgraded MS906 PRO/ MK906 PRO/ MS906BT/ MK906BT/ MK908/ MP900BT Scanner, ECU Coding, 40+ Services, 3000+ Active Tests, All System Diagnostic Tool, VAG Guided, FCA SGW</t>
        </is>
      </c>
      <c r="B1085" s="35" t="inlineStr">
        <is>
          <t>B0DLN9QCNX</t>
        </is>
      </c>
      <c r="C1085" s="35" t="inlineStr">
        <is>
          <t>Tablet</t>
        </is>
      </c>
      <c r="D1085" s="359" t="n">
        <v>1569</v>
      </c>
      <c r="E1085" s="359" t="n">
        <v>71590.2</v>
      </c>
      <c r="F1085" s="359" t="n">
        <v>0</v>
      </c>
      <c r="G1085" s="68" t="n">
        <v>47</v>
      </c>
      <c r="H1085" s="70" t="n">
        <v>0</v>
      </c>
      <c r="I1085" s="68" t="n">
        <v>6</v>
      </c>
      <c r="J1085" s="69" t="n">
        <v>5</v>
      </c>
      <c r="K1085" s="69" t="inlineStr">
        <is>
          <t>https://amazon.com/dp/B0DLN9QCNX</t>
        </is>
      </c>
      <c r="L1085" s="114">
        <f>HYPERLINK(Table1410[[#This Row],[Column1]])</f>
        <v/>
      </c>
    </row>
    <row r="1086" ht="45" customHeight="1" s="314">
      <c r="A1086" s="35" t="inlineStr">
        <is>
          <t>Autel MaxiSys Elite 2 PRO Scanner: 2026 Elite II Pro Top Car Diagnostic Scan Tool as MSUltra, 2-Year Free Update [$2590], Newer of MS919 MS909 MK908P, Motor TruSpeed, 40+ Service, 3K+ Test, CANFD DoIP</t>
        </is>
      </c>
      <c r="B1086" s="35" t="inlineStr">
        <is>
          <t>B0BZS4PQ3P</t>
        </is>
      </c>
      <c r="C1086" s="35" t="inlineStr">
        <is>
          <t>Tablet</t>
        </is>
      </c>
      <c r="D1086" s="359" t="n">
        <v>2369</v>
      </c>
      <c r="E1086" s="359" t="n">
        <v>0</v>
      </c>
      <c r="F1086" s="359" t="n">
        <v>0</v>
      </c>
      <c r="G1086" s="68" t="n">
        <v>0</v>
      </c>
      <c r="H1086" s="70" t="n">
        <v>0</v>
      </c>
      <c r="I1086" s="68" t="n">
        <v>4</v>
      </c>
      <c r="J1086" s="69" t="n">
        <v>5</v>
      </c>
      <c r="K1086" s="69" t="inlineStr">
        <is>
          <t>https://amazon.com/dp/B0BZS4PQ3P</t>
        </is>
      </c>
      <c r="L1086" s="114">
        <f>HYPERLINK(Table1410[[#This Row],[Column1]])</f>
        <v/>
      </c>
    </row>
    <row r="1087" ht="60" customHeight="1" s="314">
      <c r="A1087" s="35" t="inlineStr">
        <is>
          <t>Autel MaxiSys Ultra EV Scanner, 2026 Top EV Intelligent Scan Diagnostic Tool, with 5-in-1 VCMI &amp; EVDiag KIT, High-Voltage System &amp; Battery Pack Analysis, Up of Ultra/ MS919/ MS909 EV, E-C*U Program</t>
        </is>
      </c>
      <c r="B1087" s="35" t="inlineStr">
        <is>
          <t>B0BM3D2K2J</t>
        </is>
      </c>
      <c r="C1087" s="35" t="inlineStr">
        <is>
          <t>Tablet</t>
        </is>
      </c>
      <c r="D1087" s="359" t="n">
        <v>4995</v>
      </c>
      <c r="E1087" s="359" t="n">
        <v>122981.44</v>
      </c>
      <c r="F1087" s="359" t="n">
        <v>0</v>
      </c>
      <c r="G1087" s="68" t="n">
        <v>25</v>
      </c>
      <c r="H1087" s="70" t="n">
        <v>0</v>
      </c>
      <c r="I1087" s="68" t="n">
        <v>9</v>
      </c>
      <c r="J1087" s="69" t="n">
        <v>3.4</v>
      </c>
      <c r="K1087" s="69" t="inlineStr">
        <is>
          <t>https://amazon.com/dp/B0BM3D2K2J</t>
        </is>
      </c>
      <c r="L1087" s="114">
        <f>HYPERLINK(Table1410[[#This Row],[Column1]])</f>
        <v/>
      </c>
    </row>
    <row r="1088" ht="45" customHeight="1" s="314">
      <c r="A1088" s="35" t="inlineStr">
        <is>
          <t>Autel Scanner MaxiTPMS TS900 TPMS Programming Tool, 2025 Level-Up of MK808S-TS MK900 MX900 MK808S Same as MX900TS MK900TS, Full TPMS Function, 3000+ Active Test, 40+ Service, All System Diagnostic</t>
        </is>
      </c>
      <c r="B1088" s="35" t="inlineStr">
        <is>
          <t>B07H172WBS</t>
        </is>
      </c>
      <c r="C1088" s="35" t="inlineStr">
        <is>
          <t>Tablet</t>
        </is>
      </c>
      <c r="D1088" s="359" t="n">
        <v>799</v>
      </c>
      <c r="E1088" s="359" t="n">
        <v>5820.75</v>
      </c>
      <c r="F1088" s="359" t="n">
        <v>0</v>
      </c>
      <c r="G1088" s="68" t="n">
        <v>7</v>
      </c>
      <c r="H1088" s="70" t="n">
        <v>0</v>
      </c>
      <c r="I1088" s="68" t="n">
        <v>18</v>
      </c>
      <c r="J1088" s="69" t="n">
        <v>3.7</v>
      </c>
      <c r="K1088" s="69" t="inlineStr">
        <is>
          <t>https://amazon.com/dp/B07H172WBS</t>
        </is>
      </c>
      <c r="L1088" s="114">
        <f>HYPERLINK(Table1410[[#This Row],[Column1]])</f>
        <v/>
      </c>
    </row>
    <row r="1089" ht="30" customHeight="1" s="314">
      <c r="A1089" s="35" t="inlineStr">
        <is>
          <t>Autel MaxiSys MS919 J2534 Prog,ram, D-PDU RP1210, ECU C0.ding, 40+ Hot Services, Topology, AutoScan 2.0, Intelligent All System Autel Scanner, 99% Coverage, CANFD DOIP, Same as MS Ultra</t>
        </is>
      </c>
      <c r="B1089" s="35" t="inlineStr">
        <is>
          <t>B0FFZ94MYM</t>
        </is>
      </c>
      <c r="C1089" s="35" t="inlineStr">
        <is>
          <t>Tablet</t>
        </is>
      </c>
      <c r="D1089" s="359" t="n">
        <v>3799</v>
      </c>
      <c r="E1089" s="359" t="n">
        <v>16140.73</v>
      </c>
      <c r="F1089" s="359" t="n">
        <v>0</v>
      </c>
      <c r="G1089" s="68" t="n">
        <v>4</v>
      </c>
      <c r="H1089" s="70" t="n">
        <v>0</v>
      </c>
      <c r="I1089" s="68" t="n">
        <v>3</v>
      </c>
      <c r="J1089" s="69" t="n">
        <v>4.3</v>
      </c>
      <c r="K1089" s="69" t="inlineStr">
        <is>
          <t>https://amazon.com/dp/B0FFZ94MYM</t>
        </is>
      </c>
      <c r="L1089" s="114">
        <f>HYPERLINK(Table1410[[#This Row],[Column1]])</f>
        <v/>
      </c>
    </row>
    <row r="1090" ht="45" customHeight="1" s="314">
      <c r="A1090" s="35" t="inlineStr">
        <is>
          <t>Autel XLink J2534 Pass-Thru Programmer, Expert-Driven Remote Car Diagnostic Tool, Enhanced VCI, Supports DoIP/CAN/CAN FD/D-PDU/J2534/RP1210, Work with PC/Autel MS909 MS919 Ultra/Smart Phone</t>
        </is>
      </c>
      <c r="B1090" s="35" t="inlineStr">
        <is>
          <t>B0F2MJJPHS</t>
        </is>
      </c>
      <c r="C1090" s="35" t="inlineStr">
        <is>
          <t>VCI</t>
        </is>
      </c>
      <c r="D1090" s="359" t="n">
        <v>1295</v>
      </c>
      <c r="E1090" s="359" t="n">
        <v>27537.07</v>
      </c>
      <c r="F1090" s="359" t="n">
        <v>0</v>
      </c>
      <c r="G1090" s="68" t="n">
        <v>22</v>
      </c>
      <c r="H1090" s="70" t="n">
        <v>0</v>
      </c>
      <c r="I1090" s="68" t="n">
        <v>1</v>
      </c>
      <c r="J1090" s="69" t="n">
        <v>5</v>
      </c>
      <c r="K1090" s="69" t="inlineStr">
        <is>
          <t>https://amazon.com/dp/B0F2MJJPHS</t>
        </is>
      </c>
      <c r="L1090" s="114">
        <f>HYPERLINK(Table1410[[#This Row],[Column1]])</f>
        <v/>
      </c>
    </row>
    <row r="1091" ht="17" customHeight="1" s="314">
      <c r="A1091" s="35" t="inlineStr">
        <is>
          <t>Autel MS906BT1YRUPDATE 1 Year Software Subscription &amp; Warranty</t>
        </is>
      </c>
      <c r="B1091" s="35" t="inlineStr">
        <is>
          <t>B07CZRRRWV</t>
        </is>
      </c>
      <c r="C1091" s="35" t="inlineStr">
        <is>
          <t>Other</t>
        </is>
      </c>
      <c r="D1091" s="359" t="n">
        <v>533.1799999999999</v>
      </c>
      <c r="E1091" s="359" t="n">
        <v>13673.322</v>
      </c>
      <c r="F1091" s="359" t="n">
        <v>0</v>
      </c>
      <c r="G1091" s="68" t="n">
        <v>27</v>
      </c>
      <c r="H1091" s="70" t="n">
        <v>0</v>
      </c>
      <c r="I1091" s="68" t="n">
        <v>32</v>
      </c>
      <c r="J1091" s="69" t="n">
        <v>4.6</v>
      </c>
      <c r="K1091" s="69" t="inlineStr">
        <is>
          <t>https://amazon.com/dp/B07CZRRRWV</t>
        </is>
      </c>
      <c r="L1091" s="114">
        <f>HYPERLINK(Table1410[[#This Row],[Column1]])</f>
        <v/>
      </c>
    </row>
    <row r="1092" ht="45" customHeight="1" s="314">
      <c r="A1092" s="35" t="inlineStr">
        <is>
          <t>2026 Autel Scanner MaxiDiag MD909 PRO, MD909PRO Full Systems OBDII Car Diagnostic Tool, Wireless CAN FD Up of MaxiCOM MK808S MK808 MX808S, V2.0 of MD906PRO, 11 Services, Lifetime Free Updates, FCA</t>
        </is>
      </c>
      <c r="B1092" s="35" t="inlineStr">
        <is>
          <t>B0GTKPN1VG</t>
        </is>
      </c>
      <c r="C1092" s="35" t="inlineStr">
        <is>
          <t>Tablet</t>
        </is>
      </c>
      <c r="D1092" s="359" t="n">
        <v>329</v>
      </c>
      <c r="E1092" s="359" t="n">
        <v>0</v>
      </c>
      <c r="F1092" s="359" t="n">
        <v>0</v>
      </c>
      <c r="G1092" s="68" t="n">
        <v>0</v>
      </c>
      <c r="H1092" s="70" t="n">
        <v>0</v>
      </c>
      <c r="I1092" s="68" t="n"/>
      <c r="J1092" s="69" t="n"/>
      <c r="K1092" s="69" t="inlineStr">
        <is>
          <t>https://amazon.com/dp/B0GTKPN1VG</t>
        </is>
      </c>
      <c r="L1092" s="114">
        <f>HYPERLINK(Table1410[[#This Row],[Column1]])</f>
        <v/>
      </c>
    </row>
    <row r="1093" ht="45" customHeight="1" s="314">
      <c r="A1093" s="35" t="inlineStr">
        <is>
          <t>Autel MaxiCOM MK808S Bidirectional Scanner: 2026 Same as MaxiCheck MX808S MX900 MK900BT MK808BT Pro, 3000+ Active Test, 28+ Service for 200+ Brands, OBD2 All System Diagnose, FCA Autoauth &amp; SGW, OS 11</t>
        </is>
      </c>
      <c r="B1093" s="35" t="inlineStr">
        <is>
          <t>B0GX1WPD31</t>
        </is>
      </c>
      <c r="C1093" s="35" t="inlineStr">
        <is>
          <t>Tablet</t>
        </is>
      </c>
      <c r="D1093" s="359" t="n">
        <v>479</v>
      </c>
      <c r="E1093" s="359" t="n">
        <v>0</v>
      </c>
      <c r="F1093" s="359" t="n">
        <v>0</v>
      </c>
      <c r="G1093" s="68" t="n">
        <v>0</v>
      </c>
      <c r="H1093" s="70" t="n">
        <v>0</v>
      </c>
      <c r="I1093" s="68" t="n"/>
      <c r="J1093" s="69" t="n"/>
      <c r="K1093" s="69" t="inlineStr">
        <is>
          <t>https://amazon.com/dp/B0GX1WPD31</t>
        </is>
      </c>
      <c r="L1093" s="114">
        <f>HYPERLINK(Table1410[[#This Row],[Column1]])</f>
        <v/>
      </c>
    </row>
    <row r="1094" ht="45" customHeight="1" s="314">
      <c r="A1094" s="35" t="inlineStr">
        <is>
          <t>Autel PS100 Powerscan Automotive Circuit Tester</t>
        </is>
      </c>
      <c r="B1094" s="35" t="inlineStr">
        <is>
          <t>B00G9076ES</t>
        </is>
      </c>
      <c r="C1094" s="35" t="inlineStr">
        <is>
          <t>Probe</t>
        </is>
      </c>
      <c r="D1094" s="359" t="n">
        <v>99.98999999999999</v>
      </c>
      <c r="E1094" s="359" t="n">
        <v>864.05</v>
      </c>
      <c r="F1094" s="359" t="n">
        <v>0</v>
      </c>
      <c r="G1094" s="68" t="n">
        <v>9</v>
      </c>
      <c r="H1094" s="70" t="n">
        <v>0</v>
      </c>
      <c r="I1094" s="68" t="n">
        <v>1</v>
      </c>
      <c r="J1094" s="69" t="n">
        <v>5</v>
      </c>
      <c r="K1094" s="69" t="inlineStr">
        <is>
          <t>https://amazon.com/dp/B00G9076ES</t>
        </is>
      </c>
      <c r="L1094" s="114">
        <f>HYPERLINK(Table1410[[#This Row],[Column1]])</f>
        <v/>
      </c>
    </row>
    <row r="1095" ht="45" customHeight="1" s="314">
      <c r="A1095" s="35" t="inlineStr">
        <is>
          <t>Autel Original Tesla Diagnostic Cables Set for Tesla S &amp; Tesla X, Tesla OBD2 Diagnostic Tools Adapter for Autel MaxiSYS 909/919/908SPro/Elite/Elite II/Ultra Tablets</t>
        </is>
      </c>
      <c r="B1095" s="35" t="inlineStr">
        <is>
          <t>B09XQMLWTY</t>
        </is>
      </c>
      <c r="C1095" s="35" t="inlineStr">
        <is>
          <t>Cable/Adapter</t>
        </is>
      </c>
      <c r="D1095" s="359" t="n">
        <v>54.56</v>
      </c>
      <c r="E1095" s="359" t="n">
        <v>3479.639999999999</v>
      </c>
      <c r="F1095" s="359" t="n">
        <v>0</v>
      </c>
      <c r="G1095" s="68" t="n">
        <v>63</v>
      </c>
      <c r="H1095" s="70" t="n">
        <v>0</v>
      </c>
      <c r="I1095" s="68" t="n">
        <v>20</v>
      </c>
      <c r="J1095" s="69" t="n">
        <v>4</v>
      </c>
      <c r="K1095" s="69" t="inlineStr">
        <is>
          <t>https://amazon.com/dp/B09XQMLWTY</t>
        </is>
      </c>
      <c r="L1095" s="114">
        <f>HYPERLINK(Table1410[[#This Row],[Column1]])</f>
        <v/>
      </c>
    </row>
    <row r="1096" ht="17" customHeight="1" s="314">
      <c r="A1096" s="35" t="inlineStr">
        <is>
          <t>Autel VCI V100 MaxiSYS VCI100 Compact Bluetooth-Compatible Vehicle Communication Interface Wireless Interface Vehicle Diagnostic Connector for MS906BT MS906TS Bluetooth Adapter</t>
        </is>
      </c>
      <c r="B1096" s="35" t="inlineStr">
        <is>
          <t>B0B878SZZP</t>
        </is>
      </c>
      <c r="C1096" s="35" t="inlineStr">
        <is>
          <t>Dongle</t>
        </is>
      </c>
      <c r="D1096" s="359" t="n">
        <v>199</v>
      </c>
      <c r="E1096" s="359" t="n">
        <v>4136.539999999999</v>
      </c>
      <c r="F1096" s="359" t="n">
        <v>0</v>
      </c>
      <c r="G1096" s="68" t="n">
        <v>20</v>
      </c>
      <c r="H1096" s="70" t="n">
        <v>0</v>
      </c>
      <c r="I1096" s="68" t="n">
        <v>8</v>
      </c>
      <c r="J1096" s="69" t="n">
        <v>5</v>
      </c>
      <c r="K1096" s="69" t="inlineStr">
        <is>
          <t>https://amazon.com/dp/B0B878SZZP</t>
        </is>
      </c>
      <c r="L1096" s="114">
        <f>HYPERLINK(Table1410[[#This Row],[Column1]])</f>
        <v/>
      </c>
    </row>
    <row r="1097" ht="45" customHeight="1" s="314">
      <c r="A1097" s="35" t="inlineStr">
        <is>
          <t>Autel MaxiTPMS ITS600Pro TPMS Programming Tool with Full TPMS, Upgraded Version of TS508 TS608 MK808TS ITS600 Complete TPMS Functions, 36+ Services, All System Diagnostics Free Lifetime TPMS Updates</t>
        </is>
      </c>
      <c r="B1097" s="35" t="inlineStr">
        <is>
          <t>B0BTSXJ61Y</t>
        </is>
      </c>
      <c r="C1097" s="35" t="inlineStr">
        <is>
          <t>Handheld</t>
        </is>
      </c>
      <c r="D1097" s="359" t="n">
        <v>663</v>
      </c>
      <c r="E1097" s="359" t="n">
        <v>12613.89</v>
      </c>
      <c r="F1097" s="359" t="n">
        <v>0</v>
      </c>
      <c r="G1097" s="68" t="n">
        <v>20</v>
      </c>
      <c r="H1097" s="70" t="n">
        <v>0</v>
      </c>
      <c r="I1097" s="68" t="n">
        <v>12</v>
      </c>
      <c r="J1097" s="69" t="n">
        <v>4.4</v>
      </c>
      <c r="K1097" s="69" t="inlineStr">
        <is>
          <t>https://amazon.com/dp/B0BTSXJ61Y</t>
        </is>
      </c>
      <c r="L1097" s="114">
        <f>HYPERLINK(Table1410[[#This Row],[Column1]])</f>
        <v/>
      </c>
    </row>
    <row r="1098" ht="45" customHeight="1" s="314">
      <c r="A1098" s="35" t="inlineStr">
        <is>
          <t>Autel OBD2 Scanner Maxilink ML529, 2026 Code Reader Full OBD2 Functions for Turning Off Engine Light O2 Sensor Test AutoVin DTC Lookup Free Online Update</t>
        </is>
      </c>
      <c r="B1098" s="35" t="inlineStr">
        <is>
          <t>B07PR3BNX3</t>
        </is>
      </c>
      <c r="C1098" s="35" t="inlineStr">
        <is>
          <t>Handheld</t>
        </is>
      </c>
      <c r="D1098" s="359" t="n">
        <v>59</v>
      </c>
      <c r="E1098" s="359" t="n">
        <v>1757.15</v>
      </c>
      <c r="F1098" s="359" t="n">
        <v>0</v>
      </c>
      <c r="G1098" s="68" t="n">
        <v>30</v>
      </c>
      <c r="H1098" s="70" t="n">
        <v>0</v>
      </c>
      <c r="I1098" s="68" t="n">
        <v>243</v>
      </c>
      <c r="J1098" s="69" t="n">
        <v>4.6</v>
      </c>
      <c r="K1098" s="69" t="inlineStr">
        <is>
          <t>https://amazon.com/dp/B07PR3BNX3</t>
        </is>
      </c>
      <c r="L1098" s="114">
        <f>HYPERLINK(Table1410[[#This Row],[Column1]])</f>
        <v/>
      </c>
    </row>
    <row r="1099" ht="45" customHeight="1" s="314">
      <c r="A1099" s="35" t="inlineStr">
        <is>
          <t>Autel MaxiSys MS908CV II: 2026 Heavy Duty Truck Scanner Upgrade of MS908CV, Same as MS909CV, Semi Truck Tool with J2534 Tool, C0ding, Active Test, 64 Service, Diesel Diagnostic Tool</t>
        </is>
      </c>
      <c r="B1099" s="35" t="inlineStr">
        <is>
          <t>B00E5YQZR4</t>
        </is>
      </c>
      <c r="C1099" s="35" t="inlineStr">
        <is>
          <t>Tablet</t>
        </is>
      </c>
      <c r="D1099" s="359" t="n">
        <v>2899</v>
      </c>
      <c r="E1099" s="359" t="n">
        <v>12954.62</v>
      </c>
      <c r="F1099" s="359" t="n">
        <v>0</v>
      </c>
      <c r="G1099" s="68" t="n">
        <v>4</v>
      </c>
      <c r="H1099" s="70" t="n">
        <v>0</v>
      </c>
      <c r="I1099" s="68" t="n">
        <v>13</v>
      </c>
      <c r="J1099" s="69" t="n">
        <v>4.2</v>
      </c>
      <c r="K1099" s="69" t="inlineStr">
        <is>
          <t>https://amazon.com/dp/B00E5YQZR4</t>
        </is>
      </c>
      <c r="L1099" s="114">
        <f>HYPERLINK(Table1410[[#This Row],[Column1]])</f>
        <v/>
      </c>
    </row>
    <row r="1100" ht="60" customHeight="1" s="314">
      <c r="A1100" s="35" t="inlineStr">
        <is>
          <t>Autel MS906BT1YRUPDATE, XNR-SS278</t>
        </is>
      </c>
      <c r="B1100" s="35" t="inlineStr">
        <is>
          <t>B0CRCXZ7XJ</t>
        </is>
      </c>
      <c r="C1100" s="35" t="inlineStr">
        <is>
          <t>Other</t>
        </is>
      </c>
      <c r="D1100" s="359" t="n">
        <v>409</v>
      </c>
      <c r="E1100" s="359" t="n">
        <v>10504.19</v>
      </c>
      <c r="F1100" s="359" t="n">
        <v>0</v>
      </c>
      <c r="G1100" s="68" t="n">
        <v>27</v>
      </c>
      <c r="H1100" s="70" t="n">
        <v>0</v>
      </c>
      <c r="I1100" s="68" t="n">
        <v>2</v>
      </c>
      <c r="J1100" s="69" t="n">
        <v>4.5</v>
      </c>
      <c r="K1100" s="69" t="inlineStr">
        <is>
          <t>https://amazon.com/dp/B0CRCXZ7XJ</t>
        </is>
      </c>
      <c r="L1100" s="114">
        <f>HYPERLINK(Table1410[[#This Row],[Column1]])</f>
        <v/>
      </c>
    </row>
    <row r="1101" ht="60" customHeight="1" s="314">
      <c r="A1101" s="35" t="inlineStr">
        <is>
          <t>OBDII Main Test Cable OBD2 Main Diagnostic Cable for Autel MaxiSys MS908</t>
        </is>
      </c>
      <c r="B1101" s="35" t="inlineStr">
        <is>
          <t>B01F8RIFEM</t>
        </is>
      </c>
      <c r="C1101" s="35" t="inlineStr">
        <is>
          <t>Cable/Adapter</t>
        </is>
      </c>
      <c r="D1101" s="359" t="n">
        <v>9.99</v>
      </c>
      <c r="E1101" s="359" t="n">
        <v>37.4</v>
      </c>
      <c r="F1101" s="359" t="n">
        <v>0</v>
      </c>
      <c r="G1101" s="68" t="n">
        <v>4</v>
      </c>
      <c r="H1101" s="70" t="n">
        <v>0</v>
      </c>
      <c r="I1101" s="68" t="n">
        <v>90</v>
      </c>
      <c r="J1101" s="69" t="n">
        <v>4.7</v>
      </c>
      <c r="K1101" s="69" t="inlineStr">
        <is>
          <t>https://amazon.com/dp/B01F8RIFEM</t>
        </is>
      </c>
      <c r="L1101" s="114">
        <f>HYPERLINK(Table1410[[#This Row],[Column1]])</f>
        <v/>
      </c>
    </row>
    <row r="1102" ht="45" customHeight="1" s="314">
      <c r="A1102" s="35" t="inlineStr">
        <is>
          <t>Autel MaxiSys Ultra EV 2025 UltraEV: Updated of MS Ultra Elite II Pro w/EVDiag Kit, High-Voltage System &amp; Battery Analysis, MaxiFlash VCMI, J2534 Programming, Motor TruSpeed Repair, Topology Map 2.0</t>
        </is>
      </c>
      <c r="B1102" s="35" t="inlineStr">
        <is>
          <t>B077MJR54G</t>
        </is>
      </c>
      <c r="C1102" s="35" t="inlineStr">
        <is>
          <t>Tablet</t>
        </is>
      </c>
      <c r="D1102" s="359" t="n">
        <v>4995</v>
      </c>
      <c r="E1102" s="359" t="n">
        <v>6684.02</v>
      </c>
      <c r="F1102" s="359" t="n">
        <v>0</v>
      </c>
      <c r="G1102" s="68" t="n">
        <v>1</v>
      </c>
      <c r="H1102" s="70" t="n">
        <v>0</v>
      </c>
      <c r="I1102" s="68" t="n">
        <v>12</v>
      </c>
      <c r="J1102" s="69" t="n">
        <v>4.4</v>
      </c>
      <c r="K1102" s="69" t="inlineStr">
        <is>
          <t>https://amazon.com/dp/B077MJR54G</t>
        </is>
      </c>
      <c r="L1102" s="114">
        <f>HYPERLINK(Table1410[[#This Row],[Column1]])</f>
        <v/>
      </c>
    </row>
    <row r="1103" ht="45" customHeight="1" s="314">
      <c r="A1103" s="35" t="inlineStr">
        <is>
          <t>Autel MaxiTPMS ITS600 2026 Handy TPMS Tool, Wireless TPMS Tablet with Bluetooth VCI, Free Lifetime Oil Light Reset, Electronic Brake Service, Battery Registration, Steering Angle Reset 4 Service</t>
        </is>
      </c>
      <c r="B1103" s="35" t="inlineStr">
        <is>
          <t>B094863K26</t>
        </is>
      </c>
      <c r="C1103" s="35" t="inlineStr">
        <is>
          <t>Handheld</t>
        </is>
      </c>
      <c r="D1103" s="359" t="n">
        <v>499</v>
      </c>
      <c r="E1103" s="359" t="n">
        <v>3908.07</v>
      </c>
      <c r="F1103" s="359" t="n">
        <v>0</v>
      </c>
      <c r="G1103" s="68" t="n">
        <v>8</v>
      </c>
      <c r="H1103" s="70" t="n">
        <v>0</v>
      </c>
      <c r="I1103" s="68" t="n">
        <v>5</v>
      </c>
      <c r="J1103" s="69" t="n">
        <v>3.6</v>
      </c>
      <c r="K1103" s="69" t="inlineStr">
        <is>
          <t>https://amazon.com/dp/B094863K26</t>
        </is>
      </c>
      <c r="L1103" s="114">
        <f>HYPERLINK(Table1410[[#This Row],[Column1]])</f>
        <v/>
      </c>
    </row>
    <row r="1104" ht="45" customHeight="1" s="314">
      <c r="A1104" s="35" t="inlineStr">
        <is>
          <t>Autel MaxiSYS Ultra EV Intelligent Scanner, 2026 EV Ver.of Ultra S2 MS909S2, Up of Ultra MS909 MS909EV MS919, with EVDiag Kit, High-Voltage System &amp; Battery Pack Analysis, 5-in-1 VCMI, Motor Truspeed</t>
        </is>
      </c>
      <c r="B1104" s="35" t="inlineStr">
        <is>
          <t>B0BGSJYCTY</t>
        </is>
      </c>
      <c r="C1104" s="35" t="inlineStr">
        <is>
          <t>Tablet</t>
        </is>
      </c>
      <c r="D1104" s="359" t="n">
        <v>4995</v>
      </c>
      <c r="E1104" s="359" t="n">
        <v>43952.92000000001</v>
      </c>
      <c r="F1104" s="359" t="n">
        <v>0</v>
      </c>
      <c r="G1104" s="68" t="n">
        <v>11</v>
      </c>
      <c r="H1104" s="70" t="n">
        <v>0</v>
      </c>
      <c r="I1104" s="68" t="n">
        <v>2</v>
      </c>
      <c r="J1104" s="69" t="n">
        <v>5</v>
      </c>
      <c r="K1104" s="69" t="inlineStr">
        <is>
          <t>https://amazon.com/dp/B0BGSJYCTY</t>
        </is>
      </c>
      <c r="L1104" s="114">
        <f>HYPERLINK(Table1410[[#This Row],[Column1]])</f>
        <v/>
      </c>
    </row>
    <row r="1105" ht="17" customHeight="1" s="314">
      <c r="A1105" s="35" t="inlineStr">
        <is>
          <t>Autel MaxiCheck MX900 Same MK900 OBD2 Scan Tool Updated of MK808 MK808S MK808BT Android 11 40+ Service Functions 8 inch All System Diagnostics Scanner</t>
        </is>
      </c>
      <c r="B1105" s="35" t="inlineStr">
        <is>
          <t>B0CY28XF7G</t>
        </is>
      </c>
      <c r="C1105" s="35" t="inlineStr">
        <is>
          <t>Tablet</t>
        </is>
      </c>
      <c r="D1105" s="359" t="n">
        <v>559</v>
      </c>
      <c r="E1105" s="359" t="n">
        <v>5357.84</v>
      </c>
      <c r="F1105" s="359" t="n">
        <v>0</v>
      </c>
      <c r="G1105" s="68" t="n">
        <v>10</v>
      </c>
      <c r="H1105" s="70" t="n">
        <v>0</v>
      </c>
      <c r="I1105" s="68" t="n">
        <v>8</v>
      </c>
      <c r="J1105" s="69" t="n">
        <v>4.5</v>
      </c>
      <c r="K1105" s="69" t="inlineStr">
        <is>
          <t>https://amazon.com/dp/B0CY28XF7G</t>
        </is>
      </c>
      <c r="L1105" s="114">
        <f>HYPERLINK(Table1410[[#This Row],[Column1]])</f>
        <v/>
      </c>
    </row>
    <row r="1106" ht="17" customHeight="1" s="314">
      <c r="A1106" s="35" t="inlineStr">
        <is>
          <t>Autel MaxiSys Ultra 1-Year Update Service, Total Care Program (TCP) Card, One Year Software Subscription &amp; Warranty for OBD2/CAN Bi-Directional Dual Wi-Fi Diagnostic Scanner and VCMI</t>
        </is>
      </c>
      <c r="B1106" s="35" t="inlineStr">
        <is>
          <t>B0CZ3QNHXQ</t>
        </is>
      </c>
      <c r="C1106" s="35" t="inlineStr">
        <is>
          <t>Other</t>
        </is>
      </c>
      <c r="D1106" s="359" t="n">
        <v>1299</v>
      </c>
      <c r="E1106" s="359" t="n">
        <v>21223.1</v>
      </c>
      <c r="F1106" s="359" t="n">
        <v>0</v>
      </c>
      <c r="G1106" s="68" t="n">
        <v>16</v>
      </c>
      <c r="H1106" s="70" t="n">
        <v>0</v>
      </c>
      <c r="I1106" s="68" t="n"/>
      <c r="J1106" s="69" t="n"/>
      <c r="K1106" s="69" t="inlineStr">
        <is>
          <t>https://amazon.com/dp/B0CZ3QNHXQ</t>
        </is>
      </c>
      <c r="L1106" s="114">
        <f>HYPERLINK(Table1410[[#This Row],[Column1]])</f>
        <v/>
      </c>
    </row>
    <row r="1107" ht="60" customHeight="1" s="314">
      <c r="A1107" s="35" t="inlineStr">
        <is>
          <t>Autel MaxiCheck MX900 Include MV108S Function as MK900 MK900BT Upgrade of MX808 MK808S MD808 MS906 OBD2 Scanner All System Diagnostic Scan Tool</t>
        </is>
      </c>
      <c r="B1107" s="35" t="inlineStr">
        <is>
          <t>B09MRZH3SY</t>
        </is>
      </c>
      <c r="C1107" s="35" t="inlineStr">
        <is>
          <t>Tablet</t>
        </is>
      </c>
      <c r="D1107" s="359" t="n">
        <v>589</v>
      </c>
      <c r="E1107" s="359" t="n">
        <v>2627.05</v>
      </c>
      <c r="F1107" s="359" t="n">
        <v>0</v>
      </c>
      <c r="G1107" s="68" t="n">
        <v>4</v>
      </c>
      <c r="H1107" s="70" t="n">
        <v>0</v>
      </c>
      <c r="I1107" s="68" t="n">
        <v>4</v>
      </c>
      <c r="J1107" s="69" t="n">
        <v>5</v>
      </c>
      <c r="K1107" s="69" t="inlineStr">
        <is>
          <t>https://amazon.com/dp/B09MRZH3SY</t>
        </is>
      </c>
      <c r="L1107" s="114">
        <f>HYPERLINK(Table1410[[#This Row],[Column1]])</f>
        <v/>
      </c>
    </row>
    <row r="1108" ht="45" customHeight="1" s="314">
      <c r="A1108" s="35" t="inlineStr">
        <is>
          <t>Autel J2534 MaxiFlash VCI Kit, 2025 Bluetooth Vehicle Communication Interface J2534, ECU Programming, DoIP/CAN FD/ J2534/ D-PDU 4 Channels, Work with MaxiSYS MS909 MS909EV MS909CV MaxiCOM Ultra Lite</t>
        </is>
      </c>
      <c r="B1108" s="35" t="inlineStr">
        <is>
          <t>B0B1TCK59R</t>
        </is>
      </c>
      <c r="C1108" s="35" t="inlineStr">
        <is>
          <t>VCI</t>
        </is>
      </c>
      <c r="D1108" s="359" t="n">
        <v>999</v>
      </c>
      <c r="E1108" s="359" t="n">
        <v>13554.92</v>
      </c>
      <c r="F1108" s="359" t="n">
        <v>0</v>
      </c>
      <c r="G1108" s="68" t="n">
        <v>14</v>
      </c>
      <c r="H1108" s="70" t="n">
        <v>0</v>
      </c>
      <c r="I1108" s="68" t="n">
        <v>10</v>
      </c>
      <c r="J1108" s="69" t="n">
        <v>4.4</v>
      </c>
      <c r="K1108" s="69" t="inlineStr">
        <is>
          <t>https://amazon.com/dp/B0B1TCK59R</t>
        </is>
      </c>
      <c r="L1108" s="114">
        <f>HYPERLINK(Table1410[[#This Row],[Column1]])</f>
        <v/>
      </c>
    </row>
    <row r="1109" ht="60" customHeight="1" s="314">
      <c r="A1109" s="35" t="inlineStr">
        <is>
          <t>Autel MaxiTPMS TBE200 with Screen Wiper Autel Tire Brake Examiner Tire Tread Depth &amp; Brake Disc Wear Examiner Touchscreen Real-time Tire Health Tire ID Scan Reports &amp; Repair Tips On ITS600</t>
        </is>
      </c>
      <c r="B1109" s="35" t="inlineStr">
        <is>
          <t>B0BDRDXPBT</t>
        </is>
      </c>
      <c r="C1109" s="35" t="inlineStr">
        <is>
          <t>Other</t>
        </is>
      </c>
      <c r="D1109" s="359" t="n">
        <v>569.5</v>
      </c>
      <c r="E1109" s="359" t="n">
        <v>3088.88</v>
      </c>
      <c r="F1109" s="359" t="n">
        <v>0</v>
      </c>
      <c r="G1109" s="68" t="n">
        <v>7</v>
      </c>
      <c r="H1109" s="70" t="n">
        <v>0</v>
      </c>
      <c r="I1109" s="68" t="n">
        <v>2</v>
      </c>
      <c r="J1109" s="69" t="n">
        <v>3.9</v>
      </c>
      <c r="K1109" s="69" t="inlineStr">
        <is>
          <t>https://amazon.com/dp/B0BDRDXPBT</t>
        </is>
      </c>
      <c r="L1109" s="114">
        <f>HYPERLINK(Table1410[[#This Row],[Column1]])</f>
        <v/>
      </c>
    </row>
    <row r="1110" ht="17" customHeight="1" s="314">
      <c r="A1110" s="35" t="inlineStr">
        <is>
          <t>Autel MaxiSys MS909 S2 Scanner: 2026 Top AI Intelligen Scan Diagnostic as Ultra S2 MS919S2, Up of Ultra MS919 MS909, 3.0 Topology, Enhanced PID Analysis, Motor Truspeed, 48+ Service, JVCI2 Pr0gramming</t>
        </is>
      </c>
      <c r="B1110" s="35" t="inlineStr">
        <is>
          <t>B0FXMRS5FR</t>
        </is>
      </c>
      <c r="C1110" s="35" t="inlineStr">
        <is>
          <t>Tablet</t>
        </is>
      </c>
      <c r="D1110" s="359" t="n">
        <v>3599</v>
      </c>
      <c r="E1110" s="359" t="n">
        <v>18149.52</v>
      </c>
      <c r="F1110" s="359" t="n">
        <v>0</v>
      </c>
      <c r="G1110" s="68" t="n">
        <v>5</v>
      </c>
      <c r="H1110" s="70" t="n">
        <v>0</v>
      </c>
      <c r="I1110" s="68" t="n">
        <v>1</v>
      </c>
      <c r="J1110" s="69" t="n">
        <v>5</v>
      </c>
      <c r="K1110" s="69" t="inlineStr">
        <is>
          <t>https://amazon.com/dp/B0FXMRS5FR</t>
        </is>
      </c>
      <c r="L1110" s="114">
        <f>HYPERLINK(Table1410[[#This Row],[Column1]])</f>
        <v/>
      </c>
    </row>
    <row r="1111" ht="60" customHeight="1" s="314">
      <c r="A1111" s="35" t="inlineStr">
        <is>
          <t>Autel MaxiSys Ultra EV 1-Year Update Service, Total Care Program (TCP) Card, One Year Software Subscription &amp; Warranty</t>
        </is>
      </c>
      <c r="B1111" s="35" t="inlineStr">
        <is>
          <t>B0FR8VJPF6</t>
        </is>
      </c>
      <c r="C1111" s="35" t="inlineStr">
        <is>
          <t>Tablet</t>
        </is>
      </c>
      <c r="D1111" s="359" t="n">
        <v>1299</v>
      </c>
      <c r="E1111" s="359" t="n">
        <v>0</v>
      </c>
      <c r="F1111" s="359" t="n">
        <v>0</v>
      </c>
      <c r="G1111" s="68" t="n">
        <v>0</v>
      </c>
      <c r="H1111" s="70" t="n">
        <v>0</v>
      </c>
      <c r="I1111" s="68" t="n"/>
      <c r="J1111" s="69" t="n"/>
      <c r="K1111" s="69" t="inlineStr">
        <is>
          <t>https://amazon.com/dp/B0FR8VJPF6</t>
        </is>
      </c>
      <c r="L1111" s="114">
        <f>HYPERLINK(Table1410[[#This Row],[Column1]])</f>
        <v/>
      </c>
    </row>
    <row r="1112" ht="17" customHeight="1" s="314">
      <c r="A1112" s="35" t="inlineStr">
        <is>
          <t>Autel MaxiSys MS909 Scanner: 2026 MS909 Scan Tool Same as MS919 Ultra, Up of MS908S PRO II Elite II, Intelligent Diagnostics, Topology 2.0, 40+ Services, Active Test</t>
        </is>
      </c>
      <c r="B1112" s="35" t="inlineStr">
        <is>
          <t>B07NYQL1WV</t>
        </is>
      </c>
      <c r="C1112" s="35" t="inlineStr">
        <is>
          <t>Tablet</t>
        </is>
      </c>
      <c r="D1112" s="359" t="n">
        <v>2999</v>
      </c>
      <c r="E1112" s="359" t="n">
        <v>24534.84</v>
      </c>
      <c r="F1112" s="359" t="n">
        <v>0</v>
      </c>
      <c r="G1112" s="68" t="n">
        <v>7</v>
      </c>
      <c r="H1112" s="70" t="n">
        <v>0</v>
      </c>
      <c r="I1112" s="68" t="n">
        <v>9</v>
      </c>
      <c r="J1112" s="69" t="n">
        <v>4.6</v>
      </c>
      <c r="K1112" s="69" t="inlineStr">
        <is>
          <t>https://amazon.com/dp/B07NYQL1WV</t>
        </is>
      </c>
      <c r="L1112" s="114">
        <f>HYPERLINK(Table1410[[#This Row],[Column1]])</f>
        <v/>
      </c>
    </row>
    <row r="1113" ht="45" customHeight="1" s="314">
      <c r="A1113" s="35" t="inlineStr">
        <is>
          <t>Autel MaxiTPMS ITS600CV Commercial Vehicle TPMS Tool, for Trucks Trailers Buses, Activate/Read/Program CVS-A01 Sensors, Bluetooth VCI, Bendix/WABCO Support, Includes 6/9-Pin UNI-4 DLC Adapters</t>
        </is>
      </c>
      <c r="B1113" s="35" t="inlineStr">
        <is>
          <t>B0FN75BVGG</t>
        </is>
      </c>
      <c r="C1113" s="35" t="inlineStr">
        <is>
          <t>Handheld</t>
        </is>
      </c>
      <c r="D1113" s="359" t="n">
        <v>699</v>
      </c>
      <c r="E1113" s="359" t="n">
        <v>3572.35</v>
      </c>
      <c r="F1113" s="359" t="n">
        <v>0</v>
      </c>
      <c r="G1113" s="68" t="n">
        <v>5</v>
      </c>
      <c r="H1113" s="70" t="n">
        <v>0</v>
      </c>
      <c r="I1113" s="68" t="n">
        <v>1</v>
      </c>
      <c r="J1113" s="69" t="n">
        <v>5</v>
      </c>
      <c r="K1113" s="69" t="inlineStr">
        <is>
          <t>https://amazon.com/dp/B0FN75BVGG</t>
        </is>
      </c>
      <c r="L1113" s="114">
        <f>HYPERLINK(Table1410[[#This Row],[Column1]])</f>
        <v/>
      </c>
    </row>
    <row r="1114" ht="30" customHeight="1" s="314">
      <c r="A1114" s="35" t="inlineStr">
        <is>
          <t>Autel MaxiTPMS TS900 TPMS Tool Programming Same as MX900TS Upgrade of MS906TS TS608 MK808 MK808S Programming Relearn Reset Full TPMS Functions DoIP&amp;CAN FD</t>
        </is>
      </c>
      <c r="B1114" s="35" t="inlineStr">
        <is>
          <t>B0CZN1DQWC</t>
        </is>
      </c>
      <c r="C1114" s="35" t="inlineStr">
        <is>
          <t>Tablet</t>
        </is>
      </c>
      <c r="D1114" s="359" t="n">
        <v>849</v>
      </c>
      <c r="E1114" s="359" t="n">
        <v>8703.23</v>
      </c>
      <c r="F1114" s="359" t="n">
        <v>0</v>
      </c>
      <c r="G1114" s="68" t="n">
        <v>11</v>
      </c>
      <c r="H1114" s="70" t="n">
        <v>0</v>
      </c>
      <c r="I1114" s="68" t="n">
        <v>7</v>
      </c>
      <c r="J1114" s="69" t="n">
        <v>5</v>
      </c>
      <c r="K1114" s="69" t="inlineStr">
        <is>
          <t>https://amazon.com/dp/B0CZN1DQWC</t>
        </is>
      </c>
      <c r="L1114" s="114">
        <f>HYPERLINK(Table1410[[#This Row],[Column1]])</f>
        <v/>
      </c>
    </row>
    <row r="1115" ht="60" customHeight="1" s="314">
      <c r="A1115" s="35" t="inlineStr">
        <is>
          <t>Autel MaxiCom Ultra Lite Scanner 2026: 2-Year Update Same as Maxisys Ultra Motor TruSpeed Repair, New Topology 2.0, 3000+ Test, 40+ Service, Level Up of MS919/Elite II Pro</t>
        </is>
      </c>
      <c r="B1115" s="35" t="inlineStr">
        <is>
          <t>B0DK3J7LD8</t>
        </is>
      </c>
      <c r="C1115" s="35" t="inlineStr">
        <is>
          <t>Tablet</t>
        </is>
      </c>
      <c r="D1115" s="359" t="n">
        <v>2969</v>
      </c>
      <c r="E1115" s="359" t="n">
        <v>27067.18</v>
      </c>
      <c r="F1115" s="359" t="n">
        <v>0</v>
      </c>
      <c r="G1115" s="68" t="n">
        <v>9</v>
      </c>
      <c r="H1115" s="70" t="n">
        <v>0</v>
      </c>
      <c r="I1115" s="68" t="n">
        <v>3</v>
      </c>
      <c r="J1115" s="69" t="n">
        <v>5</v>
      </c>
      <c r="K1115" s="69" t="inlineStr">
        <is>
          <t>https://amazon.com/dp/B0DK3J7LD8</t>
        </is>
      </c>
      <c r="L1115" s="114">
        <f>HYPERLINK(Table1410[[#This Row],[Column1]])</f>
        <v/>
      </c>
    </row>
    <row r="1116" ht="60" customHeight="1" s="314">
      <c r="A1116" s="35" t="inlineStr">
        <is>
          <t>Autel MaxiSys MS909CV Truck Scanner: 2026 Top Intelligent Heavy Duty Truck Diagnostic, Motor TruSpeed, Topology 2.0, Up of MS908CV II MS908CV, 64+ Resets 3K+ Bidirectional Tool</t>
        </is>
      </c>
      <c r="B1116" s="35" t="inlineStr">
        <is>
          <t>B0G577RSP1</t>
        </is>
      </c>
      <c r="C1116" s="35" t="inlineStr">
        <is>
          <t>Tablet</t>
        </is>
      </c>
      <c r="D1116" s="359" t="n">
        <v>4495</v>
      </c>
      <c r="E1116" s="359" t="n">
        <v>14947.1</v>
      </c>
      <c r="F1116" s="359" t="n">
        <v>0</v>
      </c>
      <c r="G1116" s="68" t="n">
        <v>3</v>
      </c>
      <c r="H1116" s="70" t="n">
        <v>0</v>
      </c>
      <c r="I1116" s="68" t="n">
        <v>4</v>
      </c>
      <c r="J1116" s="69" t="n">
        <v>4.7</v>
      </c>
      <c r="K1116" s="69" t="inlineStr">
        <is>
          <t>https://amazon.com/dp/B0G577RSP1</t>
        </is>
      </c>
      <c r="L1116" s="114">
        <f>HYPERLINK(Table1410[[#This Row],[Column1]])</f>
        <v/>
      </c>
    </row>
    <row r="1117" ht="60" customHeight="1" s="314">
      <c r="A1117" s="35" t="inlineStr">
        <is>
          <t>Autel MaxiIM IM608 II Tool, Same as IM608 PRO II with XP400 PRO GBOX3 APB112 IMKPA[Valued $1316], Upgrade of IM608 PRO/IM608/IM508, ECU Coding, 40+ Service, Full Bidirectional Tool, CAN FD&amp; DOIP</t>
        </is>
      </c>
      <c r="B1117" s="35" t="inlineStr">
        <is>
          <t>B0BQDT2KWF</t>
        </is>
      </c>
      <c r="C1117" s="35" t="inlineStr">
        <is>
          <t>Tablet</t>
        </is>
      </c>
      <c r="D1117" s="359" t="n">
        <v>3299</v>
      </c>
      <c r="E1117" s="359" t="n">
        <v>25050.71</v>
      </c>
      <c r="F1117" s="359" t="n">
        <v>0</v>
      </c>
      <c r="G1117" s="68" t="n">
        <v>7</v>
      </c>
      <c r="H1117" s="70" t="n">
        <v>0</v>
      </c>
      <c r="I1117" s="68" t="n">
        <v>3</v>
      </c>
      <c r="J1117" s="69" t="n">
        <v>2.6</v>
      </c>
      <c r="K1117" s="69" t="inlineStr">
        <is>
          <t>https://amazon.com/dp/B0BQDT2KWF</t>
        </is>
      </c>
      <c r="L1117" s="114">
        <f>HYPERLINK(Table1410[[#This Row],[Column1]])</f>
        <v/>
      </c>
    </row>
    <row r="1118" ht="17" customHeight="1" s="314">
      <c r="A1118" s="35" t="inlineStr">
        <is>
          <t>Autel Total Care Program — 1-Year Warranty Update for MS908CV, Model# MS908CV1YRUpdate</t>
        </is>
      </c>
      <c r="B1118" s="35" t="inlineStr">
        <is>
          <t>B077TYVN8C</t>
        </is>
      </c>
      <c r="C1118" s="35" t="inlineStr">
        <is>
          <t>Other</t>
        </is>
      </c>
      <c r="D1118" s="359" t="n">
        <v>795.99</v>
      </c>
      <c r="E1118" s="359" t="n">
        <v>23137.26</v>
      </c>
      <c r="F1118" s="359" t="n">
        <v>0</v>
      </c>
      <c r="G1118" s="68" t="n">
        <v>26</v>
      </c>
      <c r="H1118" s="70" t="n">
        <v>0</v>
      </c>
      <c r="I1118" s="68" t="n">
        <v>0</v>
      </c>
      <c r="J1118" s="69" t="n"/>
      <c r="K1118" s="69" t="inlineStr">
        <is>
          <t>https://amazon.com/dp/B077TYVN8C</t>
        </is>
      </c>
      <c r="L1118" s="114">
        <f>HYPERLINK(Table1410[[#This Row],[Column1]])</f>
        <v/>
      </c>
    </row>
    <row r="1119" ht="45" customHeight="1" s="314">
      <c r="A1119" s="35" t="inlineStr">
        <is>
          <t>Autel MaxiSYS Ultra EV Scanner: 2026 Top EV Ver. of Ultra S2 MSUltra MS909 S2 Intelligen Scan Diagnostic, High-Voltage System Battery Pack Analyze, EVDiag KIT, 40 Service, Motor TruSpeed, Topology 2.0</t>
        </is>
      </c>
      <c r="B1119" s="35" t="inlineStr">
        <is>
          <t>B0BPMJ41PY</t>
        </is>
      </c>
      <c r="C1119" s="35" t="inlineStr">
        <is>
          <t>Tablet</t>
        </is>
      </c>
      <c r="D1119" s="359" t="n">
        <v>4995</v>
      </c>
      <c r="E1119" s="359" t="n">
        <v>68231.7</v>
      </c>
      <c r="F1119" s="359" t="n">
        <v>0</v>
      </c>
      <c r="G1119" s="68" t="n">
        <v>14</v>
      </c>
      <c r="H1119" s="70" t="n">
        <v>0</v>
      </c>
      <c r="I1119" s="68" t="n">
        <v>7</v>
      </c>
      <c r="J1119" s="69" t="n">
        <v>4.3</v>
      </c>
      <c r="K1119" s="69" t="inlineStr">
        <is>
          <t>https://amazon.com/dp/B0BPMJ41PY</t>
        </is>
      </c>
      <c r="L1119" s="114">
        <f>HYPERLINK(Table1410[[#This Row],[Column1]])</f>
        <v/>
      </c>
    </row>
    <row r="1120" ht="45" customHeight="1" s="314">
      <c r="A1120" s="35" t="inlineStr">
        <is>
          <t>Autel PowerScan PS100 Automotive Relay Tester Circuit Probe Tool 12V 24V Car System Diagnostic Scan Tool with 20ft Extension Cable Read AC DC Resistance Short/Open Circuit Test</t>
        </is>
      </c>
      <c r="B1120" s="35" t="inlineStr">
        <is>
          <t>B0FH4S3KF4</t>
        </is>
      </c>
      <c r="C1120" s="35" t="inlineStr">
        <is>
          <t>Probe</t>
        </is>
      </c>
      <c r="D1120" s="359" t="n">
        <v>89.98999999999999</v>
      </c>
      <c r="E1120" s="359" t="n">
        <v>1715.97</v>
      </c>
      <c r="F1120" s="359" t="n">
        <v>0</v>
      </c>
      <c r="G1120" s="68" t="n">
        <v>20</v>
      </c>
      <c r="H1120" s="70" t="n">
        <v>0</v>
      </c>
      <c r="I1120" s="68" t="n"/>
      <c r="J1120" s="69" t="n"/>
      <c r="K1120" s="69" t="inlineStr">
        <is>
          <t>https://amazon.com/dp/B0FH4S3KF4</t>
        </is>
      </c>
      <c r="L1120" s="114">
        <f>HYPERLINK(Table1410[[#This Row],[Column1]])</f>
        <v/>
      </c>
    </row>
    <row r="1121" ht="45" customHeight="1" s="314">
      <c r="A1121" s="35" t="inlineStr">
        <is>
          <t>Autel Scanner MaxiSYS Ultra S2, 2026 UltraS2 AI Intelligent Scan Tool Up of MS919 S2 MS909S2 Ultra EV MSUltra, 6IN1 VCMI2, Topology 3.0 PID Analysis Multi-Point DVI, Motor TruSpeed EV Test 48 Reset</t>
        </is>
      </c>
      <c r="B1121" s="35" t="inlineStr">
        <is>
          <t>B0F37T6R92</t>
        </is>
      </c>
      <c r="C1121" s="35" t="inlineStr">
        <is>
          <t>Tablet</t>
        </is>
      </c>
      <c r="D1121" s="359" t="n">
        <v>5681</v>
      </c>
      <c r="E1121" s="359" t="n">
        <v>170632.22</v>
      </c>
      <c r="F1121" s="359" t="n">
        <v>0</v>
      </c>
      <c r="G1121" s="68" t="n">
        <v>29</v>
      </c>
      <c r="H1121" s="70" t="n">
        <v>0</v>
      </c>
      <c r="I1121" s="68" t="n">
        <v>2</v>
      </c>
      <c r="J1121" s="69" t="n">
        <v>5</v>
      </c>
      <c r="K1121" s="69" t="inlineStr">
        <is>
          <t>https://amazon.com/dp/B0F37T6R92</t>
        </is>
      </c>
      <c r="L1121" s="114">
        <f>HYPERLINK(Table1410[[#This Row],[Column1]])</f>
        <v/>
      </c>
    </row>
    <row r="1122" ht="45" customHeight="1" s="314">
      <c r="A1122" s="35" t="inlineStr">
        <is>
          <t>Autel AutoLink AL419 Vehicle OBDII/CAN Code Reader TFT Color Display Clears Codes and resets Monitors Views Freeze Frame Data DTC Definitions VIN</t>
        </is>
      </c>
      <c r="B1122" s="35" t="inlineStr">
        <is>
          <t>B01M8N4YYX</t>
        </is>
      </c>
      <c r="C1122" s="35" t="inlineStr">
        <is>
          <t>Handheld</t>
        </is>
      </c>
      <c r="D1122" s="359" t="n">
        <v>59</v>
      </c>
      <c r="E1122" s="359" t="n">
        <v>464</v>
      </c>
      <c r="F1122" s="359" t="n">
        <v>0</v>
      </c>
      <c r="G1122" s="68" t="n">
        <v>6</v>
      </c>
      <c r="H1122" s="70" t="n">
        <v>0</v>
      </c>
      <c r="I1122" s="68" t="n"/>
      <c r="J1122" s="69" t="n"/>
      <c r="K1122" s="69" t="inlineStr">
        <is>
          <t>https://amazon.com/dp/B01M8N4YYX</t>
        </is>
      </c>
      <c r="L1122" s="114">
        <f>HYPERLINK(Table1410[[#This Row],[Column1]])</f>
        <v/>
      </c>
    </row>
    <row r="1123" ht="45" customHeight="1" s="314">
      <c r="A1123" s="35" t="inlineStr">
        <is>
          <t>Autel MaxiSys MS906Pro-TS 1-Year Update Service, Total Care Program (TCP) Card, One Year Software Subscription &amp; Warranty for MS906 Pro-TS Diagnostic Scanner Bi Directional Tool</t>
        </is>
      </c>
      <c r="B1123" s="35" t="inlineStr">
        <is>
          <t>B0FFB26CYT</t>
        </is>
      </c>
      <c r="C1123" s="35" t="inlineStr">
        <is>
          <t>Tablet</t>
        </is>
      </c>
      <c r="D1123" s="359" t="n">
        <v>589</v>
      </c>
      <c r="E1123" s="359" t="n">
        <v>1406.98</v>
      </c>
      <c r="F1123" s="359" t="n">
        <v>0</v>
      </c>
      <c r="G1123" s="68" t="n">
        <v>2</v>
      </c>
      <c r="H1123" s="70" t="n">
        <v>0</v>
      </c>
      <c r="I1123" s="68" t="n">
        <v>1</v>
      </c>
      <c r="J1123" s="69" t="n">
        <v>5</v>
      </c>
      <c r="K1123" s="69" t="inlineStr">
        <is>
          <t>https://amazon.com/dp/B0FFB26CYT</t>
        </is>
      </c>
      <c r="L1123" s="114">
        <f>HYPERLINK(Table1410[[#This Row],[Column1]])</f>
        <v/>
      </c>
    </row>
    <row r="1124" ht="45" customHeight="1" s="314">
      <c r="A1124" s="35" t="inlineStr">
        <is>
          <t>Autel MaxiDiag MD808 Pro OBD2 Scanner Code Reader Level-up of MD808 MD806 MD802 Lifetime Upgrade All System Auto SCAN DTCs Detection Codes All 10 OBDII Test Modes OLS/EPB/SBC/SAS/BMS/DPF</t>
        </is>
      </c>
      <c r="B1124" s="35" t="inlineStr">
        <is>
          <t>B0DBHJSSXG</t>
        </is>
      </c>
      <c r="C1124" s="35" t="inlineStr">
        <is>
          <t>Handheld</t>
        </is>
      </c>
      <c r="D1124" s="359" t="n">
        <v>259</v>
      </c>
      <c r="E1124" s="359" t="n">
        <v>3955.5</v>
      </c>
      <c r="F1124" s="359" t="n">
        <v>0</v>
      </c>
      <c r="G1124" s="68" t="n">
        <v>15</v>
      </c>
      <c r="H1124" s="70" t="n">
        <v>0</v>
      </c>
      <c r="I1124" s="68" t="n">
        <v>6</v>
      </c>
      <c r="J1124" s="69" t="n">
        <v>4.1</v>
      </c>
      <c r="K1124" s="69" t="inlineStr">
        <is>
          <t>https://amazon.com/dp/B0DBHJSSXG</t>
        </is>
      </c>
      <c r="L1124" s="114">
        <f>HYPERLINK(Table1410[[#This Row],[Column1]])</f>
        <v/>
      </c>
    </row>
    <row r="1125" ht="45" customHeight="1" s="314">
      <c r="A1125" s="35" t="inlineStr">
        <is>
          <t>2026 Autel Scanner MaxiCOM Ultra Lite, 2-Year Update, Same as MaxiSys Ultra Up of MS919 MS909 Elite 2 Pro, Intelligent Topology 2.0, Motor TruSpeed, 40+ Reset, 3K+ Bidirectional Diagnostic Scan Tool</t>
        </is>
      </c>
      <c r="B1125" s="35" t="inlineStr">
        <is>
          <t>B09XGQJV13</t>
        </is>
      </c>
      <c r="C1125" s="35" t="inlineStr">
        <is>
          <t>Tablet</t>
        </is>
      </c>
      <c r="D1125" s="359" t="n">
        <v>2969</v>
      </c>
      <c r="E1125" s="359" t="n">
        <v>45509.32</v>
      </c>
      <c r="F1125" s="359" t="n">
        <v>0</v>
      </c>
      <c r="G1125" s="68" t="n">
        <v>16</v>
      </c>
      <c r="H1125" s="70" t="n">
        <v>0</v>
      </c>
      <c r="I1125" s="68" t="n">
        <v>11</v>
      </c>
      <c r="J1125" s="69" t="n">
        <v>4.8</v>
      </c>
      <c r="K1125" s="69" t="inlineStr">
        <is>
          <t>https://amazon.com/dp/B09XGQJV13</t>
        </is>
      </c>
      <c r="L1125" s="114">
        <f>HYPERLINK(Table1410[[#This Row],[Column1]])</f>
        <v/>
      </c>
    </row>
    <row r="1126" ht="45" customHeight="1" s="314">
      <c r="A1126" s="35" t="inlineStr">
        <is>
          <t>Autel MaxiFlash VCI Kit, J2534 Pass-Thru Programming Device, Compatible with MS909/MS909EV/MS909CV/Ultra Lite/Elite II Pro, Supports CAN FD, DoIP, RP1210, ECU Coding &amp; BMW Benz Programming</t>
        </is>
      </c>
      <c r="B1126" s="35" t="inlineStr">
        <is>
          <t>B0BS2LXT6X</t>
        </is>
      </c>
      <c r="C1126" s="35" t="inlineStr">
        <is>
          <t>VCI</t>
        </is>
      </c>
      <c r="D1126" s="359" t="n">
        <v>899</v>
      </c>
      <c r="E1126" s="359" t="n">
        <v>5257.73</v>
      </c>
      <c r="F1126" s="359" t="n">
        <v>0</v>
      </c>
      <c r="G1126" s="68" t="n">
        <v>6</v>
      </c>
      <c r="H1126" s="70" t="n">
        <v>0</v>
      </c>
      <c r="I1126" s="68" t="n">
        <v>5</v>
      </c>
      <c r="J1126" s="69" t="n">
        <v>4.7</v>
      </c>
      <c r="K1126" s="69" t="inlineStr">
        <is>
          <t>https://amazon.com/dp/B0BS2LXT6X</t>
        </is>
      </c>
      <c r="L1126" s="114">
        <f>HYPERLINK(Table1410[[#This Row],[Column1]])</f>
        <v/>
      </c>
    </row>
    <row r="1127" ht="45" customHeight="1" s="314">
      <c r="A1127" s="35" t="inlineStr">
        <is>
          <t>Autel TESKIT3Y Tesla 3 and Y Model Vehicles Compatible Diagnostic Cable Adapter Compatible with Autel Ultra MS919 MS909 Elite II Ultra Enables to Read and Erase Codes 26Pin OBD1 to 16 Pin OBD2</t>
        </is>
      </c>
      <c r="B1127" s="35" t="inlineStr">
        <is>
          <t>B0DDT7J8VH</t>
        </is>
      </c>
      <c r="C1127" s="35" t="inlineStr">
        <is>
          <t>Cable/Adapter</t>
        </is>
      </c>
      <c r="D1127" s="359" t="n">
        <v>49.99</v>
      </c>
      <c r="E1127" s="359" t="n">
        <v>1616.15</v>
      </c>
      <c r="F1127" s="359" t="n">
        <v>0</v>
      </c>
      <c r="G1127" s="68" t="n">
        <v>34</v>
      </c>
      <c r="H1127" s="70" t="n">
        <v>0</v>
      </c>
      <c r="I1127" s="68" t="n"/>
      <c r="J1127" s="69" t="n"/>
      <c r="K1127" s="69" t="inlineStr">
        <is>
          <t>https://amazon.com/dp/B0DDT7J8VH</t>
        </is>
      </c>
      <c r="L1127" s="114">
        <f>HYPERLINK(Table1410[[#This Row],[Column1]])</f>
        <v/>
      </c>
    </row>
    <row r="1128" ht="45" customHeight="1" s="314">
      <c r="A1128" s="35" t="inlineStr">
        <is>
          <t>Autel MaxiPRO MP900 Scanner, 2025 DoIP/CAN-FD MP900, Same as MP900BT, Upgraded of MP808BT PRO MS906BT MP808S DS808 MX900, Pro ECU Coding, 3000+Bidirectional, 40+ Services, Auto VIN, OS 11,FCA SGW</t>
        </is>
      </c>
      <c r="B1128" s="35" t="inlineStr">
        <is>
          <t>B09LD27XKV</t>
        </is>
      </c>
      <c r="C1128" s="35" t="inlineStr">
        <is>
          <t>Tablet</t>
        </is>
      </c>
      <c r="D1128" s="359" t="n">
        <v>799</v>
      </c>
      <c r="E1128" s="359" t="n">
        <v>3274.13</v>
      </c>
      <c r="F1128" s="359" t="n">
        <v>0</v>
      </c>
      <c r="G1128" s="68" t="n">
        <v>5</v>
      </c>
      <c r="H1128" s="70" t="n">
        <v>0</v>
      </c>
      <c r="I1128" s="68" t="n">
        <v>29</v>
      </c>
      <c r="J1128" s="69" t="n">
        <v>4.1</v>
      </c>
      <c r="K1128" s="69" t="inlineStr">
        <is>
          <t>https://amazon.com/dp/B09LD27XKV</t>
        </is>
      </c>
      <c r="L1128" s="114">
        <f>HYPERLINK(Table1410[[#This Row],[Column1]])</f>
        <v/>
      </c>
    </row>
    <row r="1129" ht="30" customHeight="1" s="314">
      <c r="A1129" s="35" t="inlineStr">
        <is>
          <t>Autel Ultra EV Scanner, High Voltage Battery Pack Analysis, Diagnostic Scanner, with EVDiag Kit MaxiFlash VCMI, Bi Directional Control, ECU Coding, Programming Advanced Autel Ultra MS919 MS909</t>
        </is>
      </c>
      <c r="B1129" s="35" t="inlineStr">
        <is>
          <t>B0BHYJZB2P</t>
        </is>
      </c>
      <c r="C1129" s="35" t="inlineStr">
        <is>
          <t>Tablet</t>
        </is>
      </c>
      <c r="D1129" s="359" t="n">
        <v>4995</v>
      </c>
      <c r="E1129" s="359" t="n">
        <v>71821.13</v>
      </c>
      <c r="F1129" s="359" t="n">
        <v>0</v>
      </c>
      <c r="G1129" s="68" t="n">
        <v>14</v>
      </c>
      <c r="H1129" s="70" t="n">
        <v>0</v>
      </c>
      <c r="I1129" s="68" t="n">
        <v>14</v>
      </c>
      <c r="J1129" s="69" t="n">
        <v>4.7</v>
      </c>
      <c r="K1129" s="69" t="inlineStr">
        <is>
          <t>https://amazon.com/dp/B0BHYJZB2P</t>
        </is>
      </c>
      <c r="L1129" s="114">
        <f>HYPERLINK(Table1410[[#This Row],[Column1]])</f>
        <v/>
      </c>
    </row>
    <row r="1130" ht="45" customHeight="1" s="314">
      <c r="A1130" s="35" t="inlineStr">
        <is>
          <t>Autel MaxiVCI VCI Mini Wireless Bluetooth Diagnostic Vehicle Communication Interface Connector Compact Auto OBD2 Scanner for MK808BT MK808TS MX808TS MP808TS TS608 MS906S Oil Reset EPB BMS SAS TPMS</t>
        </is>
      </c>
      <c r="B1130" s="35" t="inlineStr">
        <is>
          <t>B0B87BDVZP</t>
        </is>
      </c>
      <c r="C1130" s="35" t="inlineStr">
        <is>
          <t>Dongle</t>
        </is>
      </c>
      <c r="D1130" s="359" t="n">
        <v>119</v>
      </c>
      <c r="E1130" s="359" t="n">
        <v>2323.35</v>
      </c>
      <c r="F1130" s="359" t="n">
        <v>0</v>
      </c>
      <c r="G1130" s="68" t="n">
        <v>19</v>
      </c>
      <c r="H1130" s="70" t="n">
        <v>0</v>
      </c>
      <c r="I1130" s="68" t="n">
        <v>3</v>
      </c>
      <c r="J1130" s="69" t="n">
        <v>5</v>
      </c>
      <c r="K1130" s="69" t="inlineStr">
        <is>
          <t>https://amazon.com/dp/B0B87BDVZP</t>
        </is>
      </c>
      <c r="L1130" s="114">
        <f>HYPERLINK(Table1410[[#This Row],[Column1]])</f>
        <v/>
      </c>
    </row>
    <row r="1131" ht="45" customHeight="1" s="314">
      <c r="A1131" s="35" t="inlineStr">
        <is>
          <t>2025 Autel Scanner MaxilM IM508S PRO OBD II Diagnostic Scan Tool, 2026 Same as IM608 PRO 2/ IM608S II, Enhanced of IM508S IM508</t>
        </is>
      </c>
      <c r="B1131" s="35" t="inlineStr">
        <is>
          <t>B07PQ878S5</t>
        </is>
      </c>
      <c r="C1131" s="35" t="inlineStr">
        <is>
          <t>Tablet</t>
        </is>
      </c>
      <c r="D1131" s="359" t="n">
        <v>1599</v>
      </c>
      <c r="E1131" s="359" t="n">
        <v>51729.57000000001</v>
      </c>
      <c r="F1131" s="359" t="n">
        <v>0</v>
      </c>
      <c r="G1131" s="68" t="n">
        <v>32</v>
      </c>
      <c r="H1131" s="70" t="n">
        <v>0</v>
      </c>
      <c r="I1131" s="68" t="n">
        <v>13</v>
      </c>
      <c r="J1131" s="69" t="n">
        <v>4.3</v>
      </c>
      <c r="K1131" s="69" t="inlineStr">
        <is>
          <t>https://amazon.com/dp/B07PQ878S5</t>
        </is>
      </c>
      <c r="L1131" s="114">
        <f>HYPERLINK(Table1410[[#This Row],[Column1]])</f>
        <v/>
      </c>
    </row>
    <row r="1132" ht="45" customHeight="1" s="314">
      <c r="A1132" s="35" t="inlineStr">
        <is>
          <t>Autel MaxiSYS MS908S Pro II: J2534 Reprogramming Tool, 2026 Upgrade of MK908 Pro ECU Coding Tool, Bidirectional Scanner with 38+ Services, AutoScan 2.0, FCA AutoAuth, Alternative to MaxiSYS Elite II</t>
        </is>
      </c>
      <c r="B1132" s="35" t="inlineStr">
        <is>
          <t>B00Y21BPCU</t>
        </is>
      </c>
      <c r="C1132" s="35" t="inlineStr">
        <is>
          <t>Tablet</t>
        </is>
      </c>
      <c r="D1132" s="359" t="n">
        <v>1969</v>
      </c>
      <c r="E1132" s="359" t="n">
        <v>31750.38</v>
      </c>
      <c r="F1132" s="359" t="n">
        <v>0</v>
      </c>
      <c r="G1132" s="68" t="n">
        <v>16</v>
      </c>
      <c r="H1132" s="70" t="n">
        <v>0</v>
      </c>
      <c r="I1132" s="68" t="n">
        <v>3</v>
      </c>
      <c r="J1132" s="69" t="n">
        <v>4.6</v>
      </c>
      <c r="K1132" s="69" t="inlineStr">
        <is>
          <t>https://amazon.com/dp/B00Y21BPCU</t>
        </is>
      </c>
      <c r="L1132" s="114">
        <f>HYPERLINK(Table1410[[#This Row],[Column1]])</f>
        <v/>
      </c>
    </row>
    <row r="1133" ht="17" customHeight="1" s="314">
      <c r="A1133" s="35" t="inlineStr">
        <is>
          <t>2026 Autel Scanner MaxiPRO MP900E KIT: Work as MP900-BT kit MS906 Pro MP808BT Pro w/ 11 Non-OBDII Adapter Kit, DoIP CAN-FD, 40+ Service, OE ECU Function, Bi-Directional Test, All System Scan, FCA SGWG</t>
        </is>
      </c>
      <c r="B1133" s="35" t="inlineStr">
        <is>
          <t>B0924G1RDR</t>
        </is>
      </c>
      <c r="C1133" s="35" t="inlineStr">
        <is>
          <t>Tablet</t>
        </is>
      </c>
      <c r="D1133" s="359" t="n">
        <v>849</v>
      </c>
      <c r="E1133" s="359" t="n">
        <v>14846.86</v>
      </c>
      <c r="F1133" s="359" t="n">
        <v>0</v>
      </c>
      <c r="G1133" s="68" t="n">
        <v>16</v>
      </c>
      <c r="H1133" s="70" t="n">
        <v>0</v>
      </c>
      <c r="I1133" s="68" t="n">
        <v>26</v>
      </c>
      <c r="J1133" s="69" t="n">
        <v>4.5</v>
      </c>
      <c r="K1133" s="69" t="inlineStr">
        <is>
          <t>https://amazon.com/dp/B0924G1RDR</t>
        </is>
      </c>
      <c r="L1133" s="114">
        <f>HYPERLINK(Table1410[[#This Row],[Column1]])</f>
        <v/>
      </c>
    </row>
    <row r="1134" ht="60" customHeight="1" s="314">
      <c r="A1134" s="35" t="inlineStr">
        <is>
          <t>Autel MaxiSys MS906 Pro OBD2 Diagnostic Scanner, ECU Coding, 3000+ Active Test, 40+ Service, Bidirectional Scan Tool with CAN FD DoIP, Auto Scan 2.0, Upgrade of MS906S MX900 MK900 MP900BT, FCA SGW</t>
        </is>
      </c>
      <c r="B1134" s="35" t="inlineStr">
        <is>
          <t>B0D93H3CZK</t>
        </is>
      </c>
      <c r="C1134" s="35" t="inlineStr">
        <is>
          <t>Tablet</t>
        </is>
      </c>
      <c r="D1134" s="359" t="n">
        <v>1369</v>
      </c>
      <c r="E1134" s="359" t="n">
        <v>20663.95</v>
      </c>
      <c r="F1134" s="359" t="n">
        <v>0</v>
      </c>
      <c r="G1134" s="68" t="n">
        <v>15</v>
      </c>
      <c r="H1134" s="70" t="n">
        <v>0</v>
      </c>
      <c r="I1134" s="68" t="n">
        <v>3</v>
      </c>
      <c r="J1134" s="69" t="n">
        <v>3.2</v>
      </c>
      <c r="K1134" s="69" t="inlineStr">
        <is>
          <t>https://amazon.com/dp/B0D93H3CZK</t>
        </is>
      </c>
      <c r="L1134" s="114">
        <f>HYPERLINK(Table1410[[#This Row],[Column1]])</f>
        <v/>
      </c>
    </row>
    <row r="1135" ht="45" customHeight="1" s="314">
      <c r="A1135" s="35" t="inlineStr">
        <is>
          <t>Autel MaxiLink ML529HD, OBD II/EOBD Code Reader, Latest Diagnostic DIY tools, Scan Tools For Heavy Duty Truck Diagnostic Verhicle J1939 J1708</t>
        </is>
      </c>
      <c r="B1135" s="35" t="inlineStr">
        <is>
          <t>B0CC6H1C2K</t>
        </is>
      </c>
      <c r="C1135" s="35" t="inlineStr">
        <is>
          <t>Handheld</t>
        </is>
      </c>
      <c r="D1135" s="359" t="n">
        <v>125</v>
      </c>
      <c r="E1135" s="359" t="n">
        <v>615.22</v>
      </c>
      <c r="F1135" s="359" t="n">
        <v>0</v>
      </c>
      <c r="G1135" s="68" t="n">
        <v>5</v>
      </c>
      <c r="H1135" s="70" t="n">
        <v>0</v>
      </c>
      <c r="I1135" s="68" t="n"/>
      <c r="J1135" s="69" t="n"/>
      <c r="K1135" s="69" t="inlineStr">
        <is>
          <t>https://amazon.com/dp/B0CC6H1C2K</t>
        </is>
      </c>
      <c r="L1135" s="114">
        <f>HYPERLINK(Table1410[[#This Row],[Column1]])</f>
        <v/>
      </c>
    </row>
    <row r="1136" ht="60" customHeight="1" s="314">
      <c r="A1136" s="35" t="inlineStr">
        <is>
          <t>Autel MaxiTPMS TS900, Scanner &amp; TPMS Programming Tool 2-in-1, Upgrade of MK900BT, MK900TS, MS906TS, MX900, MK900, All System Diagnosis, 40+Services CAN FD/DoIP Program Autel MX Sensors</t>
        </is>
      </c>
      <c r="B1136" s="35" t="inlineStr">
        <is>
          <t>B0CB6D1644</t>
        </is>
      </c>
      <c r="C1136" s="35" t="inlineStr">
        <is>
          <t>Tablet</t>
        </is>
      </c>
      <c r="D1136" s="359" t="n">
        <v>799</v>
      </c>
      <c r="E1136" s="359" t="n">
        <v>16082.98</v>
      </c>
      <c r="F1136" s="359" t="n">
        <v>0</v>
      </c>
      <c r="G1136" s="68" t="n">
        <v>20</v>
      </c>
      <c r="H1136" s="70" t="n">
        <v>0</v>
      </c>
      <c r="I1136" s="68" t="n">
        <v>17</v>
      </c>
      <c r="J1136" s="69" t="n">
        <v>4.6</v>
      </c>
      <c r="K1136" s="69" t="inlineStr">
        <is>
          <t>https://amazon.com/dp/B0CB6D1644</t>
        </is>
      </c>
      <c r="L1136" s="114">
        <f>HYPERLINK(Table1410[[#This Row],[Column1]])</f>
        <v/>
      </c>
    </row>
    <row r="1137" ht="45" customHeight="1" s="314">
      <c r="A1137" s="35" t="inlineStr">
        <is>
          <t>Autel MaxiBAS BT506 Battery Tester: New Version Multifunctional Car Battery Analyzer (6V 12V 100-2000 CCA), Adaptive Conductance Testing 12V-24V Cranking/Charging Systems, Work with Autel Scanner</t>
        </is>
      </c>
      <c r="B1137" s="35" t="inlineStr">
        <is>
          <t>B0BLNTBY98</t>
        </is>
      </c>
      <c r="C1137" s="35" t="inlineStr">
        <is>
          <t>Other</t>
        </is>
      </c>
      <c r="D1137" s="359" t="n">
        <v>175</v>
      </c>
      <c r="E1137" s="359" t="n">
        <v>981.63</v>
      </c>
      <c r="F1137" s="359" t="n">
        <v>0</v>
      </c>
      <c r="G1137" s="68" t="n">
        <v>5</v>
      </c>
      <c r="H1137" s="70" t="n">
        <v>0</v>
      </c>
      <c r="I1137" s="68" t="n">
        <v>6</v>
      </c>
      <c r="J1137" s="69" t="n">
        <v>5</v>
      </c>
      <c r="K1137" s="69" t="inlineStr">
        <is>
          <t>https://amazon.com/dp/B0BLNTBY98</t>
        </is>
      </c>
      <c r="L1137" s="114">
        <f>HYPERLINK(Table1410[[#This Row],[Column1]])</f>
        <v/>
      </c>
    </row>
    <row r="1138" ht="45" customHeight="1" s="314">
      <c r="A1138" s="35" t="inlineStr">
        <is>
          <t>Autel MaxiCOM MK908 Pro II: 205 Same as MS908S PRO II OBD2 Car Diagnostic Scanner, 38+ Service, Active Test, All System Diagnose, Injector Coding, FCA Autoauth OS 11</t>
        </is>
      </c>
      <c r="B1138" s="35" t="inlineStr">
        <is>
          <t>B07MX3BCFZ</t>
        </is>
      </c>
      <c r="C1138" s="35" t="inlineStr">
        <is>
          <t>Tablet</t>
        </is>
      </c>
      <c r="D1138" s="359" t="n">
        <v>1969</v>
      </c>
      <c r="E1138" s="359" t="n">
        <v>5214.28</v>
      </c>
      <c r="F1138" s="359" t="n">
        <v>0</v>
      </c>
      <c r="G1138" s="68" t="n">
        <v>2</v>
      </c>
      <c r="H1138" s="70" t="n">
        <v>0</v>
      </c>
      <c r="I1138" s="68" t="n">
        <v>19</v>
      </c>
      <c r="J1138" s="69" t="n">
        <v>4.2</v>
      </c>
      <c r="K1138" s="69" t="inlineStr">
        <is>
          <t>https://amazon.com/dp/B07MX3BCFZ</t>
        </is>
      </c>
      <c r="L1138" s="114">
        <f>HYPERLINK(Table1410[[#This Row],[Column1]])</f>
        <v/>
      </c>
    </row>
    <row r="1139" ht="45" customHeight="1" s="314">
      <c r="A1139" s="35" t="n"/>
      <c r="B1139" s="35" t="n"/>
      <c r="C1139" s="35" t="n"/>
      <c r="D1139" s="359" t="n"/>
      <c r="E1139" s="359" t="n"/>
      <c r="F1139" s="359" t="n"/>
      <c r="G1139" s="68" t="n"/>
      <c r="H1139" s="70" t="n"/>
      <c r="I1139" s="68" t="n"/>
      <c r="J1139" s="69" t="n"/>
      <c r="K1139" s="69" t="n"/>
      <c r="L1139" s="114">
        <f>HYPERLINK(Table1410[[#This Row],[Column1]])</f>
        <v/>
      </c>
    </row>
    <row r="1140" ht="60" customHeight="1" s="314">
      <c r="A1140" s="35" t="n"/>
      <c r="B1140" s="35" t="n"/>
      <c r="C1140" s="35" t="n"/>
      <c r="D1140" s="359" t="n"/>
      <c r="E1140" s="359" t="n"/>
      <c r="F1140" s="359" t="n"/>
      <c r="G1140" s="68" t="n"/>
      <c r="H1140" s="70" t="n"/>
      <c r="I1140" s="68" t="n"/>
      <c r="J1140" s="69" t="n"/>
      <c r="K1140" s="69" t="n"/>
      <c r="L1140" s="114">
        <f>HYPERLINK(Table1410[[#This Row],[Column1]])</f>
        <v/>
      </c>
    </row>
    <row r="1141" ht="45" customHeight="1" s="314">
      <c r="A1141" s="35" t="n"/>
      <c r="B1141" s="35" t="n"/>
      <c r="C1141" s="35" t="n"/>
      <c r="D1141" s="359" t="n"/>
      <c r="E1141" s="359" t="n"/>
      <c r="F1141" s="359" t="n"/>
      <c r="G1141" s="68" t="n"/>
      <c r="H1141" s="70" t="n"/>
      <c r="I1141" s="68" t="n"/>
      <c r="J1141" s="69" t="n"/>
      <c r="K1141" s="69" t="n"/>
      <c r="L1141" s="114">
        <f>HYPERLINK(Table1410[[#This Row],[Column1]])</f>
        <v/>
      </c>
    </row>
    <row r="1142" ht="45" customHeight="1" s="314">
      <c r="A1142" s="35" t="n"/>
      <c r="B1142" s="35" t="n"/>
      <c r="C1142" s="35" t="n"/>
      <c r="D1142" s="359" t="n"/>
      <c r="E1142" s="359" t="n"/>
      <c r="F1142" s="359" t="n"/>
      <c r="G1142" s="68" t="n"/>
      <c r="H1142" s="70" t="n"/>
      <c r="I1142" s="68" t="n"/>
      <c r="J1142" s="69" t="n"/>
      <c r="K1142" s="69" t="n"/>
      <c r="L1142" s="114">
        <f>HYPERLINK(Table1410[[#This Row],[Column1]])</f>
        <v/>
      </c>
    </row>
    <row r="1143" ht="45" customHeight="1" s="314">
      <c r="A1143" s="35" t="n"/>
      <c r="B1143" s="35" t="n"/>
      <c r="C1143" s="35" t="n"/>
      <c r="D1143" s="359" t="n"/>
      <c r="E1143" s="359" t="n"/>
      <c r="F1143" s="359" t="n"/>
      <c r="G1143" s="68" t="n"/>
      <c r="H1143" s="70" t="n"/>
      <c r="I1143" s="68" t="n"/>
      <c r="J1143" s="69" t="n"/>
      <c r="K1143" s="69" t="n"/>
      <c r="L1143" s="114">
        <f>HYPERLINK(Table1410[[#This Row],[Column1]])</f>
        <v/>
      </c>
    </row>
    <row r="1144" ht="45" customHeight="1" s="314">
      <c r="A1144" s="35" t="n"/>
      <c r="B1144" s="35" t="n"/>
      <c r="C1144" s="35" t="n"/>
      <c r="D1144" s="359" t="n"/>
      <c r="E1144" s="359" t="n"/>
      <c r="F1144" s="359" t="n"/>
      <c r="G1144" s="68" t="n"/>
      <c r="H1144" s="70" t="n"/>
      <c r="I1144" s="68" t="n"/>
      <c r="J1144" s="69" t="n"/>
      <c r="K1144" s="69" t="n"/>
      <c r="L1144" s="114">
        <f>HYPERLINK(Table1410[[#This Row],[Column1]])</f>
        <v/>
      </c>
    </row>
    <row r="1145" ht="60" customHeight="1" s="314">
      <c r="A1145" s="35" t="n"/>
      <c r="B1145" s="35" t="n"/>
      <c r="C1145" s="35" t="n"/>
      <c r="D1145" s="359" t="n"/>
      <c r="E1145" s="359" t="n"/>
      <c r="F1145" s="359" t="n"/>
      <c r="G1145" s="68" t="n"/>
      <c r="H1145" s="70" t="n"/>
      <c r="I1145" s="68" t="n"/>
      <c r="J1145" s="69" t="n"/>
      <c r="K1145" s="69" t="n"/>
      <c r="L1145" s="114">
        <f>HYPERLINK(Table1410[[#This Row],[Column1]])</f>
        <v/>
      </c>
    </row>
    <row r="1146" ht="17" customHeight="1" s="314">
      <c r="A1146" s="35" t="n"/>
      <c r="B1146" s="35" t="n"/>
      <c r="C1146" s="35" t="n"/>
      <c r="D1146" s="359" t="n"/>
      <c r="E1146" s="359" t="n"/>
      <c r="F1146" s="359" t="n"/>
      <c r="G1146" s="68" t="n"/>
      <c r="H1146" s="70" t="n"/>
      <c r="I1146" s="68" t="n"/>
      <c r="J1146" s="69" t="n"/>
      <c r="K1146" s="69" t="n"/>
      <c r="L1146" s="114">
        <f>HYPERLINK(Table1410[[#This Row],[Column1]])</f>
        <v/>
      </c>
    </row>
    <row r="1147" ht="17" customHeight="1" s="314">
      <c r="A1147" s="35" t="n"/>
      <c r="B1147" s="35" t="n"/>
      <c r="C1147" s="35" t="n"/>
      <c r="D1147" s="359" t="n"/>
      <c r="E1147" s="359" t="n"/>
      <c r="F1147" s="359" t="n"/>
      <c r="G1147" s="68" t="n"/>
      <c r="H1147" s="70" t="n"/>
      <c r="I1147" s="68" t="n"/>
      <c r="J1147" s="69" t="n"/>
      <c r="K1147" s="69" t="n"/>
      <c r="L1147" s="114">
        <f>HYPERLINK(Table1410[[#This Row],[Column1]])</f>
        <v/>
      </c>
    </row>
    <row r="1148" ht="17" customHeight="1" s="314">
      <c r="A1148" s="41" t="inlineStr">
        <is>
          <t>Total</t>
        </is>
      </c>
      <c r="B1148" s="40" t="n"/>
      <c r="C1148" s="360" t="n"/>
      <c r="D1148" s="360" t="n"/>
      <c r="E1148" s="360" t="n"/>
      <c r="F1148" s="360" t="n"/>
      <c r="G1148" s="44">
        <f>SUM(G581:G1147)</f>
        <v/>
      </c>
      <c r="H1148" s="44">
        <f>SUM(H581:H1147)</f>
        <v/>
      </c>
      <c r="I1148" s="311" t="n"/>
      <c r="J1148" s="312" t="n"/>
      <c r="K1148" s="114" t="n"/>
    </row>
  </sheetData>
  <mergeCells count="3">
    <mergeCell ref="A1:L5"/>
    <mergeCell ref="A7:L7"/>
    <mergeCell ref="A579:L579"/>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0.xml><?xml version="1.0" encoding="utf-8"?>
<worksheet xmlns="http://schemas.openxmlformats.org/spreadsheetml/2006/main">
  <sheetPr codeName="Sheet10">
    <outlinePr summaryBelow="1" summaryRight="1"/>
    <pageSetUpPr/>
  </sheetPr>
  <dimension ref="A1:L11"/>
  <sheetViews>
    <sheetView workbookViewId="0">
      <selection activeCell="L25" sqref="L25"/>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30.5" customWidth="1" style="308" min="11" max="11"/>
    <col width="35.6640625" customWidth="1" style="308" min="12" max="12"/>
    <col width="12.6640625" customWidth="1" style="308" min="13" max="16384"/>
  </cols>
  <sheetData>
    <row r="1">
      <c r="A1" s="320" t="e">
        <v>#VALUE!</v>
      </c>
    </row>
    <row r="2"/>
    <row r="3"/>
    <row r="4"/>
    <row r="5"/>
    <row r="6">
      <c r="A6" s="34" t="n"/>
      <c r="B6" s="34" t="n"/>
      <c r="C6" s="358" t="n"/>
      <c r="D6" s="56" t="n"/>
      <c r="E6" s="56" t="n"/>
      <c r="F6" s="57" t="n"/>
      <c r="G6" s="57" t="n"/>
      <c r="H6" s="57" t="n"/>
      <c r="I6" s="58" t="n"/>
      <c r="J6" s="59" t="n"/>
    </row>
    <row r="7">
      <c r="A7" s="307" t="inlineStr">
        <is>
          <t>Rank by Revenue/Units</t>
        </is>
      </c>
    </row>
    <row r="8" ht="18" customHeight="1" s="314" thickBot="1">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57" customHeight="1" s="314" thickBot="1">
      <c r="A9" s="129" t="inlineStr">
        <is>
          <t>BlueDriver Bluetooth Pro OBDII Scan Tool for iPhone &amp; Android - No Subscription Fee - OBD2 Car Scanner and Code Reader - Diagnose Check Engine, ABS, SRS, Airbag &amp; 7000+ Issues on Vehicles 1996+</t>
        </is>
      </c>
      <c r="B9" s="129" t="inlineStr">
        <is>
          <t>B00652G4TS</t>
        </is>
      </c>
      <c r="C9" s="129" t="inlineStr">
        <is>
          <t>Dongle</t>
        </is>
      </c>
      <c r="D9" s="362" t="n">
        <v>83.70497675177421</v>
      </c>
      <c r="E9" s="363" t="n">
        <v>14218522.81</v>
      </c>
      <c r="F9" s="364" t="n">
        <v>1026139.31</v>
      </c>
      <c r="G9" s="132" t="n">
        <v>167629</v>
      </c>
      <c r="H9" s="269" t="n">
        <v>12259</v>
      </c>
      <c r="I9" s="132" t="n">
        <v>61960</v>
      </c>
      <c r="J9" s="133" t="n">
        <v>4.4</v>
      </c>
      <c r="K9" s="135" t="inlineStr">
        <is>
          <t>https://amazon.com/dp/B00652G4TS</t>
        </is>
      </c>
      <c r="L9" s="114">
        <f>HYPERLINK(Table23[[#This Row],[Column1]])</f>
        <v/>
      </c>
    </row>
    <row r="10" ht="57" customHeight="1" s="314" thickBot="1">
      <c r="A10" s="129" t="inlineStr">
        <is>
          <t>2PK BlueDriver Bluetooth Pro OBDII Scan Tool for iPhone &amp; Android - No Subscription Fee - OBD2 Car Scanner and Code Reader - Diagnose Check Engine, ABS, SRS, Airbag &amp; 7000+ Issues on Vehicles 1996+</t>
        </is>
      </c>
      <c r="B10" s="129" t="inlineStr">
        <is>
          <t>B0FZJQ2FWQ</t>
        </is>
      </c>
      <c r="C10" s="129" t="inlineStr">
        <is>
          <t>Dongle</t>
        </is>
      </c>
      <c r="D10" s="362" t="n">
        <v>281.72</v>
      </c>
      <c r="E10" s="363" t="n">
        <v>7060.243076923076</v>
      </c>
      <c r="F10" s="364" t="n">
        <v>563.4400000000001</v>
      </c>
      <c r="G10" s="132" t="n">
        <v>5</v>
      </c>
      <c r="H10" s="269" t="n">
        <v>2</v>
      </c>
      <c r="I10" s="132" t="n"/>
      <c r="J10" s="133" t="n"/>
      <c r="K10" s="135" t="inlineStr">
        <is>
          <t>https://amazon.com/dp/B0FZJQ2FWQ</t>
        </is>
      </c>
      <c r="L10" s="114">
        <f>HYPERLINK(Table23[[#This Row],[Column1]])</f>
        <v/>
      </c>
    </row>
    <row r="11" ht="17" customFormat="1" customHeight="1" s="33">
      <c r="A11" s="38" t="inlineStr">
        <is>
          <t>Total</t>
        </is>
      </c>
      <c r="B11" s="38" t="n"/>
      <c r="C11" s="356" t="n"/>
      <c r="D11" s="356" t="n"/>
      <c r="E11" s="125">
        <f>SUM(E3:E9)</f>
        <v/>
      </c>
      <c r="F11" s="125">
        <f>SUM(F9:F10)</f>
        <v/>
      </c>
      <c r="G11" s="126">
        <f>SUM(Table23[Estimated 12mo Units])</f>
        <v/>
      </c>
      <c r="H11" s="126">
        <f>SUM(Table23[Monthly Units])</f>
        <v/>
      </c>
      <c r="I11" s="126" t="n"/>
      <c r="J11" s="127" t="n"/>
      <c r="K11" s="38" t="n"/>
      <c r="L11" s="37" t="n"/>
    </row>
  </sheetData>
  <mergeCells count="2">
    <mergeCell ref="A1:L5"/>
    <mergeCell ref="A7:L7"/>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codeName="Sheet19">
    <outlinePr summaryBelow="1" summaryRight="1"/>
    <pageSetUpPr/>
  </sheetPr>
  <dimension ref="A1:L56"/>
  <sheetViews>
    <sheetView workbookViewId="0">
      <selection activeCell="N11" sqref="N11"/>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08"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6640625" customWidth="1" style="308" min="11" max="11"/>
    <col width="35.6640625" customWidth="1" style="308" min="12" max="12"/>
    <col width="12.6640625" customWidth="1" style="308" min="13" max="16384"/>
  </cols>
  <sheetData>
    <row r="1">
      <c r="A1" s="318" t="inlineStr">
        <is>
          <t>Diesel Laptops Monthly Summary</t>
        </is>
      </c>
    </row>
    <row r="2"/>
    <row r="3"/>
    <row r="4"/>
    <row r="5"/>
    <row r="6">
      <c r="A6" s="34" t="n"/>
      <c r="B6" s="34" t="n"/>
      <c r="C6" s="358" t="n"/>
      <c r="D6" s="56" t="n"/>
      <c r="E6" s="57" t="n"/>
      <c r="F6" s="57" t="n"/>
      <c r="G6" s="57" t="n"/>
      <c r="H6" s="57" t="n"/>
      <c r="I6" s="58" t="n"/>
      <c r="J6" s="59"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Diesel Laptops Nexiq USB Link 3 Wired Edition with Repair Information &amp; Diagnostic Software</t>
        </is>
      </c>
      <c r="B9" s="35" t="inlineStr">
        <is>
          <t>B0BPYPNDVP</t>
        </is>
      </c>
      <c r="C9" s="35" t="inlineStr">
        <is>
          <t>VCI</t>
        </is>
      </c>
      <c r="D9" s="359" t="n">
        <v>749.3213831478538</v>
      </c>
      <c r="E9" s="66" t="n">
        <v>5052000.44</v>
      </c>
      <c r="F9" s="67" t="n">
        <v>471323.15</v>
      </c>
      <c r="G9" s="68" t="n">
        <v>6628</v>
      </c>
      <c r="H9" s="68" t="n">
        <v>629</v>
      </c>
      <c r="I9" s="68" t="n">
        <v>252</v>
      </c>
      <c r="J9" s="69" t="n">
        <v>4.6</v>
      </c>
      <c r="K9" s="69" t="inlineStr">
        <is>
          <t>https://amazon.com/dp/B0BPYPNDVP</t>
        </is>
      </c>
      <c r="L9" s="114">
        <f>HYPERLINK(Table1950[[#This Row],[Column1]])</f>
        <v/>
      </c>
    </row>
    <row r="10" ht="30" customHeight="1" s="314">
      <c r="A10" s="35" t="inlineStr">
        <is>
          <t>Diesel Laptops Nexiq USB Link 3 Wireless Edition with Repair Information &amp; Diagnostic Software Bluetooth WiFi</t>
        </is>
      </c>
      <c r="B10" s="35" t="inlineStr">
        <is>
          <t>B0BSFTHFC1</t>
        </is>
      </c>
      <c r="C10" s="35" t="inlineStr">
        <is>
          <t>Dongle</t>
        </is>
      </c>
      <c r="D10" s="359" t="n">
        <v>798.2018208092486</v>
      </c>
      <c r="E10" s="66" t="n">
        <v>2829290.381538461</v>
      </c>
      <c r="F10" s="67" t="n">
        <v>276177.83</v>
      </c>
      <c r="G10" s="68" t="n">
        <v>3213</v>
      </c>
      <c r="H10" s="68" t="n">
        <v>346</v>
      </c>
      <c r="I10" s="68" t="n">
        <v>130</v>
      </c>
      <c r="J10" s="69" t="n">
        <v>4.6</v>
      </c>
      <c r="K10" s="69" t="inlineStr">
        <is>
          <t>https://amazon.com/dp/B0BSFTHFC1</t>
        </is>
      </c>
      <c r="L10" s="114">
        <f>HYPERLINK(Table1950[[#This Row],[Column1]])</f>
        <v/>
      </c>
    </row>
    <row r="11" ht="30" customHeight="1" s="314">
      <c r="A11" s="35" t="inlineStr">
        <is>
          <t>Diesel Laptops Nexiq USB Link 3 Wired Edition 121054</t>
        </is>
      </c>
      <c r="B11" s="35" t="inlineStr">
        <is>
          <t>B0GMJYHNW2</t>
        </is>
      </c>
      <c r="C11" s="35" t="inlineStr">
        <is>
          <t>Cable/Adapter</t>
        </is>
      </c>
      <c r="D11" s="359" t="n">
        <v>752.28125</v>
      </c>
      <c r="E11" s="66" t="n">
        <v>145363.8846153846</v>
      </c>
      <c r="F11" s="67" t="n">
        <v>12036.5</v>
      </c>
      <c r="G11" s="68" t="n">
        <v>16</v>
      </c>
      <c r="H11" s="68" t="n">
        <v>16</v>
      </c>
      <c r="I11" s="68" t="n"/>
      <c r="J11" s="69" t="n"/>
      <c r="K11" s="69" t="inlineStr">
        <is>
          <t>https://amazon.com/dp/B0GMJYHNW2</t>
        </is>
      </c>
      <c r="L11" s="114">
        <f>HYPERLINK(Table1950[[#This Row],[Column1]])</f>
        <v/>
      </c>
    </row>
    <row r="12" ht="45" customHeight="1" s="314">
      <c r="A12" s="35" t="inlineStr">
        <is>
          <t>Diesel Laptops Nexiq 9 Pin Deutsch 1 Meter Adapter Cable for USB Link 2 and Link 3 with Diesel Explorer.</t>
        </is>
      </c>
      <c r="B12" s="35" t="inlineStr">
        <is>
          <t>B0BWL9PP5L</t>
        </is>
      </c>
      <c r="C12" s="35" t="inlineStr">
        <is>
          <t>Cable/Adapter</t>
        </is>
      </c>
      <c r="D12" s="359" t="n">
        <v>179.2094915254237</v>
      </c>
      <c r="E12" s="66" t="n">
        <v>106278.6646153846</v>
      </c>
      <c r="F12" s="67" t="n">
        <v>10573.36</v>
      </c>
      <c r="G12" s="68" t="n">
        <v>535</v>
      </c>
      <c r="H12" s="68" t="n">
        <v>59</v>
      </c>
      <c r="I12" s="68" t="n">
        <v>18</v>
      </c>
      <c r="J12" s="69" t="n">
        <v>4.4</v>
      </c>
      <c r="K12" s="69" t="inlineStr">
        <is>
          <t>https://amazon.com/dp/B0BWL9PP5L</t>
        </is>
      </c>
      <c r="L12" s="114">
        <f>HYPERLINK(Table1950[[#This Row],[Column1]])</f>
        <v/>
      </c>
    </row>
    <row r="13" ht="17" customHeight="1" s="314">
      <c r="A13" s="35" t="inlineStr">
        <is>
          <t>Diesel Laptops Master Adapter &amp; Convertor Cable Set for 9-Pin, 6-Pin, OBDII, CAT9, CAN3, Paccar, &amp; More</t>
        </is>
      </c>
      <c r="B13" s="35" t="inlineStr">
        <is>
          <t>B0914WNM4R</t>
        </is>
      </c>
      <c r="C13" s="35" t="inlineStr">
        <is>
          <t>Cable/Adapter</t>
        </is>
      </c>
      <c r="D13" s="359" t="n">
        <v>252.4664516129032</v>
      </c>
      <c r="E13" s="66" t="n">
        <v>73890.21461538461</v>
      </c>
      <c r="F13" s="67" t="n">
        <v>7826.46</v>
      </c>
      <c r="G13" s="68" t="n">
        <v>266</v>
      </c>
      <c r="H13" s="68" t="n">
        <v>31</v>
      </c>
      <c r="I13" s="68" t="n">
        <v>20</v>
      </c>
      <c r="J13" s="69" t="n">
        <v>4.3</v>
      </c>
      <c r="K13" s="69" t="inlineStr">
        <is>
          <t>https://amazon.com/dp/B0914WNM4R</t>
        </is>
      </c>
      <c r="L13" s="114">
        <f>HYPERLINK(Table1950[[#This Row],[Column1]])</f>
        <v/>
      </c>
    </row>
    <row r="14" ht="17" customHeight="1" s="314">
      <c r="A14" s="35" t="inlineStr">
        <is>
          <t>Diesel Laptops Heavy Duty Truck Scanner with DPF Regens Diesel Decoder Mobile Diagnostic Tool for Use with Cummins, Volvo, Paccar, International Vehicles and Repair Information for iOS &amp; Android</t>
        </is>
      </c>
      <c r="B14" s="35" t="inlineStr">
        <is>
          <t>B0BZQ4S8LN</t>
        </is>
      </c>
      <c r="C14" s="35" t="inlineStr">
        <is>
          <t>Dongle</t>
        </is>
      </c>
      <c r="D14" s="359" t="n">
        <v>355.7676923076923</v>
      </c>
      <c r="E14" s="66" t="n">
        <v>106867.93</v>
      </c>
      <c r="F14" s="67" t="n">
        <v>4624.98</v>
      </c>
      <c r="G14" s="68" t="n">
        <v>306</v>
      </c>
      <c r="H14" s="68" t="n">
        <v>13</v>
      </c>
      <c r="I14" s="68" t="n">
        <v>106</v>
      </c>
      <c r="J14" s="69" t="n">
        <v>3.3</v>
      </c>
      <c r="K14" s="69" t="inlineStr">
        <is>
          <t>https://amazon.com/dp/B0BZQ4S8LN</t>
        </is>
      </c>
      <c r="L14" s="114">
        <f>HYPERLINK(Table1950[[#This Row],[Column1]])</f>
        <v/>
      </c>
    </row>
    <row r="15" ht="30" customHeight="1" s="314">
      <c r="A15" s="35" t="inlineStr">
        <is>
          <t>Diesel Laptops Nexiq Universal PLC Adapter for Trailers with Diesel Explorer</t>
        </is>
      </c>
      <c r="B15" s="35" t="inlineStr">
        <is>
          <t>B0BWYSR2XC</t>
        </is>
      </c>
      <c r="C15" s="35" t="inlineStr">
        <is>
          <t>Cable/Adapter</t>
        </is>
      </c>
      <c r="D15" s="359" t="n">
        <v>347.0671428571428</v>
      </c>
      <c r="E15" s="66" t="n">
        <v>7631.52</v>
      </c>
      <c r="F15" s="67" t="n">
        <v>2429.47</v>
      </c>
      <c r="G15" s="68" t="n">
        <v>22</v>
      </c>
      <c r="H15" s="68" t="n">
        <v>7</v>
      </c>
      <c r="I15" s="68" t="n"/>
      <c r="J15" s="69" t="n"/>
      <c r="K15" s="69" t="inlineStr">
        <is>
          <t>https://amazon.com/dp/B0BWYSR2XC</t>
        </is>
      </c>
      <c r="L15" s="114">
        <f>HYPERLINK(Table1950[[#This Row],[Column1]])</f>
        <v/>
      </c>
    </row>
    <row r="16" ht="30" customHeight="1" s="314">
      <c r="A16" s="35" t="inlineStr">
        <is>
          <t>Diesel Laptops CAN3 to CAN1 Cross Over Converter Adapter</t>
        </is>
      </c>
      <c r="B16" s="35" t="inlineStr">
        <is>
          <t>B07JGCH2K2</t>
        </is>
      </c>
      <c r="C16" s="35" t="inlineStr">
        <is>
          <t>Cable/Adapter</t>
        </is>
      </c>
      <c r="D16" s="359" t="n">
        <v>59.88153846153846</v>
      </c>
      <c r="E16" s="66" t="n">
        <v>20442.73</v>
      </c>
      <c r="F16" s="67" t="n">
        <v>2335.38</v>
      </c>
      <c r="G16" s="68" t="n">
        <v>369</v>
      </c>
      <c r="H16" s="68" t="n">
        <v>39</v>
      </c>
      <c r="I16" s="68" t="n">
        <v>23</v>
      </c>
      <c r="J16" s="69" t="n">
        <v>4.4</v>
      </c>
      <c r="K16" s="69" t="inlineStr">
        <is>
          <t>https://amazon.com/dp/B07JGCH2K2</t>
        </is>
      </c>
      <c r="L16" s="114">
        <f>HYPERLINK(Table1950[[#This Row],[Column1]])</f>
        <v/>
      </c>
    </row>
    <row r="17" ht="30" customHeight="1" s="314">
      <c r="A17" s="35" t="inlineStr">
        <is>
          <t>Diesel Laptops Handheld Heavy-Duty Diesel Diagnostic Scan Tool with DPF Regen</t>
        </is>
      </c>
      <c r="B17" s="35" t="inlineStr">
        <is>
          <t>B09MG9KMKZ</t>
        </is>
      </c>
      <c r="C17" s="35" t="inlineStr">
        <is>
          <t>Handheld</t>
        </is>
      </c>
      <c r="D17" s="359" t="n">
        <v>190.7825</v>
      </c>
      <c r="E17" s="66" t="n">
        <v>20298.73615384616</v>
      </c>
      <c r="F17" s="67" t="n">
        <v>2289.39</v>
      </c>
      <c r="G17" s="68" t="n">
        <v>46</v>
      </c>
      <c r="H17" s="68" t="n">
        <v>12</v>
      </c>
      <c r="I17" s="68" t="n">
        <v>59</v>
      </c>
      <c r="J17" s="69" t="n">
        <v>3.5</v>
      </c>
      <c r="K17" s="69" t="inlineStr">
        <is>
          <t>https://amazon.com/dp/B09MG9KMKZ</t>
        </is>
      </c>
      <c r="L17" s="114">
        <f>HYPERLINK(Table1950[[#This Row],[Column1]])</f>
        <v/>
      </c>
    </row>
    <row r="18" ht="30" customHeight="1" s="314">
      <c r="A18" s="35" t="inlineStr">
        <is>
          <t>Diesel Laptops Nexiq CAN 3 to CAN 1 Crossover Cable for USB Link 2 and Link 3 with Diesel Explorer.</t>
        </is>
      </c>
      <c r="B18" s="35" t="inlineStr">
        <is>
          <t>B0BWNN673P</t>
        </is>
      </c>
      <c r="C18" s="35" t="inlineStr">
        <is>
          <t>Cable/Adapter</t>
        </is>
      </c>
      <c r="D18" s="359" t="n">
        <v>174.179</v>
      </c>
      <c r="E18" s="66" t="n">
        <v>14672.98</v>
      </c>
      <c r="F18" s="67" t="n">
        <v>1741.79</v>
      </c>
      <c r="G18" s="68" t="n">
        <v>85</v>
      </c>
      <c r="H18" s="68" t="n">
        <v>10</v>
      </c>
      <c r="I18" s="68" t="n">
        <v>5</v>
      </c>
      <c r="J18" s="69" t="n">
        <v>4.8</v>
      </c>
      <c r="K18" s="69" t="inlineStr">
        <is>
          <t>https://amazon.com/dp/B0BWNN673P</t>
        </is>
      </c>
      <c r="L18" s="114">
        <f>HYPERLINK(Table1950[[#This Row],[Column1]])</f>
        <v/>
      </c>
    </row>
    <row r="19" ht="30" customHeight="1" s="314">
      <c r="A19" s="35" t="inlineStr">
        <is>
          <t>Diesel Laptops 9-Pin to Purple HD OBDII for Mack and Volvo Converter 10V</t>
        </is>
      </c>
      <c r="B19" s="35" t="inlineStr">
        <is>
          <t>B07JGCKP5F</t>
        </is>
      </c>
      <c r="C19" s="35" t="inlineStr">
        <is>
          <t>Cable/Adapter</t>
        </is>
      </c>
      <c r="D19" s="359" t="n">
        <v>60.00909090909091</v>
      </c>
      <c r="E19" s="66" t="n">
        <v>13673.13</v>
      </c>
      <c r="F19" s="67" t="n">
        <v>1320.2</v>
      </c>
      <c r="G19" s="68" t="n">
        <v>228</v>
      </c>
      <c r="H19" s="68" t="n">
        <v>22</v>
      </c>
      <c r="I19" s="68" t="n">
        <v>48</v>
      </c>
      <c r="J19" s="69" t="n">
        <v>4.3</v>
      </c>
      <c r="K19" s="69" t="inlineStr">
        <is>
          <t>https://amazon.com/dp/B07JGCKP5F</t>
        </is>
      </c>
      <c r="L19" s="114">
        <f>HYPERLINK(Table1950[[#This Row],[Column1]])</f>
        <v/>
      </c>
    </row>
    <row r="20" ht="30" customHeight="1" s="314">
      <c r="A20" s="35" t="inlineStr">
        <is>
          <t>Diesel Handheld 2.0</t>
        </is>
      </c>
      <c r="B20" s="35" t="inlineStr">
        <is>
          <t>B0FCZRFPBD</t>
        </is>
      </c>
      <c r="C20" s="35" t="inlineStr">
        <is>
          <t>Handheld</t>
        </is>
      </c>
      <c r="D20" s="359" t="n">
        <v>545.76</v>
      </c>
      <c r="E20" s="66" t="n">
        <v>28754.85384615385</v>
      </c>
      <c r="F20" s="67" t="n">
        <v>545.76</v>
      </c>
      <c r="G20" s="68" t="n">
        <v>38</v>
      </c>
      <c r="H20" s="68" t="n">
        <v>1</v>
      </c>
      <c r="I20" s="68" t="n">
        <v>1</v>
      </c>
      <c r="J20" s="69" t="n">
        <v>5</v>
      </c>
      <c r="K20" s="69" t="inlineStr">
        <is>
          <t>https://amazon.com/dp/B0FCZRFPBD</t>
        </is>
      </c>
      <c r="L20" s="114">
        <f>HYPERLINK(Table1950[[#This Row],[Column1]])</f>
        <v/>
      </c>
    </row>
    <row r="21" ht="17" customHeight="1" s="314">
      <c r="A21" s="35" t="inlineStr">
        <is>
          <t>Diesel Laptops 9-pin to Standard OBDII Converter Adapter</t>
        </is>
      </c>
      <c r="B21" s="35" t="inlineStr">
        <is>
          <t>B07JGCHBTG</t>
        </is>
      </c>
      <c r="C21" s="35" t="inlineStr">
        <is>
          <t>Cable/Adapter</t>
        </is>
      </c>
      <c r="D21" s="359" t="n">
        <v>58.33833333333333</v>
      </c>
      <c r="E21" s="66" t="n">
        <v>2948.11</v>
      </c>
      <c r="F21" s="67" t="n">
        <v>350.03</v>
      </c>
      <c r="G21" s="68" t="n">
        <v>49</v>
      </c>
      <c r="H21" s="68" t="n">
        <v>6</v>
      </c>
      <c r="I21" s="68" t="n">
        <v>16</v>
      </c>
      <c r="J21" s="69" t="n">
        <v>4.1</v>
      </c>
      <c r="K21" s="69" t="inlineStr">
        <is>
          <t>https://amazon.com/dp/B07JGCHBTG</t>
        </is>
      </c>
      <c r="L21" s="114">
        <f>HYPERLINK(Table1950[[#This Row],[Column1]])</f>
        <v/>
      </c>
    </row>
    <row r="22" ht="17" customHeight="1" s="314">
      <c r="A22" s="35" t="inlineStr">
        <is>
          <t>Diesel Laptops Nexiq Detroit DDEC Marine 6 Pin Cable for USB Link 2 and Link 3 with Diesel Explorer</t>
        </is>
      </c>
      <c r="B22" s="35" t="inlineStr">
        <is>
          <t>B0BWK96V8H</t>
        </is>
      </c>
      <c r="C22" s="35" t="inlineStr">
        <is>
          <t>Cable/Adapter</t>
        </is>
      </c>
      <c r="D22" s="359" t="n">
        <v>253.64</v>
      </c>
      <c r="E22" s="66" t="n">
        <v>3505.28</v>
      </c>
      <c r="F22" s="67" t="n">
        <v>253.64</v>
      </c>
      <c r="G22" s="68" t="n">
        <v>19</v>
      </c>
      <c r="H22" s="68" t="n">
        <v>1</v>
      </c>
      <c r="I22" s="68" t="n">
        <v>1</v>
      </c>
      <c r="J22" s="69" t="n">
        <v>1</v>
      </c>
      <c r="K22" s="69" t="inlineStr">
        <is>
          <t>https://amazon.com/dp/B0BWK96V8H</t>
        </is>
      </c>
      <c r="L22" s="114">
        <f>HYPERLINK(Table1950[[#This Row],[Column1]])</f>
        <v/>
      </c>
    </row>
    <row r="23" ht="30" customHeight="1" s="314">
      <c r="A23" s="35" t="inlineStr">
        <is>
          <t>Diesel Laptops Nexiq Volvo 14 Pin Cable for USB Link 2 and Link 3 with Diesel Explorer.</t>
        </is>
      </c>
      <c r="B23" s="35" t="inlineStr">
        <is>
          <t>B0BWKWQJJW</t>
        </is>
      </c>
      <c r="C23" s="35" t="inlineStr">
        <is>
          <t>Cable/Adapter</t>
        </is>
      </c>
      <c r="D23" s="359" t="n">
        <v>199</v>
      </c>
      <c r="E23" s="66" t="n">
        <v>1157.052307692308</v>
      </c>
      <c r="F23" s="67" t="n">
        <v>199</v>
      </c>
      <c r="G23" s="68" t="n">
        <v>5</v>
      </c>
      <c r="H23" s="68" t="n">
        <v>1</v>
      </c>
      <c r="I23" s="68" t="n"/>
      <c r="J23" s="69" t="n"/>
      <c r="K23" s="69" t="inlineStr">
        <is>
          <t>https://amazon.com/dp/B0BWKWQJJW</t>
        </is>
      </c>
      <c r="L23" s="114">
        <f>HYPERLINK(Table1950[[#This Row],[Column1]])</f>
        <v/>
      </c>
    </row>
    <row r="24" ht="30" customHeight="1" s="314">
      <c r="A24" s="35" t="inlineStr">
        <is>
          <t>Diesel Laptops Nexiq 6 Pin to 9 Pin Deutsch Adapter for USB Link 2 and Link 3 with Diesel Explorer.</t>
        </is>
      </c>
      <c r="B24" s="35" t="inlineStr">
        <is>
          <t>B0BWNNVPH5</t>
        </is>
      </c>
      <c r="C24" s="35" t="inlineStr">
        <is>
          <t>Cable/Adapter</t>
        </is>
      </c>
      <c r="D24" s="359" t="n">
        <v>182.26</v>
      </c>
      <c r="E24" s="66" t="n">
        <v>2070.96</v>
      </c>
      <c r="F24" s="67" t="n">
        <v>182.26</v>
      </c>
      <c r="G24" s="68" t="n">
        <v>13</v>
      </c>
      <c r="H24" s="68" t="n">
        <v>1</v>
      </c>
      <c r="I24" s="68" t="n"/>
      <c r="J24" s="69" t="n"/>
      <c r="K24" s="69" t="inlineStr">
        <is>
          <t>https://amazon.com/dp/B0BWNNVPH5</t>
        </is>
      </c>
      <c r="L24" s="114">
        <f>HYPERLINK(Table1950[[#This Row],[Column1]])</f>
        <v/>
      </c>
    </row>
    <row r="25" ht="17" customHeight="1" s="314">
      <c r="A25" s="35" t="inlineStr">
        <is>
          <t>Diesel Laptops Nexiq 9 Pin Deutsch Adapter for USB Link 2 and Link 3 with Diesel Explorer.</t>
        </is>
      </c>
      <c r="B25" s="35" t="inlineStr">
        <is>
          <t>B0BWNGNX8M</t>
        </is>
      </c>
      <c r="C25" s="35" t="inlineStr">
        <is>
          <t>Cable/Adapter</t>
        </is>
      </c>
      <c r="D25" s="359" t="n">
        <v>180</v>
      </c>
      <c r="E25" s="66" t="n">
        <v>4022.29</v>
      </c>
      <c r="F25" s="67" t="n">
        <v>0</v>
      </c>
      <c r="G25" s="68" t="n">
        <v>22</v>
      </c>
      <c r="H25" s="68" t="n">
        <v>0</v>
      </c>
      <c r="I25" s="68" t="n"/>
      <c r="J25" s="69" t="n"/>
      <c r="K25" s="69" t="inlineStr">
        <is>
          <t>https://amazon.com/dp/B0BWNGNX8M</t>
        </is>
      </c>
      <c r="L25" s="114">
        <f>HYPERLINK(Table1950[[#This Row],[Column1]])</f>
        <v/>
      </c>
    </row>
    <row r="26" ht="30" customHeight="1" s="314">
      <c r="A26" s="35" t="inlineStr">
        <is>
          <t>Diesel Laptops Diesel Handheld Pro with Diesel Explorer</t>
        </is>
      </c>
      <c r="B26" s="35" t="inlineStr">
        <is>
          <t>B0BXZ87GYD</t>
        </is>
      </c>
      <c r="C26" s="35" t="inlineStr">
        <is>
          <t>Handheld</t>
        </is>
      </c>
      <c r="D26" s="359" t="n">
        <v>1387.7</v>
      </c>
      <c r="E26" s="66" t="n">
        <v>13778.19</v>
      </c>
      <c r="F26" s="67" t="n">
        <v>0</v>
      </c>
      <c r="G26" s="68" t="n">
        <v>10</v>
      </c>
      <c r="H26" s="68" t="n">
        <v>0</v>
      </c>
      <c r="I26" s="68" t="n">
        <v>1</v>
      </c>
      <c r="J26" s="69" t="n">
        <v>5</v>
      </c>
      <c r="K26" s="69" t="inlineStr">
        <is>
          <t>https://amazon.com/dp/B0BXZ87GYD</t>
        </is>
      </c>
      <c r="L26" s="114">
        <f>HYPERLINK(Table1950[[#This Row],[Column1]])</f>
        <v/>
      </c>
    </row>
    <row r="27" ht="30" customHeight="1" s="314">
      <c r="A27" s="35" t="inlineStr">
        <is>
          <t>Diesel Laptops Nexiq USB Link 3 Wireless Bluetooth WiFi Edition 121052</t>
        </is>
      </c>
      <c r="B27" s="35" t="inlineStr">
        <is>
          <t>B0GMKLRFBP</t>
        </is>
      </c>
      <c r="C27" s="35" t="inlineStr">
        <is>
          <t>Cable/Adapter</t>
        </is>
      </c>
      <c r="D27" s="359" t="n">
        <v>799</v>
      </c>
      <c r="E27" s="66" t="n">
        <v>0</v>
      </c>
      <c r="F27" s="67" t="n">
        <v>0</v>
      </c>
      <c r="G27" s="68" t="n">
        <v>0</v>
      </c>
      <c r="H27" s="68" t="n">
        <v>0</v>
      </c>
      <c r="I27" s="68" t="n"/>
      <c r="J27" s="69" t="n"/>
      <c r="K27" s="69" t="inlineStr">
        <is>
          <t>https://amazon.com/dp/B0GMKLRFBP</t>
        </is>
      </c>
      <c r="L27" s="114">
        <f>HYPERLINK(Table1950[[#This Row],[Column1]])</f>
        <v/>
      </c>
    </row>
    <row r="28" ht="17" customHeight="1" s="314">
      <c r="A28" s="35" t="inlineStr">
        <is>
          <t>Diesel Laptops 9 Pin to 6 Pin Converter Adapter with Diesel Explorer</t>
        </is>
      </c>
      <c r="B28" s="35" t="inlineStr">
        <is>
          <t>B0BXT1NHFY</t>
        </is>
      </c>
      <c r="C28" s="35" t="inlineStr">
        <is>
          <t>Other</t>
        </is>
      </c>
      <c r="D28" s="359" t="n">
        <v>74.89</v>
      </c>
      <c r="E28" s="66" t="n">
        <v>1477.705</v>
      </c>
      <c r="F28" s="67" t="n">
        <v>0</v>
      </c>
      <c r="G28" s="68" t="n">
        <v>19</v>
      </c>
      <c r="H28" s="68" t="n">
        <v>0</v>
      </c>
      <c r="I28" s="68" t="n">
        <v>3</v>
      </c>
      <c r="J28" s="69" t="n">
        <v>4.6</v>
      </c>
      <c r="K28" s="69" t="inlineStr">
        <is>
          <t>https://amazon.com/dp/B0BXT1NHFY</t>
        </is>
      </c>
      <c r="L28" s="114">
        <f>HYPERLINK(TABLE28)</f>
        <v/>
      </c>
    </row>
    <row r="29">
      <c r="A29" s="35" t="inlineStr">
        <is>
          <t>Diesel Laptops Bendix ABS Trailer Remote Diagnostic Unit (TRDU) with Diesel Explorer</t>
        </is>
      </c>
      <c r="B29" s="35" t="inlineStr">
        <is>
          <t>B0BXV8FS77</t>
        </is>
      </c>
      <c r="C29" s="35" t="inlineStr">
        <is>
          <t>Other</t>
        </is>
      </c>
      <c r="D29" s="359" t="n">
        <v>460.06</v>
      </c>
      <c r="E29" s="66" t="n">
        <v>1529.84</v>
      </c>
      <c r="F29" s="67" t="n">
        <v>0</v>
      </c>
      <c r="G29" s="68" t="n">
        <v>4</v>
      </c>
      <c r="H29" s="68" t="n">
        <v>0</v>
      </c>
      <c r="I29" s="68" t="n"/>
      <c r="J29" s="69" t="n"/>
      <c r="K29" s="69" t="inlineStr">
        <is>
          <t>https://amazon.com/dp/B0BXV8FS77</t>
        </is>
      </c>
      <c r="L29" s="114">
        <f>HYPERLINK(TABLE29)</f>
        <v/>
      </c>
    </row>
    <row r="30">
      <c r="A30" s="41" t="inlineStr">
        <is>
          <t>Total</t>
        </is>
      </c>
      <c r="B30" s="41" t="n"/>
      <c r="C30" s="365" t="n"/>
      <c r="D30" s="365" t="n"/>
      <c r="E30" s="122">
        <f>SUM(E9:E29)</f>
        <v/>
      </c>
      <c r="F30" s="122">
        <f>SUM(F9:F29)</f>
        <v/>
      </c>
      <c r="G30" s="123" t="n"/>
      <c r="H30" s="123" t="n"/>
      <c r="I30" s="123" t="n"/>
      <c r="J30" s="128" t="n"/>
      <c r="K30" s="41" t="n"/>
    </row>
    <row r="31">
      <c r="A31" s="35" t="n"/>
    </row>
    <row r="32" ht="17" customHeight="1" s="314">
      <c r="A32" s="35" t="n"/>
      <c r="B32" s="35" t="n"/>
      <c r="C32" s="359" t="n"/>
      <c r="D32" s="66" t="n"/>
      <c r="E32" s="66" t="n"/>
      <c r="F32" s="68" t="n"/>
      <c r="G32" s="68" t="n"/>
      <c r="H32" s="68" t="n"/>
      <c r="I32" s="69" t="n"/>
      <c r="J32" s="35" t="n"/>
    </row>
    <row r="33" ht="30" customHeight="1" s="314">
      <c r="A33" s="307" t="inlineStr">
        <is>
          <t>Rank by Units</t>
        </is>
      </c>
    </row>
    <row r="34" ht="30" customHeight="1" s="314">
      <c r="A34" s="46" t="inlineStr">
        <is>
          <t>Product Name</t>
        </is>
      </c>
      <c r="B34" s="47" t="inlineStr">
        <is>
          <t>ASIN</t>
        </is>
      </c>
      <c r="C34" s="47" t="inlineStr">
        <is>
          <t>Type</t>
        </is>
      </c>
      <c r="D34" s="345" t="inlineStr">
        <is>
          <t>Avg Price</t>
        </is>
      </c>
      <c r="E34" s="49" t="inlineStr">
        <is>
          <t>Estimated 12mo Revenue</t>
        </is>
      </c>
      <c r="F34" s="47" t="inlineStr">
        <is>
          <t>Monthly Rev</t>
        </is>
      </c>
      <c r="G34" s="51" t="inlineStr">
        <is>
          <t>Estimated 12mo Units</t>
        </is>
      </c>
      <c r="H34" s="54" t="inlineStr">
        <is>
          <t>Monthly Units</t>
        </is>
      </c>
      <c r="I34" s="51" t="inlineStr">
        <is>
          <t># of Reviews</t>
        </is>
      </c>
      <c r="J34" s="52" t="inlineStr">
        <is>
          <t xml:space="preserve">Tool Rating </t>
        </is>
      </c>
      <c r="K34" s="52" t="inlineStr">
        <is>
          <t>Column1</t>
        </is>
      </c>
      <c r="L34" s="346" t="inlineStr">
        <is>
          <t>Link</t>
        </is>
      </c>
    </row>
    <row r="35" ht="30" customHeight="1" s="314">
      <c r="A35" s="35" t="inlineStr">
        <is>
          <t>Diesel Laptops Nexiq USB Link 3 Wired Edition with Repair Information &amp; Diagnostic Software</t>
        </is>
      </c>
      <c r="B35" s="35" t="inlineStr">
        <is>
          <t>B0BPYPNDVP</t>
        </is>
      </c>
      <c r="C35" s="35" t="inlineStr">
        <is>
          <t>VCI</t>
        </is>
      </c>
      <c r="D35" s="359" t="n">
        <v>749.3213831478538</v>
      </c>
      <c r="E35" s="66" t="n">
        <v>5052000.44</v>
      </c>
      <c r="F35" s="66" t="n">
        <v>471323.15</v>
      </c>
      <c r="G35" s="68" t="n">
        <v>6628</v>
      </c>
      <c r="H35" s="70" t="n">
        <v>629</v>
      </c>
      <c r="I35" s="68" t="n">
        <v>252</v>
      </c>
      <c r="J35" s="69" t="n">
        <v>4.6</v>
      </c>
      <c r="K35" s="69" t="inlineStr">
        <is>
          <t>https://amazon.com/dp/B0BPYPNDVP</t>
        </is>
      </c>
      <c r="L35" s="114">
        <f>HYPERLINK(Table2051[[#This Row],[Column1]])</f>
        <v/>
      </c>
    </row>
    <row r="36" ht="17" customHeight="1" s="314">
      <c r="A36" s="35" t="inlineStr">
        <is>
          <t>Diesel Laptops Nexiq USB Link 3 Wireless Edition with Repair Information &amp; Diagnostic Software Bluetooth WiFi</t>
        </is>
      </c>
      <c r="B36" s="35" t="inlineStr">
        <is>
          <t>B0BSFTHFC1</t>
        </is>
      </c>
      <c r="C36" s="35" t="inlineStr">
        <is>
          <t>Dongle</t>
        </is>
      </c>
      <c r="D36" s="359" t="n">
        <v>798.2018208092486</v>
      </c>
      <c r="E36" s="66" t="n">
        <v>2829290.381538461</v>
      </c>
      <c r="F36" s="66" t="n">
        <v>276177.83</v>
      </c>
      <c r="G36" s="68" t="n">
        <v>3213</v>
      </c>
      <c r="H36" s="70" t="n">
        <v>346</v>
      </c>
      <c r="I36" s="68" t="n">
        <v>130</v>
      </c>
      <c r="J36" s="69" t="n">
        <v>4.6</v>
      </c>
      <c r="K36" s="69" t="inlineStr">
        <is>
          <t>https://amazon.com/dp/B0BSFTHFC1</t>
        </is>
      </c>
      <c r="L36" s="114">
        <f>HYPERLINK(Table2051[[#This Row],[Column1]])</f>
        <v/>
      </c>
    </row>
    <row r="37" ht="45" customHeight="1" s="314">
      <c r="A37" s="35" t="inlineStr">
        <is>
          <t>Diesel Laptops Nexiq 9 Pin Deutsch 1 Meter Adapter Cable for USB Link 2 and Link 3 with Diesel Explorer.</t>
        </is>
      </c>
      <c r="B37" s="35" t="inlineStr">
        <is>
          <t>B0BWL9PP5L</t>
        </is>
      </c>
      <c r="C37" s="35" t="inlineStr">
        <is>
          <t>Cable/Adapter</t>
        </is>
      </c>
      <c r="D37" s="359" t="n">
        <v>179.2094915254237</v>
      </c>
      <c r="E37" s="66" t="n">
        <v>106278.6646153846</v>
      </c>
      <c r="F37" s="66" t="n">
        <v>10573.36</v>
      </c>
      <c r="G37" s="68" t="n">
        <v>535</v>
      </c>
      <c r="H37" s="70" t="n">
        <v>59</v>
      </c>
      <c r="I37" s="68" t="n">
        <v>18</v>
      </c>
      <c r="J37" s="69" t="n">
        <v>4.4</v>
      </c>
      <c r="K37" s="69" t="inlineStr">
        <is>
          <t>https://amazon.com/dp/B0BWL9PP5L</t>
        </is>
      </c>
      <c r="L37" s="114">
        <f>HYPERLINK(Table2051[[#This Row],[Column1]])</f>
        <v/>
      </c>
    </row>
    <row r="38" ht="30" customHeight="1" s="314">
      <c r="A38" s="35" t="inlineStr">
        <is>
          <t>Diesel Laptops CAN3 to CAN1 Cross Over Converter Adapter</t>
        </is>
      </c>
      <c r="B38" s="35" t="inlineStr">
        <is>
          <t>B07JGCH2K2</t>
        </is>
      </c>
      <c r="C38" s="35" t="inlineStr">
        <is>
          <t>Cable/Adapter</t>
        </is>
      </c>
      <c r="D38" s="359" t="n">
        <v>59.88153846153846</v>
      </c>
      <c r="E38" s="66" t="n">
        <v>20442.73</v>
      </c>
      <c r="F38" s="66" t="n">
        <v>2335.38</v>
      </c>
      <c r="G38" s="68" t="n">
        <v>369</v>
      </c>
      <c r="H38" s="70" t="n">
        <v>39</v>
      </c>
      <c r="I38" s="68" t="n">
        <v>23</v>
      </c>
      <c r="J38" s="69" t="n">
        <v>4.4</v>
      </c>
      <c r="K38" s="69" t="inlineStr">
        <is>
          <t>https://amazon.com/dp/B07JGCH2K2</t>
        </is>
      </c>
      <c r="L38" s="114">
        <f>HYPERLINK(Table2051[[#This Row],[Column1]])</f>
        <v/>
      </c>
    </row>
    <row r="39" ht="30" customHeight="1" s="314">
      <c r="A39" s="35" t="inlineStr">
        <is>
          <t>Diesel Laptops Master Adapter &amp; Convertor Cable Set for 9-Pin, 6-Pin, OBDII, CAT9, CAN3, Paccar, &amp; More</t>
        </is>
      </c>
      <c r="B39" s="35" t="inlineStr">
        <is>
          <t>B0914WNM4R</t>
        </is>
      </c>
      <c r="C39" s="35" t="inlineStr">
        <is>
          <t>Cable/Adapter</t>
        </is>
      </c>
      <c r="D39" s="359" t="n">
        <v>252.4664516129032</v>
      </c>
      <c r="E39" s="66" t="n">
        <v>73890.21461538461</v>
      </c>
      <c r="F39" s="66" t="n">
        <v>7826.46</v>
      </c>
      <c r="G39" s="68" t="n">
        <v>266</v>
      </c>
      <c r="H39" s="70" t="n">
        <v>31</v>
      </c>
      <c r="I39" s="68" t="n">
        <v>20</v>
      </c>
      <c r="J39" s="69" t="n">
        <v>4.3</v>
      </c>
      <c r="K39" s="69" t="inlineStr">
        <is>
          <t>https://amazon.com/dp/B0914WNM4R</t>
        </is>
      </c>
      <c r="L39" s="114">
        <f>HYPERLINK(Table2051[[#This Row],[Column1]])</f>
        <v/>
      </c>
    </row>
    <row r="40" ht="30" customHeight="1" s="314">
      <c r="A40" s="35" t="inlineStr">
        <is>
          <t>Diesel Laptops 9-Pin to Purple HD OBDII for Mack and Volvo Converter 10V</t>
        </is>
      </c>
      <c r="B40" s="35" t="inlineStr">
        <is>
          <t>B07JGCKP5F</t>
        </is>
      </c>
      <c r="C40" s="35" t="inlineStr">
        <is>
          <t>Cable/Adapter</t>
        </is>
      </c>
      <c r="D40" s="359" t="n">
        <v>60.00909090909091</v>
      </c>
      <c r="E40" s="66" t="n">
        <v>13673.13</v>
      </c>
      <c r="F40" s="66" t="n">
        <v>1320.2</v>
      </c>
      <c r="G40" s="68" t="n">
        <v>228</v>
      </c>
      <c r="H40" s="70" t="n">
        <v>22</v>
      </c>
      <c r="I40" s="68" t="n">
        <v>48</v>
      </c>
      <c r="J40" s="69" t="n">
        <v>4.3</v>
      </c>
      <c r="K40" s="69" t="inlineStr">
        <is>
          <t>https://amazon.com/dp/B07JGCKP5F</t>
        </is>
      </c>
      <c r="L40" s="114">
        <f>HYPERLINK(Table2051[[#This Row],[Column1]])</f>
        <v/>
      </c>
    </row>
    <row r="41" ht="17" customHeight="1" s="314">
      <c r="A41" s="35" t="inlineStr">
        <is>
          <t>Diesel Laptops Nexiq USB Link 3 Wired Edition 121054</t>
        </is>
      </c>
      <c r="B41" s="35" t="inlineStr">
        <is>
          <t>B0GMJYHNW2</t>
        </is>
      </c>
      <c r="C41" s="35" t="inlineStr">
        <is>
          <t>Cable/Adapter</t>
        </is>
      </c>
      <c r="D41" s="359" t="n">
        <v>752.28125</v>
      </c>
      <c r="E41" s="66" t="n">
        <v>145363.8846153846</v>
      </c>
      <c r="F41" s="66" t="n">
        <v>12036.5</v>
      </c>
      <c r="G41" s="68" t="n">
        <v>16</v>
      </c>
      <c r="H41" s="70" t="n">
        <v>16</v>
      </c>
      <c r="I41" s="68" t="n"/>
      <c r="J41" s="69" t="n"/>
      <c r="K41" s="69" t="inlineStr">
        <is>
          <t>https://amazon.com/dp/B0GMJYHNW2</t>
        </is>
      </c>
      <c r="L41" s="114">
        <f>HYPERLINK(Table2051[[#This Row],[Column1]])</f>
        <v/>
      </c>
    </row>
    <row r="42" ht="30" customHeight="1" s="314">
      <c r="A42" s="35" t="inlineStr">
        <is>
          <t>Diesel Laptops Heavy Duty Truck Scanner with DPF Regens Diesel Decoder Mobile Diagnostic Tool for Use with Cummins, Volvo, Paccar, International Vehicles and Repair Information for iOS &amp; Android</t>
        </is>
      </c>
      <c r="B42" s="35" t="inlineStr">
        <is>
          <t>B0BZQ4S8LN</t>
        </is>
      </c>
      <c r="C42" s="35" t="inlineStr">
        <is>
          <t>Dongle</t>
        </is>
      </c>
      <c r="D42" s="359" t="n">
        <v>355.7676923076923</v>
      </c>
      <c r="E42" s="66" t="n">
        <v>106867.93</v>
      </c>
      <c r="F42" s="66" t="n">
        <v>4624.98</v>
      </c>
      <c r="G42" s="68" t="n">
        <v>306</v>
      </c>
      <c r="H42" s="70" t="n">
        <v>13</v>
      </c>
      <c r="I42" s="68" t="n">
        <v>106</v>
      </c>
      <c r="J42" s="69" t="n">
        <v>3.3</v>
      </c>
      <c r="K42" s="69" t="inlineStr">
        <is>
          <t>https://amazon.com/dp/B0BZQ4S8LN</t>
        </is>
      </c>
      <c r="L42" s="114">
        <f>HYPERLINK(Table2051[[#This Row],[Column1]])</f>
        <v/>
      </c>
    </row>
    <row r="43" ht="17" customHeight="1" s="314">
      <c r="A43" s="35" t="inlineStr">
        <is>
          <t>Diesel Laptops Handheld Heavy-Duty Diesel Diagnostic Scan Tool with DPF Regen</t>
        </is>
      </c>
      <c r="B43" s="35" t="inlineStr">
        <is>
          <t>B09MG9KMKZ</t>
        </is>
      </c>
      <c r="C43" s="35" t="inlineStr">
        <is>
          <t>Handheld</t>
        </is>
      </c>
      <c r="D43" s="359" t="n">
        <v>190.7825</v>
      </c>
      <c r="E43" s="66" t="n">
        <v>20298.73615384616</v>
      </c>
      <c r="F43" s="66" t="n">
        <v>2289.39</v>
      </c>
      <c r="G43" s="68" t="n">
        <v>46</v>
      </c>
      <c r="H43" s="70" t="n">
        <v>12</v>
      </c>
      <c r="I43" s="68" t="n">
        <v>59</v>
      </c>
      <c r="J43" s="69" t="n">
        <v>3.5</v>
      </c>
      <c r="K43" s="69" t="inlineStr">
        <is>
          <t>https://amazon.com/dp/B09MG9KMKZ</t>
        </is>
      </c>
      <c r="L43" s="114">
        <f>HYPERLINK(Table2051[[#This Row],[Column1]])</f>
        <v/>
      </c>
    </row>
    <row r="44" ht="30" customHeight="1" s="314">
      <c r="A44" s="35" t="inlineStr">
        <is>
          <t>Diesel Laptops Nexiq CAN 3 to CAN 1 Crossover Cable for USB Link 2 and Link 3 with Diesel Explorer.</t>
        </is>
      </c>
      <c r="B44" s="35" t="inlineStr">
        <is>
          <t>B0BWNN673P</t>
        </is>
      </c>
      <c r="C44" s="35" t="inlineStr">
        <is>
          <t>Cable/Adapter</t>
        </is>
      </c>
      <c r="D44" s="359" t="n">
        <v>174.179</v>
      </c>
      <c r="E44" s="66" t="n">
        <v>14672.98</v>
      </c>
      <c r="F44" s="66" t="n">
        <v>1741.79</v>
      </c>
      <c r="G44" s="68" t="n">
        <v>85</v>
      </c>
      <c r="H44" s="70" t="n">
        <v>10</v>
      </c>
      <c r="I44" s="68" t="n">
        <v>5</v>
      </c>
      <c r="J44" s="69" t="n">
        <v>4.8</v>
      </c>
      <c r="K44" s="69" t="inlineStr">
        <is>
          <t>https://amazon.com/dp/B0BWNN673P</t>
        </is>
      </c>
      <c r="L44" s="114">
        <f>HYPERLINK(Table2051[[#This Row],[Column1]])</f>
        <v/>
      </c>
    </row>
    <row r="45" ht="30" customHeight="1" s="314">
      <c r="A45" s="35" t="inlineStr">
        <is>
          <t>Diesel Laptops Nexiq Universal PLC Adapter for Trailers with Diesel Explorer</t>
        </is>
      </c>
      <c r="B45" s="35" t="inlineStr">
        <is>
          <t>B0BWYSR2XC</t>
        </is>
      </c>
      <c r="C45" s="35" t="inlineStr">
        <is>
          <t>Cable/Adapter</t>
        </is>
      </c>
      <c r="D45" s="359" t="n">
        <v>347.0671428571428</v>
      </c>
      <c r="E45" s="66" t="n">
        <v>7631.52</v>
      </c>
      <c r="F45" s="66" t="n">
        <v>2429.47</v>
      </c>
      <c r="G45" s="68" t="n">
        <v>22</v>
      </c>
      <c r="H45" s="70" t="n">
        <v>7</v>
      </c>
      <c r="I45" s="68" t="n"/>
      <c r="J45" s="69" t="n"/>
      <c r="K45" s="69" t="inlineStr">
        <is>
          <t>https://amazon.com/dp/B0BWYSR2XC</t>
        </is>
      </c>
      <c r="L45" s="114">
        <f>HYPERLINK(Table2051[[#This Row],[Column1]])</f>
        <v/>
      </c>
    </row>
    <row r="46" ht="17" customHeight="1" s="314">
      <c r="A46" s="35" t="inlineStr">
        <is>
          <t>Diesel Laptops 9-pin to Standard OBDII Converter Adapter</t>
        </is>
      </c>
      <c r="B46" s="35" t="inlineStr">
        <is>
          <t>B07JGCHBTG</t>
        </is>
      </c>
      <c r="C46" s="35" t="inlineStr">
        <is>
          <t>Cable/Adapter</t>
        </is>
      </c>
      <c r="D46" s="359" t="n">
        <v>58.33833333333333</v>
      </c>
      <c r="E46" s="66" t="n">
        <v>2948.11</v>
      </c>
      <c r="F46" s="66" t="n">
        <v>350.03</v>
      </c>
      <c r="G46" s="68" t="n">
        <v>49</v>
      </c>
      <c r="H46" s="70" t="n">
        <v>6</v>
      </c>
      <c r="I46" s="68" t="n">
        <v>16</v>
      </c>
      <c r="J46" s="69" t="n">
        <v>4.1</v>
      </c>
      <c r="K46" s="69" t="inlineStr">
        <is>
          <t>https://amazon.com/dp/B07JGCHBTG</t>
        </is>
      </c>
      <c r="L46" s="114">
        <f>HYPERLINK(Table2051[[#This Row],[Column1]])</f>
        <v/>
      </c>
    </row>
    <row r="47" ht="30" customHeight="1" s="314">
      <c r="A47" s="35" t="inlineStr">
        <is>
          <t>Diesel Laptops Nexiq Volvo 14 Pin Cable for USB Link 2 and Link 3 with Diesel Explorer.</t>
        </is>
      </c>
      <c r="B47" s="35" t="inlineStr">
        <is>
          <t>B0BWKWQJJW</t>
        </is>
      </c>
      <c r="C47" s="35" t="inlineStr">
        <is>
          <t>Cable/Adapter</t>
        </is>
      </c>
      <c r="D47" s="359" t="n">
        <v>199</v>
      </c>
      <c r="E47" s="66" t="n">
        <v>1157.052307692308</v>
      </c>
      <c r="F47" s="66" t="n">
        <v>199</v>
      </c>
      <c r="G47" s="68" t="n">
        <v>5</v>
      </c>
      <c r="H47" s="70" t="n">
        <v>1</v>
      </c>
      <c r="I47" s="68" t="n"/>
      <c r="J47" s="69" t="n"/>
      <c r="K47" s="69" t="inlineStr">
        <is>
          <t>https://amazon.com/dp/B0BWKWQJJW</t>
        </is>
      </c>
      <c r="L47" s="114">
        <f>HYPERLINK(Table2051[[#This Row],[Column1]])</f>
        <v/>
      </c>
    </row>
    <row r="48" ht="30" customHeight="1" s="314">
      <c r="A48" s="35" t="inlineStr">
        <is>
          <t>Diesel Laptops Nexiq Detroit DDEC Marine 6 Pin Cable for USB Link 2 and Link 3 with Diesel Explorer</t>
        </is>
      </c>
      <c r="B48" s="35" t="inlineStr">
        <is>
          <t>B0BWK96V8H</t>
        </is>
      </c>
      <c r="C48" s="35" t="inlineStr">
        <is>
          <t>Cable/Adapter</t>
        </is>
      </c>
      <c r="D48" s="359" t="n">
        <v>253.64</v>
      </c>
      <c r="E48" s="66" t="n">
        <v>3505.28</v>
      </c>
      <c r="F48" s="66" t="n">
        <v>253.64</v>
      </c>
      <c r="G48" s="68" t="n">
        <v>19</v>
      </c>
      <c r="H48" s="70" t="n">
        <v>1</v>
      </c>
      <c r="I48" s="68" t="n">
        <v>1</v>
      </c>
      <c r="J48" s="69" t="n">
        <v>1</v>
      </c>
      <c r="K48" s="69" t="inlineStr">
        <is>
          <t>https://amazon.com/dp/B0BWK96V8H</t>
        </is>
      </c>
      <c r="L48" s="114">
        <f>HYPERLINK(Table2051[[#This Row],[Column1]])</f>
        <v/>
      </c>
    </row>
    <row r="49" ht="17" customHeight="1" s="314">
      <c r="A49" s="35" t="inlineStr">
        <is>
          <t>Diesel Laptops Nexiq 6 Pin to 9 Pin Deutsch Adapter for USB Link 2 and Link 3 with Diesel Explorer.</t>
        </is>
      </c>
      <c r="B49" s="35" t="inlineStr">
        <is>
          <t>B0BWNNVPH5</t>
        </is>
      </c>
      <c r="C49" s="35" t="inlineStr">
        <is>
          <t>Cable/Adapter</t>
        </is>
      </c>
      <c r="D49" s="359" t="n">
        <v>182.26</v>
      </c>
      <c r="E49" s="66" t="n">
        <v>2070.96</v>
      </c>
      <c r="F49" s="66" t="n">
        <v>182.26</v>
      </c>
      <c r="G49" s="68" t="n">
        <v>13</v>
      </c>
      <c r="H49" s="70" t="n">
        <v>1</v>
      </c>
      <c r="I49" s="68" t="n"/>
      <c r="J49" s="69" t="n"/>
      <c r="K49" s="69" t="inlineStr">
        <is>
          <t>https://amazon.com/dp/B0BWNNVPH5</t>
        </is>
      </c>
      <c r="L49" s="114">
        <f>HYPERLINK(Table2051[[#This Row],[Column1]])</f>
        <v/>
      </c>
    </row>
    <row r="50" ht="30" customHeight="1" s="314">
      <c r="A50" s="35" t="inlineStr">
        <is>
          <t>Diesel Handheld 2.0</t>
        </is>
      </c>
      <c r="B50" s="35" t="inlineStr">
        <is>
          <t>B0FCZRFPBD</t>
        </is>
      </c>
      <c r="C50" s="35" t="inlineStr">
        <is>
          <t>Handheld</t>
        </is>
      </c>
      <c r="D50" s="359" t="n">
        <v>545.76</v>
      </c>
      <c r="E50" s="66" t="n">
        <v>28754.85384615385</v>
      </c>
      <c r="F50" s="66" t="n">
        <v>545.76</v>
      </c>
      <c r="G50" s="68" t="n">
        <v>38</v>
      </c>
      <c r="H50" s="70" t="n">
        <v>1</v>
      </c>
      <c r="I50" s="68" t="n">
        <v>1</v>
      </c>
      <c r="J50" s="69" t="n">
        <v>5</v>
      </c>
      <c r="K50" s="69" t="inlineStr">
        <is>
          <t>https://amazon.com/dp/B0FCZRFPBD</t>
        </is>
      </c>
      <c r="L50" s="114">
        <f>HYPERLINK(Table2051[[#This Row],[Column1]])</f>
        <v/>
      </c>
    </row>
    <row r="51" ht="30" customHeight="1" s="314">
      <c r="A51" s="35" t="inlineStr">
        <is>
          <t>Diesel Laptops Nexiq 9 Pin Deutsch Adapter for USB Link 2 and Link 3 with Diesel Explorer.</t>
        </is>
      </c>
      <c r="B51" s="35" t="inlineStr">
        <is>
          <t>B0BWNGNX8M</t>
        </is>
      </c>
      <c r="C51" s="35" t="inlineStr">
        <is>
          <t>Cable/Adapter</t>
        </is>
      </c>
      <c r="D51" s="359" t="n">
        <v>180</v>
      </c>
      <c r="E51" s="66" t="n">
        <v>4022.29</v>
      </c>
      <c r="F51" s="66" t="n">
        <v>0</v>
      </c>
      <c r="G51" s="68" t="n">
        <v>22</v>
      </c>
      <c r="H51" s="70" t="n">
        <v>0</v>
      </c>
      <c r="I51" s="68" t="n"/>
      <c r="J51" s="69" t="n"/>
      <c r="K51" s="69" t="inlineStr">
        <is>
          <t>https://amazon.com/dp/B0BWNGNX8M</t>
        </is>
      </c>
      <c r="L51" s="114">
        <f>HYPERLINK(Table2051[[#This Row],[Column1]])</f>
        <v/>
      </c>
    </row>
    <row r="52" ht="17" customHeight="1" s="314">
      <c r="A52" s="35" t="inlineStr">
        <is>
          <t>Diesel Laptops Diesel Handheld Pro with Diesel Explorer</t>
        </is>
      </c>
      <c r="B52" s="35" t="inlineStr">
        <is>
          <t>B0BXZ87GYD</t>
        </is>
      </c>
      <c r="C52" s="35" t="inlineStr">
        <is>
          <t>Handheld</t>
        </is>
      </c>
      <c r="D52" s="359" t="n">
        <v>1387.7</v>
      </c>
      <c r="E52" s="66" t="n">
        <v>13778.19</v>
      </c>
      <c r="F52" s="66" t="n">
        <v>0</v>
      </c>
      <c r="G52" s="68" t="n">
        <v>10</v>
      </c>
      <c r="H52" s="70" t="n">
        <v>0</v>
      </c>
      <c r="I52" s="68" t="n">
        <v>1</v>
      </c>
      <c r="J52" s="69" t="n">
        <v>5</v>
      </c>
      <c r="K52" s="69" t="inlineStr">
        <is>
          <t>https://amazon.com/dp/B0BXZ87GYD</t>
        </is>
      </c>
      <c r="L52" s="114">
        <f>HYPERLINK(Table2051[[#This Row],[Column1]])</f>
        <v/>
      </c>
    </row>
    <row r="53">
      <c r="A53" s="35" t="inlineStr">
        <is>
          <t>Diesel Laptops Nexiq USB Link 3 Wireless Bluetooth WiFi Edition 121052</t>
        </is>
      </c>
      <c r="B53" s="35" t="inlineStr">
        <is>
          <t>B0GMKLRFBP</t>
        </is>
      </c>
      <c r="C53" s="35" t="inlineStr">
        <is>
          <t>Cable/Adapter</t>
        </is>
      </c>
      <c r="D53" s="359" t="n">
        <v>799</v>
      </c>
      <c r="E53" s="66" t="n">
        <v>0</v>
      </c>
      <c r="F53" s="66" t="n">
        <v>0</v>
      </c>
      <c r="G53" s="68" t="n">
        <v>0</v>
      </c>
      <c r="H53" s="70" t="n">
        <v>0</v>
      </c>
      <c r="I53" s="68" t="n"/>
      <c r="J53" s="69" t="n"/>
      <c r="K53" s="69" t="inlineStr">
        <is>
          <t>https://amazon.com/dp/B0GMKLRFBP</t>
        </is>
      </c>
      <c r="L53" s="114">
        <f>HYPERLINK(Table2051[[#This Row],[Column1]])</f>
        <v/>
      </c>
    </row>
    <row r="54">
      <c r="A54" s="35" t="inlineStr">
        <is>
          <t>Diesel Laptops 9 Pin to 6 Pin Converter Adapter with Diesel Explorer</t>
        </is>
      </c>
      <c r="B54" s="35" t="inlineStr">
        <is>
          <t>B0BXT1NHFY</t>
        </is>
      </c>
      <c r="C54" s="35" t="inlineStr">
        <is>
          <t>Other</t>
        </is>
      </c>
      <c r="D54" s="359" t="n">
        <v>74.89</v>
      </c>
      <c r="E54" s="66" t="n">
        <v>1477.705</v>
      </c>
      <c r="F54" s="66" t="n">
        <v>0</v>
      </c>
      <c r="G54" s="68" t="n">
        <v>19</v>
      </c>
      <c r="H54" s="70" t="n">
        <v>0</v>
      </c>
      <c r="I54" s="68" t="n">
        <v>3</v>
      </c>
      <c r="J54" s="69" t="n">
        <v>4.6</v>
      </c>
      <c r="K54" s="69" t="inlineStr">
        <is>
          <t>https://amazon.com/dp/B0BXT1NHFY</t>
        </is>
      </c>
      <c r="L54" s="114">
        <f>HYPERLINK(TABLE54)</f>
        <v/>
      </c>
    </row>
    <row r="55">
      <c r="A55" s="35" t="inlineStr">
        <is>
          <t>Diesel Laptops Bendix ABS Trailer Remote Diagnostic Unit (TRDU) with Diesel Explorer</t>
        </is>
      </c>
      <c r="B55" s="35" t="inlineStr">
        <is>
          <t>B0BXV8FS77</t>
        </is>
      </c>
      <c r="C55" s="35" t="inlineStr">
        <is>
          <t>Other</t>
        </is>
      </c>
      <c r="D55" s="359" t="n">
        <v>460.06</v>
      </c>
      <c r="E55" s="66" t="n">
        <v>1529.84</v>
      </c>
      <c r="F55" s="66" t="n">
        <v>0</v>
      </c>
      <c r="G55" s="68" t="n">
        <v>4</v>
      </c>
      <c r="H55" s="70" t="n">
        <v>0</v>
      </c>
      <c r="I55" s="68" t="n"/>
      <c r="J55" s="69" t="n"/>
      <c r="K55" s="69" t="inlineStr">
        <is>
          <t>https://amazon.com/dp/B0BXV8FS77</t>
        </is>
      </c>
      <c r="L55" s="114">
        <f>HYPERLINK(TABLE55)</f>
        <v/>
      </c>
    </row>
    <row r="56">
      <c r="A56" s="41" t="inlineStr">
        <is>
          <t>Total</t>
        </is>
      </c>
      <c r="B56" s="41" t="n"/>
      <c r="C56" s="365" t="n"/>
      <c r="D56" s="122" t="n"/>
      <c r="E56" s="122" t="n"/>
      <c r="F56" s="122" t="n"/>
      <c r="G56" s="123">
        <f>SUM(G35:G55)</f>
        <v/>
      </c>
      <c r="H56" s="123">
        <f>SUM(H35:H55)</f>
        <v/>
      </c>
      <c r="I56" s="123" t="n"/>
      <c r="J56" s="128" t="n"/>
      <c r="K56" s="41" t="n"/>
    </row>
  </sheetData>
  <mergeCells count="3">
    <mergeCell ref="A1:L5"/>
    <mergeCell ref="A31:L31"/>
    <mergeCell ref="A7:L7"/>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codeName="Sheet11">
    <outlinePr summaryBelow="1" summaryRight="1"/>
    <pageSetUpPr/>
  </sheetPr>
  <dimension ref="A1:L20"/>
  <sheetViews>
    <sheetView workbookViewId="0">
      <selection activeCell="L25" sqref="L25"/>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08"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7.83203125" customWidth="1" style="308" min="11" max="11"/>
    <col width="35.6640625" customWidth="1" style="308" min="12" max="12"/>
    <col width="12.6640625" customWidth="1" style="308" min="13" max="16384"/>
  </cols>
  <sheetData>
    <row r="1">
      <c r="A1" s="320" t="inlineStr">
        <is>
          <t>FIXD Monthly Summary</t>
        </is>
      </c>
    </row>
    <row r="2"/>
    <row r="3"/>
    <row r="4"/>
    <row r="5"/>
    <row r="6">
      <c r="A6" s="34" t="n"/>
      <c r="B6" s="34" t="n"/>
      <c r="C6" s="358" t="n"/>
      <c r="D6" s="56" t="n"/>
      <c r="E6" s="57" t="n"/>
      <c r="F6" s="57" t="n"/>
      <c r="G6" s="57" t="n"/>
      <c r="H6" s="57" t="n"/>
      <c r="I6" s="58" t="n"/>
      <c r="J6" s="59"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50"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FIXD Bluetooth OBD2 Scanner for iPhone &amp; Android - Diagnostic Scan Tool for Repairs and Car Buying - Check Engine Code Reader &amp; Enhanced Codes - (2 Pack w/Free 14-Day FIXD Premium Bundle)</t>
        </is>
      </c>
      <c r="B9" s="35" t="inlineStr">
        <is>
          <t>B07CFVD2P3</t>
        </is>
      </c>
      <c r="C9" s="35" t="inlineStr">
        <is>
          <t>Dongle</t>
        </is>
      </c>
      <c r="D9" s="359" t="n">
        <v>97.98624688722876</v>
      </c>
      <c r="E9" s="66" t="n">
        <v>1525458.27</v>
      </c>
      <c r="F9" s="67" t="n">
        <v>275439.34</v>
      </c>
      <c r="G9" s="68" t="n">
        <v>17036</v>
      </c>
      <c r="H9" s="68" t="n">
        <v>2811</v>
      </c>
      <c r="I9" s="68" t="n">
        <v>1243</v>
      </c>
      <c r="J9" s="69" t="n">
        <v>4.1</v>
      </c>
      <c r="K9" s="69" t="inlineStr">
        <is>
          <t>https://amazon.com/dp/B07CFVD2P3</t>
        </is>
      </c>
      <c r="L9" s="114">
        <f>HYPERLINK(K9)</f>
        <v/>
      </c>
    </row>
    <row r="10" ht="45" customHeight="1" s="314">
      <c r="A10" s="35" t="inlineStr">
        <is>
          <t>FIXD Bluetooth OBD2 Scanner for iPhone &amp; Android - Diagnostic Scan Tool for Repairs and Car Buying - Check Engine Code Reader &amp; Enhanced Codes - (1 Pack w/Free 14-Day FIXD Premium Bundle)</t>
        </is>
      </c>
      <c r="B10" s="35" t="inlineStr">
        <is>
          <t>B013RIQMEO</t>
        </is>
      </c>
      <c r="C10" s="35" t="inlineStr">
        <is>
          <t>Dongle</t>
        </is>
      </c>
      <c r="D10" s="359" t="n">
        <v>39.98986600186974</v>
      </c>
      <c r="E10" s="66" t="n">
        <v>3901998.4</v>
      </c>
      <c r="F10" s="67" t="n">
        <v>128327.48</v>
      </c>
      <c r="G10" s="68" t="n">
        <v>97575</v>
      </c>
      <c r="H10" s="68" t="n">
        <v>3209</v>
      </c>
      <c r="I10" s="68" t="n">
        <v>35039</v>
      </c>
      <c r="J10" s="69" t="n">
        <v>4.2</v>
      </c>
      <c r="K10" s="69" t="inlineStr">
        <is>
          <t>https://amazon.com/dp/B013RIQMEO</t>
        </is>
      </c>
      <c r="L10" s="114">
        <f>HYPERLINK(K10)</f>
        <v/>
      </c>
    </row>
    <row r="11" ht="45" customHeight="1" s="314">
      <c r="A11" s="35" t="inlineStr">
        <is>
          <t>FIXD Bluetooth OBD2 Scanner for iPhone &amp; Android - Diagnostic Scan Tool for Repairs and Car Buying - Check Engine Code Reader &amp; Enhanced Codes - (3 Pack w/Free 14-Day FIXD Premium Bundle)</t>
        </is>
      </c>
      <c r="B11" s="35" t="inlineStr">
        <is>
          <t>B07C472G5Z</t>
        </is>
      </c>
      <c r="C11" s="35" t="inlineStr">
        <is>
          <t>Dongle</t>
        </is>
      </c>
      <c r="D11" s="359" t="n">
        <v>117.9764947245017</v>
      </c>
      <c r="E11" s="66" t="n">
        <v>611232.586923077</v>
      </c>
      <c r="F11" s="67" t="n">
        <v>100633.95</v>
      </c>
      <c r="G11" s="68" t="n">
        <v>4393</v>
      </c>
      <c r="H11" s="68" t="n">
        <v>853</v>
      </c>
      <c r="I11" s="68" t="n">
        <v>1243</v>
      </c>
      <c r="J11" s="69" t="n">
        <v>4.1</v>
      </c>
      <c r="K11" s="69" t="inlineStr">
        <is>
          <t>https://amazon.com/dp/B07C472G5Z</t>
        </is>
      </c>
      <c r="L11" s="114">
        <f>HYPERLINK(K11)</f>
        <v/>
      </c>
    </row>
    <row r="12" ht="17" customFormat="1" customHeight="1" s="40">
      <c r="A12" s="41" t="inlineStr">
        <is>
          <t>Total</t>
        </is>
      </c>
      <c r="B12" s="41" t="n"/>
      <c r="C12" s="365" t="n"/>
      <c r="D12" s="365" t="n"/>
      <c r="E12" s="122">
        <f>SUM(E9:E11)</f>
        <v/>
      </c>
      <c r="F12" s="122">
        <f>SUM(F9:F11)</f>
        <v/>
      </c>
      <c r="G12" s="189" t="n"/>
      <c r="H12" s="189" t="n"/>
      <c r="I12" s="189" t="n"/>
      <c r="J12" s="190" t="n"/>
      <c r="K12" s="191" t="n"/>
    </row>
    <row r="13">
      <c r="A13" s="35" t="n"/>
      <c r="B13" s="35" t="n"/>
      <c r="C13" s="359" t="n"/>
      <c r="D13" s="66" t="n"/>
      <c r="E13" s="66" t="n"/>
      <c r="F13" s="68" t="n"/>
      <c r="G13" s="68" t="n"/>
      <c r="H13" s="68" t="n"/>
      <c r="I13" s="69" t="n"/>
      <c r="J13" s="35" t="n"/>
    </row>
    <row r="14">
      <c r="A14" s="35" t="n"/>
      <c r="B14" s="35" t="n"/>
      <c r="C14" s="359" t="n"/>
      <c r="D14" s="66" t="n"/>
      <c r="E14" s="66" t="n"/>
      <c r="F14" s="68" t="n"/>
      <c r="G14" s="68" t="n"/>
      <c r="H14" s="68" t="n"/>
      <c r="I14" s="69" t="n"/>
      <c r="J14" s="35" t="n"/>
    </row>
    <row r="15">
      <c r="A15" s="307" t="inlineStr">
        <is>
          <t>Rank by Units</t>
        </is>
      </c>
    </row>
    <row r="16" ht="17" customHeight="1" s="314">
      <c r="A16" s="46" t="inlineStr">
        <is>
          <t>Product Name</t>
        </is>
      </c>
      <c r="B16" s="47" t="inlineStr">
        <is>
          <t>ASIN</t>
        </is>
      </c>
      <c r="C16" s="47" t="inlineStr">
        <is>
          <t>Type</t>
        </is>
      </c>
      <c r="D16" s="345" t="inlineStr">
        <is>
          <t>Avg Price</t>
        </is>
      </c>
      <c r="E16" s="49" t="inlineStr">
        <is>
          <t>Estimated 12mo Revenue</t>
        </is>
      </c>
      <c r="F16" s="47" t="inlineStr">
        <is>
          <t>Monthly Rev</t>
        </is>
      </c>
      <c r="G16" s="51" t="inlineStr">
        <is>
          <t>Estimated 12mo Units</t>
        </is>
      </c>
      <c r="H16" s="54" t="inlineStr">
        <is>
          <t>Monthly Units</t>
        </is>
      </c>
      <c r="I16" s="51" t="inlineStr">
        <is>
          <t># of Reviews</t>
        </is>
      </c>
      <c r="J16" s="52" t="inlineStr">
        <is>
          <t xml:space="preserve">Tool Rating </t>
        </is>
      </c>
      <c r="K16" s="52" t="inlineStr">
        <is>
          <t>Column1</t>
        </is>
      </c>
      <c r="L16" s="346" t="inlineStr">
        <is>
          <t>Link</t>
        </is>
      </c>
    </row>
    <row r="17" ht="45" customHeight="1" s="314">
      <c r="A17" s="35" t="inlineStr">
        <is>
          <t>FIXD Bluetooth OBD2 Scanner for iPhone &amp; Android - Diagnostic Scan Tool for Repairs and Car Buying - Check Engine Code Reader &amp; Enhanced Codes - (1 Pack w/Free 14-Day FIXD Premium Bundle)</t>
        </is>
      </c>
      <c r="B17" s="35" t="inlineStr">
        <is>
          <t>B013RIQMEO</t>
        </is>
      </c>
      <c r="C17" s="35" t="inlineStr">
        <is>
          <t>Dongle</t>
        </is>
      </c>
      <c r="D17" s="359" t="n">
        <v>39.98986600186974</v>
      </c>
      <c r="E17" s="66" t="n">
        <v>3901998.4</v>
      </c>
      <c r="F17" s="66" t="n">
        <v>128327.48</v>
      </c>
      <c r="G17" s="68" t="n">
        <v>97575</v>
      </c>
      <c r="H17" s="70" t="n">
        <v>3209</v>
      </c>
      <c r="I17" s="68" t="n">
        <v>35039</v>
      </c>
      <c r="J17" s="69" t="n">
        <v>4.2</v>
      </c>
      <c r="K17" s="69" t="inlineStr">
        <is>
          <t>https://amazon.com/dp/B013RIQMEO</t>
        </is>
      </c>
      <c r="L17" s="114">
        <f>HYPERLINK(K17)</f>
        <v/>
      </c>
    </row>
    <row r="18" ht="45" customHeight="1" s="314">
      <c r="A18" s="35" t="inlineStr">
        <is>
          <t>FIXD Bluetooth OBD2 Scanner for iPhone &amp; Android - Diagnostic Scan Tool for Repairs and Car Buying - Check Engine Code Reader &amp; Enhanced Codes - (2 Pack w/Free 14-Day FIXD Premium Bundle)</t>
        </is>
      </c>
      <c r="B18" s="35" t="inlineStr">
        <is>
          <t>B07CFVD2P3</t>
        </is>
      </c>
      <c r="C18" s="35" t="inlineStr">
        <is>
          <t>Dongle</t>
        </is>
      </c>
      <c r="D18" s="359" t="n">
        <v>97.98624688722876</v>
      </c>
      <c r="E18" s="66" t="n">
        <v>1525458.27</v>
      </c>
      <c r="F18" s="66" t="n">
        <v>275439.34</v>
      </c>
      <c r="G18" s="68" t="n">
        <v>17036</v>
      </c>
      <c r="H18" s="70" t="n">
        <v>2811</v>
      </c>
      <c r="I18" s="68" t="n">
        <v>1243</v>
      </c>
      <c r="J18" s="69" t="n">
        <v>4.1</v>
      </c>
      <c r="K18" s="69" t="inlineStr">
        <is>
          <t>https://amazon.com/dp/B07CFVD2P3</t>
        </is>
      </c>
      <c r="L18" s="114">
        <f>HYPERLINK(K18)</f>
        <v/>
      </c>
    </row>
    <row r="19" ht="45" customHeight="1" s="314">
      <c r="A19" s="35" t="inlineStr">
        <is>
          <t>FIXD Bluetooth OBD2 Scanner for iPhone &amp; Android - Diagnostic Scan Tool for Repairs and Car Buying - Check Engine Code Reader &amp; Enhanced Codes - (3 Pack w/Free 14-Day FIXD Premium Bundle)</t>
        </is>
      </c>
      <c r="B19" s="35" t="inlineStr">
        <is>
          <t>B07C472G5Z</t>
        </is>
      </c>
      <c r="C19" s="35" t="inlineStr">
        <is>
          <t>Dongle</t>
        </is>
      </c>
      <c r="D19" s="359" t="n">
        <v>117.9764947245017</v>
      </c>
      <c r="E19" s="66" t="n">
        <v>611232.586923077</v>
      </c>
      <c r="F19" s="66" t="n">
        <v>100633.95</v>
      </c>
      <c r="G19" s="68" t="n">
        <v>4393</v>
      </c>
      <c r="H19" s="70" t="n">
        <v>853</v>
      </c>
      <c r="I19" s="68" t="n">
        <v>1243</v>
      </c>
      <c r="J19" s="69" t="n">
        <v>4.1</v>
      </c>
      <c r="K19" s="69" t="inlineStr">
        <is>
          <t>https://amazon.com/dp/B07C472G5Z</t>
        </is>
      </c>
      <c r="L19" s="114">
        <f>HYPERLINK(K19)</f>
        <v/>
      </c>
    </row>
    <row r="20" ht="17" customFormat="1" customHeight="1" s="40">
      <c r="A20" s="41" t="inlineStr">
        <is>
          <t>Total</t>
        </is>
      </c>
      <c r="B20" s="41" t="n"/>
      <c r="C20" s="365" t="n"/>
      <c r="D20" s="122" t="n"/>
      <c r="E20" s="122" t="n"/>
      <c r="F20" s="122" t="n"/>
      <c r="G20" s="123">
        <f>SUM(G17:G19)</f>
        <v/>
      </c>
      <c r="H20" s="123">
        <f>SUM(H17:H19)</f>
        <v/>
      </c>
      <c r="I20" s="123" t="n"/>
      <c r="J20" s="128" t="n"/>
      <c r="K20" s="191" t="n"/>
    </row>
  </sheetData>
  <mergeCells count="3">
    <mergeCell ref="A1:L5"/>
    <mergeCell ref="A15:L15"/>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codeName="Sheet12">
    <outlinePr summaryBelow="1" summaryRight="1"/>
    <pageSetUpPr/>
  </sheetPr>
  <dimension ref="A1:L108"/>
  <sheetViews>
    <sheetView workbookViewId="0">
      <selection activeCell="J22" sqref="J22"/>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83203125" customWidth="1" style="308" min="11" max="11"/>
    <col width="35.6640625" customWidth="1" style="308" min="12" max="12"/>
    <col width="12.6640625" customWidth="1" style="308" min="13" max="16384"/>
  </cols>
  <sheetData>
    <row r="1">
      <c r="A1" s="320" t="inlineStr">
        <is>
          <t>Foxwell Monthly Summary</t>
        </is>
      </c>
    </row>
    <row r="2"/>
    <row r="3"/>
    <row r="4"/>
    <row r="5"/>
    <row r="6">
      <c r="B6" s="60" t="n"/>
      <c r="C6" s="366" t="n"/>
      <c r="E6" s="60" t="n"/>
      <c r="F6" s="62" t="n"/>
      <c r="G6" s="62" t="n"/>
      <c r="H6" s="62" t="n"/>
      <c r="I6" s="63" t="n"/>
      <c r="J6" s="60"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FOXWELL Car Scanner NT604 Elite OBD2 Scanner ABS SRS Transmission, Check Engine Code Reader for Cars and Trucks, Diagnostic Scan Tool with SRS Airbag, Automotive Diagnostic Tool with Live Data</t>
        </is>
      </c>
      <c r="B9" s="35" t="inlineStr">
        <is>
          <t>B08PFJMTY3</t>
        </is>
      </c>
      <c r="C9" s="35" t="inlineStr">
        <is>
          <t>Tablet</t>
        </is>
      </c>
      <c r="D9" s="359" t="n">
        <v>151.7840725806452</v>
      </c>
      <c r="E9" s="66" t="n">
        <v>3376363.49</v>
      </c>
      <c r="F9" s="67" t="n">
        <v>414066.95</v>
      </c>
      <c r="G9" s="68" t="n">
        <v>21312</v>
      </c>
      <c r="H9" s="68" t="n">
        <v>2728</v>
      </c>
      <c r="I9" s="68" t="n">
        <v>4855</v>
      </c>
      <c r="J9" s="69" t="n">
        <v>4.4</v>
      </c>
      <c r="K9" s="69" t="inlineStr">
        <is>
          <t>https://amazon.com/dp/B08PFJMTY3</t>
        </is>
      </c>
      <c r="L9" s="114">
        <f>HYPERLINK(Table2720[[#This Row],[Column1]])</f>
        <v/>
      </c>
    </row>
    <row r="10" ht="45" customHeight="1" s="314">
      <c r="A10" s="35" t="inlineStr">
        <is>
          <t>FOXWELL NT301 OBD2 Scanner Live Data Professional Mechanic OBDII Diagnostic Code Reader Tool for Check Engine Light</t>
        </is>
      </c>
      <c r="B10" s="35" t="inlineStr">
        <is>
          <t>B00UJV3E12</t>
        </is>
      </c>
      <c r="C10" s="35" t="inlineStr">
        <is>
          <t>Handheld</t>
        </is>
      </c>
      <c r="D10" s="359" t="n">
        <v>65.66388878793386</v>
      </c>
      <c r="E10" s="66" t="n">
        <v>5143363.48</v>
      </c>
      <c r="F10" s="67" t="n">
        <v>361348.38</v>
      </c>
      <c r="G10" s="68" t="n">
        <v>78442</v>
      </c>
      <c r="H10" s="68" t="n">
        <v>5503</v>
      </c>
      <c r="I10" s="68" t="n">
        <v>29739</v>
      </c>
      <c r="J10" s="69" t="n">
        <v>4.5</v>
      </c>
      <c r="K10" s="69" t="inlineStr">
        <is>
          <t>https://amazon.com/dp/B00UJV3E12</t>
        </is>
      </c>
      <c r="L10" s="114">
        <f>HYPERLINK(Table2720[[#This Row],[Column1]])</f>
        <v/>
      </c>
    </row>
    <row r="11" ht="45" customHeight="1" s="314">
      <c r="A11" s="35" t="inlineStr">
        <is>
          <t>2026 FOXWELL NT614 Elite OBD2 Scanner with 5 Resets ABS Bleeding, SAS Calibration, Oil, EPB, Throttle, Upgrade of NT604 Code Reader Scan Tools, ABS SRS Engine Transmission Battery Test Car Scanner</t>
        </is>
      </c>
      <c r="B11" s="35" t="inlineStr">
        <is>
          <t>B08DCNDFVK</t>
        </is>
      </c>
      <c r="C11" s="35" t="inlineStr">
        <is>
          <t>Tablet</t>
        </is>
      </c>
      <c r="D11" s="359" t="n">
        <v>172.0034824667473</v>
      </c>
      <c r="E11" s="66" t="n">
        <v>1364440.86</v>
      </c>
      <c r="F11" s="67" t="n">
        <v>142246.88</v>
      </c>
      <c r="G11" s="68" t="n">
        <v>7671</v>
      </c>
      <c r="H11" s="68" t="n">
        <v>827</v>
      </c>
      <c r="I11" s="68" t="n">
        <v>714</v>
      </c>
      <c r="J11" s="69" t="n">
        <v>4.3</v>
      </c>
      <c r="K11" s="69" t="inlineStr">
        <is>
          <t>https://amazon.com/dp/B08DCNDFVK</t>
        </is>
      </c>
      <c r="L11" s="114">
        <f>HYPERLINK(Table2720[[#This Row],[Column1]])</f>
        <v/>
      </c>
    </row>
    <row r="12" ht="45" customHeight="1" s="314">
      <c r="A12" s="35" t="inlineStr">
        <is>
          <t>FOXWELL NT510 Elite Scan Tool fit for BMW Scanner Full Diagnostic Tool OBD2 Scanner, All System Bi-Directional Control Code Reader with All Reset Services, Battery Registration Tool fit for BMW Mini</t>
        </is>
      </c>
      <c r="B12" s="35" t="inlineStr">
        <is>
          <t>B019QCG5RE</t>
        </is>
      </c>
      <c r="C12" s="35" t="inlineStr">
        <is>
          <t>Handheld</t>
        </is>
      </c>
      <c r="D12" s="359" t="n">
        <v>177.8542630744849</v>
      </c>
      <c r="E12" s="66" t="n">
        <v>1336750.4</v>
      </c>
      <c r="F12" s="67" t="n">
        <v>112226.04</v>
      </c>
      <c r="G12" s="68" t="n">
        <v>7277</v>
      </c>
      <c r="H12" s="68" t="n">
        <v>631</v>
      </c>
      <c r="I12" s="68" t="n">
        <v>3143</v>
      </c>
      <c r="J12" s="69" t="n">
        <v>4.3</v>
      </c>
      <c r="K12" s="69" t="inlineStr">
        <is>
          <t>https://amazon.com/dp/B019QCG5RE</t>
        </is>
      </c>
      <c r="L12" s="114">
        <f>HYPERLINK(Table2720[[#This Row],[Column1]])</f>
        <v/>
      </c>
    </row>
    <row r="13" ht="60" customHeight="1" s="314">
      <c r="A13" s="35" t="inlineStr">
        <is>
          <t>FOXWELL Heavy Duty Truck Scanner - HD500 Diesel Scaner Diagnostic Tool with DPF Regeneration/Injector Cutoff, fit for Cummins, Detroit, Caterpillar, Paccar, Hino, Lifetime Free Update, Orange</t>
        </is>
      </c>
      <c r="B13" s="35" t="inlineStr">
        <is>
          <t>B01FDKGEOC</t>
        </is>
      </c>
      <c r="C13" s="35" t="inlineStr">
        <is>
          <t>Tablet</t>
        </is>
      </c>
      <c r="D13" s="359" t="n">
        <v>573.2038410596026</v>
      </c>
      <c r="E13" s="66" t="n">
        <v>530364.4038461539</v>
      </c>
      <c r="F13" s="67" t="n">
        <v>86553.78</v>
      </c>
      <c r="G13" s="68" t="n">
        <v>649</v>
      </c>
      <c r="H13" s="68" t="n">
        <v>151</v>
      </c>
      <c r="I13" s="68" t="n">
        <v>381</v>
      </c>
      <c r="J13" s="69" t="n">
        <v>4</v>
      </c>
      <c r="K13" s="69" t="inlineStr">
        <is>
          <t>https://amazon.com/dp/B01FDKGEOC</t>
        </is>
      </c>
      <c r="L13" s="114">
        <f>HYPERLINK(Table2720[[#This Row],[Column1]])</f>
        <v/>
      </c>
    </row>
    <row r="14" ht="45" customHeight="1" s="314">
      <c r="A14" s="35" t="inlineStr">
        <is>
          <t>2026 FOXWELL NT624 Elite OBD2 Scanner Upgraded from NT614Elite &amp; NT604Elite Code Reader, All-System OBD2 Scan Tool, 8 Advanced Reset Functions, AutoVIN, Live Data, Lifetime WiFi Free Updates</t>
        </is>
      </c>
      <c r="B14" s="35" t="inlineStr">
        <is>
          <t>B07X9JQSGZ</t>
        </is>
      </c>
      <c r="C14" s="35" t="inlineStr">
        <is>
          <t>Tablet</t>
        </is>
      </c>
      <c r="D14" s="359" t="n">
        <v>257.5856466876971</v>
      </c>
      <c r="E14" s="66" t="n">
        <v>927387.97</v>
      </c>
      <c r="F14" s="67" t="n">
        <v>81654.64999999999</v>
      </c>
      <c r="G14" s="68" t="n">
        <v>3628</v>
      </c>
      <c r="H14" s="68" t="n">
        <v>317</v>
      </c>
      <c r="I14" s="68" t="n">
        <v>2332</v>
      </c>
      <c r="J14" s="69" t="n">
        <v>4.2</v>
      </c>
      <c r="K14" s="69" t="inlineStr">
        <is>
          <t>https://amazon.com/dp/B07X9JQSGZ</t>
        </is>
      </c>
      <c r="L14" s="114">
        <f>HYPERLINK(Table2720[[#This Row],[Column1]])</f>
        <v/>
      </c>
    </row>
    <row r="15" ht="45" customHeight="1" s="314">
      <c r="A15" s="35" t="inlineStr">
        <is>
          <t>FOXWELL NT301 Plus 2-in-1 OBD2 Scanner Car Battery Tester, Professional Code Reader Check Engine Diagnostic Tool, 12V Automotive Cranking Charging Analyzer for 1996+ Vehicle, Upgrade from NT301</t>
        </is>
      </c>
      <c r="B15" s="35" t="inlineStr">
        <is>
          <t>B08JGK8PPM</t>
        </is>
      </c>
      <c r="C15" s="35" t="inlineStr">
        <is>
          <t>Handheld</t>
        </is>
      </c>
      <c r="D15" s="359" t="n">
        <v>88.99382252559728</v>
      </c>
      <c r="E15" s="66" t="n">
        <v>1303004.95</v>
      </c>
      <c r="F15" s="67" t="n">
        <v>78225.57000000001</v>
      </c>
      <c r="G15" s="68" t="n">
        <v>13776</v>
      </c>
      <c r="H15" s="68" t="n">
        <v>879</v>
      </c>
      <c r="I15" s="68" t="n">
        <v>2623</v>
      </c>
      <c r="J15" s="69" t="n">
        <v>4.5</v>
      </c>
      <c r="K15" s="69" t="inlineStr">
        <is>
          <t>https://amazon.com/dp/B08JGK8PPM</t>
        </is>
      </c>
      <c r="L15" s="114">
        <f>HYPERLINK(Table2720[[#This Row],[Column1]])</f>
        <v/>
      </c>
    </row>
    <row r="16" ht="60" customHeight="1" s="314">
      <c r="A16" s="35" t="inlineStr">
        <is>
          <t>2026 FOXWELL NT630 Plus OBD2 Scanner with ABS and SRS, ABS Code Reader Auto Bleed Scan Tool Brake SRS Scanner, Car Scanner Diagnostic Tool Bidirectional Live Data with SAS Oil Check Engine Light Reset</t>
        </is>
      </c>
      <c r="B16" s="35" t="inlineStr">
        <is>
          <t>B07CSMJJK9</t>
        </is>
      </c>
      <c r="C16" s="35" t="inlineStr">
        <is>
          <t>Handheld</t>
        </is>
      </c>
      <c r="D16" s="359" t="n">
        <v>147.1595465393795</v>
      </c>
      <c r="E16" s="66" t="n">
        <v>668336.6800000001</v>
      </c>
      <c r="F16" s="67" t="n">
        <v>61659.85</v>
      </c>
      <c r="G16" s="68" t="n">
        <v>4967</v>
      </c>
      <c r="H16" s="68" t="n">
        <v>419</v>
      </c>
      <c r="I16" s="68" t="n">
        <v>3950</v>
      </c>
      <c r="J16" s="69" t="n">
        <v>4.2</v>
      </c>
      <c r="K16" s="69" t="inlineStr">
        <is>
          <t>https://amazon.com/dp/B07CSMJJK9</t>
        </is>
      </c>
      <c r="L16" s="114">
        <f>HYPERLINK(Table2720[[#This Row],[Column1]])</f>
        <v/>
      </c>
    </row>
    <row r="17" ht="45" customHeight="1" s="314">
      <c r="A17" s="35" t="inlineStr">
        <is>
          <t>2026 FOXWELL NT716 Bidirectional OBD2 Scanner, 4-System Diagnostic Tool for ABS, SRS, Transmission &amp; Engine, 9 Reset, ABS Bleeding, AutoVIN, Live Data, Upgraded from NT6X4, Lifetime Free Updates,Black</t>
        </is>
      </c>
      <c r="B17" s="35" t="inlineStr">
        <is>
          <t>B015COS1EK</t>
        </is>
      </c>
      <c r="C17" s="35" t="inlineStr">
        <is>
          <t>Tablet</t>
        </is>
      </c>
      <c r="D17" s="359" t="n">
        <v>281.5308878504673</v>
      </c>
      <c r="E17" s="66" t="n">
        <v>621237.66</v>
      </c>
      <c r="F17" s="67" t="n">
        <v>60247.61</v>
      </c>
      <c r="G17" s="68" t="n">
        <v>2215</v>
      </c>
      <c r="H17" s="68" t="n">
        <v>214</v>
      </c>
      <c r="I17" s="68" t="n">
        <v>244</v>
      </c>
      <c r="J17" s="69" t="n">
        <v>4.4</v>
      </c>
      <c r="K17" s="69" t="inlineStr">
        <is>
          <t>https://amazon.com/dp/B015COS1EK</t>
        </is>
      </c>
      <c r="L17" s="114">
        <f>HYPERLINK(Table2720[[#This Row],[Column1]])</f>
        <v/>
      </c>
    </row>
    <row r="18" ht="45" customHeight="1" s="314">
      <c r="A18" s="35" t="inlineStr">
        <is>
          <t>2026 FOXWELL NT726 OBD2 Scanner Diagnostic Tool, All System Bidirectional Scan Tool with TOP 12 Resets, Precise Car Diagnostic Scanner for All Vehicles, CAN-FD, FCA Autoauth, Lifetime Update, AutoVIN</t>
        </is>
      </c>
      <c r="B18" s="35" t="inlineStr">
        <is>
          <t>B0F3XRK4P9</t>
        </is>
      </c>
      <c r="C18" s="35" t="inlineStr">
        <is>
          <t>Tablet</t>
        </is>
      </c>
      <c r="D18" s="359" t="n">
        <v>347.2091764705882</v>
      </c>
      <c r="E18" s="66" t="n">
        <v>683590.4446153846</v>
      </c>
      <c r="F18" s="67" t="n">
        <v>59025.56</v>
      </c>
      <c r="G18" s="68" t="n">
        <v>1630</v>
      </c>
      <c r="H18" s="68" t="n">
        <v>170</v>
      </c>
      <c r="I18" s="68" t="n">
        <v>244</v>
      </c>
      <c r="J18" s="69" t="n">
        <v>4.4</v>
      </c>
      <c r="K18" s="69" t="inlineStr">
        <is>
          <t>https://amazon.com/dp/B0F3XRK4P9</t>
        </is>
      </c>
      <c r="L18" s="114">
        <f>HYPERLINK(Table2720[[#This Row],[Column1]])</f>
        <v/>
      </c>
    </row>
    <row r="19" ht="45" customHeight="1" s="314">
      <c r="A19" s="35" t="inlineStr">
        <is>
          <t>2026 FOXWELL Scanner NT809BT OBD2 Scanner Diagnostic Tool with 30+Resets, All System Bidirectional Scan Tool for All Vehicles, CAN-FD, FCA Autoauth, 3-Yr Free Update, AutoVIN, Wireless 65-Foot, Black</t>
        </is>
      </c>
      <c r="B19" s="35" t="inlineStr">
        <is>
          <t>B0D2D5MMP5</t>
        </is>
      </c>
      <c r="C19" s="35" t="inlineStr">
        <is>
          <t>Tablet</t>
        </is>
      </c>
      <c r="D19" s="359" t="n">
        <v>462.7160784313726</v>
      </c>
      <c r="E19" s="66" t="n">
        <v>347417.2884615385</v>
      </c>
      <c r="F19" s="67" t="n">
        <v>47197.04</v>
      </c>
      <c r="G19" s="68" t="n">
        <v>655</v>
      </c>
      <c r="H19" s="68" t="n">
        <v>102</v>
      </c>
      <c r="I19" s="68" t="n">
        <v>260</v>
      </c>
      <c r="J19" s="69" t="n">
        <v>4.2</v>
      </c>
      <c r="K19" s="69" t="inlineStr">
        <is>
          <t>https://amazon.com/dp/B0D2D5MMP5</t>
        </is>
      </c>
      <c r="L19" s="114">
        <f>HYPERLINK(Table2720[[#This Row],[Column1]])</f>
        <v/>
      </c>
    </row>
    <row r="20" ht="45" customHeight="1" s="314">
      <c r="A20" s="35" t="inlineStr">
        <is>
          <t>2026 FOXWELL NT604 OBD2 Scanner, Engine/ABS/SRS/Transmission Comprehensive Car Diagnostic Tool, Code Reader for Cars and Trucks, Precise Scan Tool for All Vehicles, EN/ES, Lifetime Free Upd.,Live Data</t>
        </is>
      </c>
      <c r="B20" s="35" t="inlineStr">
        <is>
          <t>B096Y2B8LP</t>
        </is>
      </c>
      <c r="C20" s="35" t="inlineStr">
        <is>
          <t>Tablet</t>
        </is>
      </c>
      <c r="D20" s="359" t="n">
        <v>157.5356401384083</v>
      </c>
      <c r="E20" s="66" t="n">
        <v>584430.23</v>
      </c>
      <c r="F20" s="67" t="n">
        <v>45527.8</v>
      </c>
      <c r="G20" s="68" t="n">
        <v>3640</v>
      </c>
      <c r="H20" s="68" t="n">
        <v>289</v>
      </c>
      <c r="I20" s="68" t="n">
        <v>532</v>
      </c>
      <c r="J20" s="69" t="n">
        <v>4.4</v>
      </c>
      <c r="K20" s="69" t="inlineStr">
        <is>
          <t>https://amazon.com/dp/B096Y2B8LP</t>
        </is>
      </c>
      <c r="L20" s="114">
        <f>HYPERLINK(Table2720[[#This Row],[Column1]])</f>
        <v/>
      </c>
    </row>
    <row r="21" ht="45" customHeight="1" s="314">
      <c r="A21" s="35" t="inlineStr">
        <is>
          <t>FOXWELL NT510 Pro fit for BMW OBD2 Scanner with 12V Battery Tester, Full System Diagnostic Bi-Directional Control Scanner, All Reset Services with Battery Registration Scan Tool fit for BMW/Mini/RR</t>
        </is>
      </c>
      <c r="B21" s="35" t="inlineStr">
        <is>
          <t>B0FRD79DJT</t>
        </is>
      </c>
      <c r="C21" s="35" t="inlineStr">
        <is>
          <t>Handheld</t>
        </is>
      </c>
      <c r="D21" s="359" t="n">
        <v>223.6885858585858</v>
      </c>
      <c r="E21" s="66" t="n">
        <v>499039.2446153847</v>
      </c>
      <c r="F21" s="67" t="n">
        <v>44290.34</v>
      </c>
      <c r="G21" s="68" t="n">
        <v>1143</v>
      </c>
      <c r="H21" s="68" t="n">
        <v>198</v>
      </c>
      <c r="I21" s="68" t="n">
        <v>52</v>
      </c>
      <c r="J21" s="69" t="n">
        <v>4.3</v>
      </c>
      <c r="K21" s="69" t="inlineStr">
        <is>
          <t>https://amazon.com/dp/B0FRD79DJT</t>
        </is>
      </c>
      <c r="L21" s="114">
        <f>HYPERLINK(Table2720[[#This Row],[Column1]])</f>
        <v/>
      </c>
    </row>
    <row r="22" ht="45" customHeight="1" s="314">
      <c r="A22" s="35" t="inlineStr">
        <is>
          <t>FOXWELL NT710 Scan Tool fit for BMW, Full-System Diagnostic Tool with Bi-Directional Control, All Reset Services, Battery Registration &amp; ECU Coding fit for BMW/Mini/RR, Lifetime Free Update</t>
        </is>
      </c>
      <c r="B22" s="35" t="inlineStr">
        <is>
          <t>B0BG6SRKWK</t>
        </is>
      </c>
      <c r="C22" s="35" t="inlineStr">
        <is>
          <t>Tablet</t>
        </is>
      </c>
      <c r="D22" s="359" t="n">
        <v>329.6839024390244</v>
      </c>
      <c r="E22" s="66" t="n">
        <v>390487.8</v>
      </c>
      <c r="F22" s="67" t="n">
        <v>40551.12</v>
      </c>
      <c r="G22" s="68" t="n">
        <v>1226</v>
      </c>
      <c r="H22" s="68" t="n">
        <v>123</v>
      </c>
      <c r="I22" s="68" t="n">
        <v>244</v>
      </c>
      <c r="J22" s="69" t="n">
        <v>3.9</v>
      </c>
      <c r="K22" s="69" t="inlineStr">
        <is>
          <t>https://amazon.com/dp/B0BG6SRKWK</t>
        </is>
      </c>
      <c r="L22" s="114">
        <f>HYPERLINK(Table2720[[#This Row],[Column1]])</f>
        <v/>
      </c>
    </row>
    <row r="23" ht="45" customHeight="1" s="314">
      <c r="A23" s="35" t="inlineStr">
        <is>
          <t>FOXWELL NT510 Elite fit for Honda Acura OBD2 Scanner, Bidirectional Full System Engine ABS TCM SRS Diagnostic Scan Tool, All Reset Crankshaft Relearn Oil EPB TPS ABS Bleeding, Code Reader, Free Update</t>
        </is>
      </c>
      <c r="B23" s="35" t="inlineStr">
        <is>
          <t>B08B5RMFBG</t>
        </is>
      </c>
      <c r="C23" s="35" t="inlineStr">
        <is>
          <t>Handheld</t>
        </is>
      </c>
      <c r="D23" s="359" t="n">
        <v>189.7951006711409</v>
      </c>
      <c r="E23" s="66" t="n">
        <v>447923.07</v>
      </c>
      <c r="F23" s="67" t="n">
        <v>28279.47</v>
      </c>
      <c r="G23" s="68" t="n">
        <v>2351</v>
      </c>
      <c r="H23" s="68" t="n">
        <v>149</v>
      </c>
      <c r="I23" s="68" t="n">
        <v>466</v>
      </c>
      <c r="J23" s="69" t="n">
        <v>4.2</v>
      </c>
      <c r="K23" s="69" t="inlineStr">
        <is>
          <t>https://amazon.com/dp/B08B5RMFBG</t>
        </is>
      </c>
      <c r="L23" s="114">
        <f>HYPERLINK(Table2720[[#This Row],[Column1]])</f>
        <v/>
      </c>
    </row>
    <row r="24" ht="45" customHeight="1" s="314">
      <c r="A24" s="35" t="inlineStr">
        <is>
          <t>FOXWELL NT510 Elite fit for GM OBD2 Scanner, Bi-Directional All System Engine ABS SRS Diagnostic Scan Tool Code Reader for Chevrolet Cadillac GMC, All Reset Oil EPB TPS ABS Bleeding Crankshaft Relearn</t>
        </is>
      </c>
      <c r="B24" s="35" t="inlineStr">
        <is>
          <t>B014CT4M3K</t>
        </is>
      </c>
      <c r="C24" s="35" t="inlineStr">
        <is>
          <t>Handheld</t>
        </is>
      </c>
      <c r="D24" s="359" t="n">
        <v>185.2161832061069</v>
      </c>
      <c r="E24" s="66" t="n">
        <v>310692.4399999999</v>
      </c>
      <c r="F24" s="67" t="n">
        <v>24263.32</v>
      </c>
      <c r="G24" s="68" t="n">
        <v>1648</v>
      </c>
      <c r="H24" s="68" t="n">
        <v>131</v>
      </c>
      <c r="I24" s="68" t="n">
        <v>567</v>
      </c>
      <c r="J24" s="69" t="n">
        <v>4.1</v>
      </c>
      <c r="K24" s="69" t="inlineStr">
        <is>
          <t>https://amazon.com/dp/B014CT4M3K</t>
        </is>
      </c>
      <c r="L24" s="114">
        <f>HYPERLINK(Table2720[[#This Row],[Column1]])</f>
        <v/>
      </c>
    </row>
    <row r="25" ht="45" customHeight="1" s="314">
      <c r="A25" s="35" t="inlineStr">
        <is>
          <t>FOXWELL HD500 Heavy Duty Truck Scanner - Diesel Scanner with DPF Regen/Injector Cutoff/Limit Setting, Full System Diesel Diagnostic Scan Tool for Cummins, Detroit, Caterpillar, Paccar &amp; Pickup Trucks</t>
        </is>
      </c>
      <c r="B25" s="35" t="inlineStr">
        <is>
          <t>B0D7M4Q46L</t>
        </is>
      </c>
      <c r="C25" s="35" t="inlineStr">
        <is>
          <t>Tablet</t>
        </is>
      </c>
      <c r="D25" s="359" t="n">
        <v>573.8515</v>
      </c>
      <c r="E25" s="66" t="n">
        <v>855790.23</v>
      </c>
      <c r="F25" s="67" t="n">
        <v>22954.06</v>
      </c>
      <c r="G25" s="68" t="n">
        <v>1509</v>
      </c>
      <c r="H25" s="68" t="n">
        <v>40</v>
      </c>
      <c r="I25" s="68" t="n">
        <v>381</v>
      </c>
      <c r="J25" s="69" t="n">
        <v>4</v>
      </c>
      <c r="K25" s="69" t="inlineStr">
        <is>
          <t>https://amazon.com/dp/B0D7M4Q46L</t>
        </is>
      </c>
      <c r="L25" s="114">
        <f>HYPERLINK(Table2720[[#This Row],[Column1]])</f>
        <v/>
      </c>
    </row>
    <row r="26" ht="45" customHeight="1" s="314">
      <c r="A26" s="35" t="inlineStr">
        <is>
          <t>FOXWELL NT614 Elite OBD2 Scanner 4 System Code Reader Scan Engine ABS SRS Transmission, 5 Resets Oil/EPB/ABS Bleeding/SAS/Throttle Live Data, Auto VIN, WiFi Updates Car Diagnostic Tool for DIY &amp; Pros</t>
        </is>
      </c>
      <c r="B26" s="35" t="inlineStr">
        <is>
          <t>B085TG89H4</t>
        </is>
      </c>
      <c r="C26" s="35" t="inlineStr">
        <is>
          <t>Tablet</t>
        </is>
      </c>
      <c r="D26" s="359" t="n">
        <v>176.7968253968254</v>
      </c>
      <c r="E26" s="66" t="n">
        <v>408250.9600000001</v>
      </c>
      <c r="F26" s="67" t="n">
        <v>22276.4</v>
      </c>
      <c r="G26" s="68" t="n">
        <v>2233</v>
      </c>
      <c r="H26" s="68" t="n">
        <v>126</v>
      </c>
      <c r="I26" s="68" t="n">
        <v>1226</v>
      </c>
      <c r="J26" s="69" t="n">
        <v>4.3</v>
      </c>
      <c r="K26" s="69" t="inlineStr">
        <is>
          <t>https://amazon.com/dp/B085TG89H4</t>
        </is>
      </c>
      <c r="L26" s="114">
        <f>HYPERLINK(Table2720[[#This Row],[Column1]])</f>
        <v/>
      </c>
    </row>
    <row r="27" ht="45" customHeight="1" s="314">
      <c r="A27" s="35" t="inlineStr">
        <is>
          <t>2025 FOXWELL NT716 OBD2 Scanner Bidirectional Control 9+ Resets Scan Tool ABS SRS Transmission Engine Diagnostic Code Reader WiFi Update Injector Coding/D-P-F/BMS/ABS Bleed/Oil/EPB/TPMS/SAS/Throttle</t>
        </is>
      </c>
      <c r="B27" s="35" t="inlineStr">
        <is>
          <t>B09BJK6K4S</t>
        </is>
      </c>
      <c r="C27" s="35" t="inlineStr">
        <is>
          <t>Tablet</t>
        </is>
      </c>
      <c r="D27" s="359" t="n">
        <v>267.1559756097561</v>
      </c>
      <c r="E27" s="66" t="n">
        <v>144918.0723076923</v>
      </c>
      <c r="F27" s="67" t="n">
        <v>21906.79</v>
      </c>
      <c r="G27" s="68" t="n">
        <v>435</v>
      </c>
      <c r="H27" s="68" t="n">
        <v>82</v>
      </c>
      <c r="I27" s="68" t="n">
        <v>381</v>
      </c>
      <c r="J27" s="69" t="n">
        <v>4</v>
      </c>
      <c r="K27" s="69" t="inlineStr">
        <is>
          <t>https://amazon.com/dp/B09BJK6K4S</t>
        </is>
      </c>
      <c r="L27" s="114">
        <f>HYPERLINK(Table2720[[#This Row],[Column1]])</f>
        <v/>
      </c>
    </row>
    <row r="28" ht="45" customHeight="1" s="314">
      <c r="A28" s="35" t="inlineStr">
        <is>
          <t>FOXWELL NT201 OBD2 Scanner Code Reader for Cars and Trucks - Reset Check Engine Light, Read and Clear Fault Codes, Live Data Diagnostic Tool for All Cars Since 1996</t>
        </is>
      </c>
      <c r="B28" s="35" t="inlineStr">
        <is>
          <t>B01N6RKE29</t>
        </is>
      </c>
      <c r="C28" s="35" t="inlineStr">
        <is>
          <t>Handheld</t>
        </is>
      </c>
      <c r="D28" s="359" t="n">
        <v>42.64560240963855</v>
      </c>
      <c r="E28" s="66" t="n">
        <v>610138.87</v>
      </c>
      <c r="F28" s="67" t="n">
        <v>21237.51</v>
      </c>
      <c r="G28" s="68" t="n">
        <v>13702</v>
      </c>
      <c r="H28" s="68" t="n">
        <v>498</v>
      </c>
      <c r="I28" s="68" t="n">
        <v>9958</v>
      </c>
      <c r="J28" s="69" t="n">
        <v>4.5</v>
      </c>
      <c r="K28" s="69" t="inlineStr">
        <is>
          <t>https://amazon.com/dp/B01N6RKE29</t>
        </is>
      </c>
      <c r="L28" s="114">
        <f>HYPERLINK(Table2720[[#This Row],[Column1]])</f>
        <v/>
      </c>
    </row>
    <row r="29" ht="60" customHeight="1" s="314">
      <c r="A29" s="35" t="inlineStr">
        <is>
          <t>FOXWELL NT710 fit for Mercedes-Benz OBD2 Scanner, Full System Diagnostic Scan Tool, Bidirectional Control, All Free Resets Air Suspension/ABS Bleeding/Oil/SRS/EPB, Code Reader, Auto VIN, WiFi Update</t>
        </is>
      </c>
      <c r="B29" s="35" t="inlineStr">
        <is>
          <t>B0CHYGP6YB</t>
        </is>
      </c>
      <c r="C29" s="35" t="inlineStr">
        <is>
          <t>Tablet</t>
        </is>
      </c>
      <c r="D29" s="359" t="n">
        <v>327.3185483870968</v>
      </c>
      <c r="E29" s="66" t="n">
        <v>227181.43</v>
      </c>
      <c r="F29" s="67" t="n">
        <v>20293.75</v>
      </c>
      <c r="G29" s="68" t="n">
        <v>706</v>
      </c>
      <c r="H29" s="68" t="n">
        <v>62</v>
      </c>
      <c r="I29" s="68" t="n">
        <v>116</v>
      </c>
      <c r="J29" s="69" t="n">
        <v>3.9</v>
      </c>
      <c r="K29" s="69" t="inlineStr">
        <is>
          <t>https://amazon.com/dp/B0CHYGP6YB</t>
        </is>
      </c>
      <c r="L29" s="114">
        <f>HYPERLINK(Table2720[[#This Row],[Column1]])</f>
        <v/>
      </c>
    </row>
    <row r="30" ht="45" customHeight="1" s="314">
      <c r="A30" s="35" t="inlineStr">
        <is>
          <t>FOXWELL NT510 Elite OBD2 Scanner fit for Porsche Diagnostic Tool, Full System Bi-Directional Control Code Reader with All Reset Services, Oil Reset Scan Tool for Porsche, Battery Registration Tool</t>
        </is>
      </c>
      <c r="B30" s="35" t="inlineStr">
        <is>
          <t>B07Z5JS7B9</t>
        </is>
      </c>
      <c r="C30" s="35" t="inlineStr">
        <is>
          <t>Handheld</t>
        </is>
      </c>
      <c r="D30" s="359" t="n">
        <v>200.9270526315789</v>
      </c>
      <c r="E30" s="66" t="n">
        <v>213861.4</v>
      </c>
      <c r="F30" s="67" t="n">
        <v>19088.07</v>
      </c>
      <c r="G30" s="68" t="n">
        <v>1118</v>
      </c>
      <c r="H30" s="68" t="n">
        <v>95</v>
      </c>
      <c r="I30" s="68" t="n">
        <v>324</v>
      </c>
      <c r="J30" s="69" t="n">
        <v>3.9</v>
      </c>
      <c r="K30" s="69" t="inlineStr">
        <is>
          <t>https://amazon.com/dp/B07Z5JS7B9</t>
        </is>
      </c>
      <c r="L30" s="114">
        <f>HYPERLINK(Table2720[[#This Row],[Column1]])</f>
        <v/>
      </c>
    </row>
    <row r="31" ht="45" customHeight="1" s="314">
      <c r="A31" s="35" t="inlineStr">
        <is>
          <t>FOXWELL NT510 Pro fit for Porsche OBD2 Scanner with 12V Battery Tester, Full System Diagnostic Bidirectional Control Scanner with All Resets, 12V Battery Health Analyzer with Cranking &amp; Charging Test</t>
        </is>
      </c>
      <c r="B31" s="35" t="inlineStr">
        <is>
          <t>B0FRGB9RXV</t>
        </is>
      </c>
      <c r="C31" s="35" t="inlineStr">
        <is>
          <t>Handheld</t>
        </is>
      </c>
      <c r="D31" s="359" t="n">
        <v>237.754262295082</v>
      </c>
      <c r="E31" s="66" t="n">
        <v>185787.803076923</v>
      </c>
      <c r="F31" s="67" t="n">
        <v>14503.01</v>
      </c>
      <c r="G31" s="68" t="n">
        <v>443</v>
      </c>
      <c r="H31" s="68" t="n">
        <v>61</v>
      </c>
      <c r="I31" s="68" t="n">
        <v>36</v>
      </c>
      <c r="J31" s="69" t="n">
        <v>4.9</v>
      </c>
      <c r="K31" s="69" t="inlineStr">
        <is>
          <t>https://amazon.com/dp/B0FRGB9RXV</t>
        </is>
      </c>
      <c r="L31" s="114">
        <f>HYPERLINK(Table2720[[#This Row],[Column1]])</f>
        <v/>
      </c>
    </row>
    <row r="32" ht="60" customHeight="1" s="314">
      <c r="A32" s="35" t="inlineStr">
        <is>
          <t>2026 FOXWELL NT716 Bidirectional OBD2 Scanner – ABS, Airbag, Transmission, Engine Scanner with 9 Service Resets Including ABS Bleeding Oil Light, EPB, BMS, DPF, Lifetime Free Updates, Orange</t>
        </is>
      </c>
      <c r="B32" s="35" t="inlineStr">
        <is>
          <t>B0F4N3WQ38</t>
        </is>
      </c>
      <c r="C32" s="35" t="inlineStr">
        <is>
          <t>Tablet</t>
        </is>
      </c>
      <c r="D32" s="359" t="n">
        <v>301.7739583333333</v>
      </c>
      <c r="E32" s="66" t="n">
        <v>103530.9076923077</v>
      </c>
      <c r="F32" s="67" t="n">
        <v>14485.15</v>
      </c>
      <c r="G32" s="68" t="n">
        <v>308</v>
      </c>
      <c r="H32" s="68" t="n">
        <v>48</v>
      </c>
      <c r="I32" s="68" t="n">
        <v>244</v>
      </c>
      <c r="J32" s="69" t="n">
        <v>4.4</v>
      </c>
      <c r="K32" s="69" t="inlineStr">
        <is>
          <t>https://amazon.com/dp/B0F4N3WQ38</t>
        </is>
      </c>
      <c r="L32" s="114">
        <f>HYPERLINK(Table2720[[#This Row],[Column1]])</f>
        <v/>
      </c>
    </row>
    <row r="33" ht="45" customHeight="1" s="314">
      <c r="A33" s="35" t="inlineStr">
        <is>
          <t>FOXWELL NT710 Fit for GM Diagnostic Scan Tool, Bi-Directional All System OBD2 Scanner for Chevrolet Buick GMC Cadillac, All Resets Code Reader Oil EPB SAS TPMS ABS Bleeding Throttle Crankshaft Relearn</t>
        </is>
      </c>
      <c r="B33" s="35" t="inlineStr">
        <is>
          <t>B0CDGH4WFH</t>
        </is>
      </c>
      <c r="C33" s="35" t="inlineStr">
        <is>
          <t>Tablet</t>
        </is>
      </c>
      <c r="D33" s="359" t="n">
        <v>333.1205882352941</v>
      </c>
      <c r="E33" s="66" t="n">
        <v>151729.27</v>
      </c>
      <c r="F33" s="67" t="n">
        <v>11326.1</v>
      </c>
      <c r="G33" s="68" t="n">
        <v>466</v>
      </c>
      <c r="H33" s="68" t="n">
        <v>34</v>
      </c>
      <c r="I33" s="68" t="n">
        <v>73</v>
      </c>
      <c r="J33" s="69" t="n">
        <v>4.2</v>
      </c>
      <c r="K33" s="69" t="inlineStr">
        <is>
          <t>https://amazon.com/dp/B0CDGH4WFH</t>
        </is>
      </c>
      <c r="L33" s="114">
        <f>HYPERLINK(Table2720[[#This Row],[Column1]])</f>
        <v/>
      </c>
    </row>
    <row r="34" ht="45" customHeight="1" s="314">
      <c r="A34" s="35" t="inlineStr">
        <is>
          <t>FOXWELL NT1009 All-System Bi-Directional Scan Tool with All Reset Services, Topology Mapping, V.A.G Guide &amp; FCA SGW Support, CAN-FD DoIP Diagnostic Scanner for All Cars, 3-Year Free Updates</t>
        </is>
      </c>
      <c r="B34" s="35" t="inlineStr">
        <is>
          <t>B0D7Z2QF71</t>
        </is>
      </c>
      <c r="C34" s="35" t="inlineStr">
        <is>
          <t>Tablet</t>
        </is>
      </c>
      <c r="D34" s="359" t="n">
        <v>882.1508333333333</v>
      </c>
      <c r="E34" s="66" t="n">
        <v>262267.19</v>
      </c>
      <c r="F34" s="67" t="n">
        <v>10585.81</v>
      </c>
      <c r="G34" s="68" t="n">
        <v>299</v>
      </c>
      <c r="H34" s="68" t="n">
        <v>12</v>
      </c>
      <c r="I34" s="68" t="n">
        <v>270</v>
      </c>
      <c r="J34" s="69" t="n">
        <v>4.4</v>
      </c>
      <c r="K34" s="69" t="inlineStr">
        <is>
          <t>https://amazon.com/dp/B0D7Z2QF71</t>
        </is>
      </c>
      <c r="L34" s="114">
        <f>HYPERLINK(Table2720[[#This Row],[Column1]])</f>
        <v/>
      </c>
    </row>
    <row r="35" ht="45" customHeight="1" s="314">
      <c r="A35" s="35" t="inlineStr">
        <is>
          <t>2026 FOXWELL Scanner NT809BT OBD2 Scanner Diagnostic Tool with 30+Resets, All System Bidirectional Scan Tool for All Vehicles, CAN-FD, FCA Autoauth, 3-Yr Free Update, AutoVIN, Wireless 65-Foot, Orange</t>
        </is>
      </c>
      <c r="B35" s="35" t="inlineStr">
        <is>
          <t>B0DPZVGXS3</t>
        </is>
      </c>
      <c r="C35" s="35" t="inlineStr">
        <is>
          <t>Tablet</t>
        </is>
      </c>
      <c r="D35" s="359" t="n">
        <v>477.8831818181818</v>
      </c>
      <c r="E35" s="66" t="n">
        <v>349874.4099999999</v>
      </c>
      <c r="F35" s="67" t="n">
        <v>10513.43</v>
      </c>
      <c r="G35" s="68" t="n">
        <v>757</v>
      </c>
      <c r="H35" s="68" t="n">
        <v>22</v>
      </c>
      <c r="I35" s="68" t="n">
        <v>260</v>
      </c>
      <c r="J35" s="69" t="n">
        <v>4.2</v>
      </c>
      <c r="K35" s="69" t="inlineStr">
        <is>
          <t>https://amazon.com/dp/B0DPZVGXS3</t>
        </is>
      </c>
      <c r="L35" s="114">
        <f>HYPERLINK(Table2720[[#This Row],[Column1]])</f>
        <v/>
      </c>
    </row>
    <row r="36" ht="45" customHeight="1" s="314">
      <c r="A36" s="35" t="inlineStr">
        <is>
          <t>FOXWELL NT510 Elite Bi-Directional Scan Tool Fit for Mercedes-Benz Sprinter Smart Maybach, Full System Diagnostic Scan Tool OBD2 Scanner, Full Reset Services ABS SRS EPB, Auto Vin, Free Update</t>
        </is>
      </c>
      <c r="B36" s="35" t="inlineStr">
        <is>
          <t>B07XL3HK8W</t>
        </is>
      </c>
      <c r="C36" s="35" t="inlineStr">
        <is>
          <t>Handheld</t>
        </is>
      </c>
      <c r="D36" s="359" t="n">
        <v>200.2238095238095</v>
      </c>
      <c r="E36" s="66" t="n">
        <v>109339.9530769231</v>
      </c>
      <c r="F36" s="67" t="n">
        <v>8409.4</v>
      </c>
      <c r="G36" s="68" t="n">
        <v>508</v>
      </c>
      <c r="H36" s="68" t="n">
        <v>42</v>
      </c>
      <c r="I36" s="68" t="n">
        <v>530</v>
      </c>
      <c r="J36" s="69" t="n">
        <v>4.2</v>
      </c>
      <c r="K36" s="69" t="inlineStr">
        <is>
          <t>https://amazon.com/dp/B07XL3HK8W</t>
        </is>
      </c>
      <c r="L36" s="114">
        <f>HYPERLINK(Table2720[[#This Row],[Column1]])</f>
        <v/>
      </c>
    </row>
    <row r="37" ht="45" customHeight="1" s="314">
      <c r="A37" s="35" t="inlineStr">
        <is>
          <t>2026 2-in-1 FOXWELL NT630 Pro ABS SRS Scan Tool &amp; Battery Tester, Upgraded from NT630 Plus, OBD2 Scanner with 12V Battery Load Analyzer(100-3000CCA), ABS Bleed, BMS/Oil/SAS/EPB Reset, Live Data</t>
        </is>
      </c>
      <c r="B37" s="35" t="inlineStr">
        <is>
          <t>B0DDQ6MX9M</t>
        </is>
      </c>
      <c r="C37" s="35" t="inlineStr">
        <is>
          <t>Handheld</t>
        </is>
      </c>
      <c r="D37" s="359" t="n">
        <v>191.0895348837209</v>
      </c>
      <c r="E37" s="66" t="n">
        <v>345698.14</v>
      </c>
      <c r="F37" s="67" t="n">
        <v>8216.85</v>
      </c>
      <c r="G37" s="68" t="n">
        <v>1799</v>
      </c>
      <c r="H37" s="68" t="n">
        <v>43</v>
      </c>
      <c r="I37" s="68" t="n">
        <v>134</v>
      </c>
      <c r="J37" s="69" t="n">
        <v>4.4</v>
      </c>
      <c r="K37" s="69" t="inlineStr">
        <is>
          <t>https://amazon.com/dp/B0DDQ6MX9M</t>
        </is>
      </c>
      <c r="L37" s="114">
        <f>HYPERLINK(Table2720[[#This Row],[Column1]])</f>
        <v/>
      </c>
    </row>
    <row r="38" ht="45" customHeight="1" s="314">
      <c r="A38" s="35" t="inlineStr">
        <is>
          <t>2026 FOXWELL NT630 Plus OBD2 Scanner with ABS and SRS, ABS Auto Bleed Scan Tool, Brake Code Reader with Live Data, Bidirectional Control &amp; SAS Oil EPB Reset Diagnostic Tool</t>
        </is>
      </c>
      <c r="B38" s="35" t="inlineStr">
        <is>
          <t>B08GXDMC7N</t>
        </is>
      </c>
      <c r="C38" s="35" t="inlineStr">
        <is>
          <t>Handheld</t>
        </is>
      </c>
      <c r="D38" s="359" t="n">
        <v>149.504</v>
      </c>
      <c r="E38" s="66" t="n">
        <v>189993.25</v>
      </c>
      <c r="F38" s="67" t="n">
        <v>7475.2</v>
      </c>
      <c r="G38" s="68" t="n">
        <v>1283</v>
      </c>
      <c r="H38" s="68" t="n">
        <v>50</v>
      </c>
      <c r="I38" s="68" t="n">
        <v>507</v>
      </c>
      <c r="J38" s="69" t="n">
        <v>4.1</v>
      </c>
      <c r="K38" s="69" t="inlineStr">
        <is>
          <t>https://amazon.com/dp/B08GXDMC7N</t>
        </is>
      </c>
      <c r="L38" s="114">
        <f>HYPERLINK(Table2720[[#This Row],[Column1]])</f>
        <v/>
      </c>
    </row>
    <row r="39" ht="45" customHeight="1" s="314">
      <c r="A39" s="35" t="inlineStr">
        <is>
          <t>2026 FOXWELL Scanner NT726 OBD2 Scanner All System Scan Tool 12+ Service Resets, Diagnostic Tool with ABS Bleeding, Oil Reset, Injector Coding, SAS &amp; TPMS, Active Test, Lifetime Free Update</t>
        </is>
      </c>
      <c r="B39" s="35" t="inlineStr">
        <is>
          <t>B09BNDS4VD</t>
        </is>
      </c>
      <c r="C39" s="35" t="inlineStr">
        <is>
          <t>Tablet</t>
        </is>
      </c>
      <c r="D39" s="359" t="n">
        <v>383.9464705882353</v>
      </c>
      <c r="E39" s="66" t="n">
        <v>115632.1761538462</v>
      </c>
      <c r="F39" s="67" t="n">
        <v>6527.09</v>
      </c>
      <c r="G39" s="68" t="n">
        <v>289</v>
      </c>
      <c r="H39" s="68" t="n">
        <v>17</v>
      </c>
      <c r="I39" s="68" t="n">
        <v>252</v>
      </c>
      <c r="J39" s="69" t="n">
        <v>4.1</v>
      </c>
      <c r="K39" s="69" t="inlineStr">
        <is>
          <t>https://amazon.com/dp/B09BNDS4VD</t>
        </is>
      </c>
      <c r="L39" s="114">
        <f>HYPERLINK(Table2720[[#This Row],[Column1]])</f>
        <v/>
      </c>
    </row>
    <row r="40" ht="45" customHeight="1" s="314">
      <c r="A40" s="35" t="inlineStr">
        <is>
          <t>FOXWELL HD301 Heavy Duty Truck Scanner, Full System Diesel Scan Tool with 6/9/16 Pin, 2 in 1 Code Reader for Trucks &amp; Car Engine, Diesel Diagnostic Tool for Cummins, Paccar, Caterpillar</t>
        </is>
      </c>
      <c r="B40" s="35" t="inlineStr">
        <is>
          <t>B0GS5TPTST</t>
        </is>
      </c>
      <c r="C40" s="35" t="inlineStr">
        <is>
          <t>Tablet</t>
        </is>
      </c>
      <c r="D40" s="359" t="n">
        <v>197.5257575757576</v>
      </c>
      <c r="E40" s="66" t="n">
        <v>78721.61153846156</v>
      </c>
      <c r="F40" s="67" t="n">
        <v>6518.35</v>
      </c>
      <c r="G40" s="68" t="n">
        <v>33</v>
      </c>
      <c r="H40" s="68" t="n">
        <v>33</v>
      </c>
      <c r="I40" s="68" t="n"/>
      <c r="J40" s="69" t="n"/>
      <c r="K40" s="69" t="inlineStr">
        <is>
          <t>https://amazon.com/dp/B0GS5TPTST</t>
        </is>
      </c>
      <c r="L40" s="114">
        <f>HYPERLINK(Table2720[[#This Row],[Column1]])</f>
        <v/>
      </c>
    </row>
    <row r="41" ht="45" customHeight="1" s="314">
      <c r="A41" s="35" t="inlineStr">
        <is>
          <t>FOXWELL NT510 Pro fit for GM Scan Tool, 2-in-1 OBD2 Scanner &amp; 12V Battery Tester, All Systems Diagnostic &amp; Bi-Directional Control, Crankshaft Sensor Relearn, fit for Chevrolet Buick Cadillac GMC</t>
        </is>
      </c>
      <c r="B41" s="35" t="inlineStr">
        <is>
          <t>B0FRLSSTDC</t>
        </is>
      </c>
      <c r="C41" s="35" t="inlineStr">
        <is>
          <t>Handheld</t>
        </is>
      </c>
      <c r="D41" s="359" t="n">
        <v>238.4281481481482</v>
      </c>
      <c r="E41" s="66" t="n">
        <v>108732.6715384616</v>
      </c>
      <c r="F41" s="67" t="n">
        <v>6437.56</v>
      </c>
      <c r="G41" s="68" t="n">
        <v>285</v>
      </c>
      <c r="H41" s="68" t="n">
        <v>27</v>
      </c>
      <c r="I41" s="68" t="n">
        <v>38</v>
      </c>
      <c r="J41" s="69" t="n">
        <v>3.8</v>
      </c>
      <c r="K41" s="69" t="inlineStr">
        <is>
          <t>https://amazon.com/dp/B0FRLSSTDC</t>
        </is>
      </c>
      <c r="L41" s="114">
        <f>HYPERLINK(Table2720[[#This Row],[Column1]])</f>
        <v/>
      </c>
    </row>
    <row r="42" ht="45" customHeight="1" s="314">
      <c r="A42" s="35" t="inlineStr">
        <is>
          <t>FOXWELL NT510 Elite fit for Chrysler Jeep Dodge Scan Tool, All System OBD2 Scanner Bidirectional Diagnostic Tool, All Maintenance Car Code Reader with ABS Bleeding TPMS Battery Registration Reset Tool</t>
        </is>
      </c>
      <c r="B42" s="35" t="inlineStr">
        <is>
          <t>B07XK1P8ZT</t>
        </is>
      </c>
      <c r="C42" s="35" t="inlineStr">
        <is>
          <t>Handheld</t>
        </is>
      </c>
      <c r="D42" s="359" t="n">
        <v>200.2076666666667</v>
      </c>
      <c r="E42" s="66" t="n">
        <v>134929.56</v>
      </c>
      <c r="F42" s="67" t="n">
        <v>6006.23</v>
      </c>
      <c r="G42" s="68" t="n">
        <v>673</v>
      </c>
      <c r="H42" s="68" t="n">
        <v>30</v>
      </c>
      <c r="I42" s="68" t="n">
        <v>228</v>
      </c>
      <c r="J42" s="69" t="n">
        <v>4.1</v>
      </c>
      <c r="K42" s="69" t="inlineStr">
        <is>
          <t>https://amazon.com/dp/B07XK1P8ZT</t>
        </is>
      </c>
      <c r="L42" s="114">
        <f>HYPERLINK(Table2720[[#This Row],[Column1]])</f>
        <v/>
      </c>
    </row>
    <row r="43" ht="45" customHeight="1" s="314">
      <c r="A43" s="35" t="inlineStr">
        <is>
          <t>2026 FOXWELL NT624 Elite OBD2 Scanner, All System with 8 Resets ABS Bleeding/SAS/Oil/TPS/EPB/BRT/Injector/D-P-F Resets Battery Test Upgrade of NT614 Elite Car Code Reader Scan Tool for All Cars</t>
        </is>
      </c>
      <c r="B43" s="35" t="inlineStr">
        <is>
          <t>B082X38C7G</t>
        </is>
      </c>
      <c r="C43" s="35" t="inlineStr">
        <is>
          <t>Tablet</t>
        </is>
      </c>
      <c r="D43" s="359" t="n">
        <v>264.625</v>
      </c>
      <c r="E43" s="66" t="n">
        <v>83181.17000000001</v>
      </c>
      <c r="F43" s="67" t="n">
        <v>4763.25</v>
      </c>
      <c r="G43" s="68" t="n">
        <v>309</v>
      </c>
      <c r="H43" s="68" t="n">
        <v>18</v>
      </c>
      <c r="I43" s="68" t="n">
        <v>299</v>
      </c>
      <c r="J43" s="69" t="n">
        <v>4</v>
      </c>
      <c r="K43" s="69" t="inlineStr">
        <is>
          <t>https://amazon.com/dp/B082X38C7G</t>
        </is>
      </c>
      <c r="L43" s="114">
        <f>HYPERLINK(Table2720[[#This Row],[Column1]])</f>
        <v/>
      </c>
    </row>
    <row r="44" ht="45" customHeight="1" s="314">
      <c r="A44" s="35" t="inlineStr">
        <is>
          <t>2026 FOXWELL NT726 Bidirectional Scan Tool, All System OBD2 Scanner Diagnostic Tool, Car Code Reader for All Models with 12 Resets, ABS Bleeding, Oil/EPB/SAS/D-PF/TPMS/Injector/Throttle, EN/ES Ver</t>
        </is>
      </c>
      <c r="B44" s="35" t="inlineStr">
        <is>
          <t>B09SGDN3BQ</t>
        </is>
      </c>
      <c r="C44" s="35" t="inlineStr">
        <is>
          <t>Tablet</t>
        </is>
      </c>
      <c r="D44" s="359" t="n">
        <v>361.409</v>
      </c>
      <c r="E44" s="66" t="n">
        <v>73882.5</v>
      </c>
      <c r="F44" s="67" t="n">
        <v>3614.09</v>
      </c>
      <c r="G44" s="68" t="n">
        <v>195</v>
      </c>
      <c r="H44" s="68" t="n">
        <v>10</v>
      </c>
      <c r="I44" s="68" t="n">
        <v>97</v>
      </c>
      <c r="J44" s="69" t="n">
        <v>4.1</v>
      </c>
      <c r="K44" s="69" t="inlineStr">
        <is>
          <t>https://amazon.com/dp/B09SGDN3BQ</t>
        </is>
      </c>
      <c r="L44" s="114">
        <f>HYPERLINK(Table2720[[#This Row],[Column1]])</f>
        <v/>
      </c>
    </row>
    <row r="45" ht="30" customHeight="1" s="314">
      <c r="A45" s="35" t="inlineStr">
        <is>
          <t>FOXWELL NT301 CASE OBD2 Scanner Professional Enhanced OBDII Diagnostic Box</t>
        </is>
      </c>
      <c r="B45" s="35" t="inlineStr">
        <is>
          <t>B07G3V17VH</t>
        </is>
      </c>
      <c r="C45" s="35" t="inlineStr">
        <is>
          <t>Other</t>
        </is>
      </c>
      <c r="D45" s="359" t="n">
        <v>19.86545454545454</v>
      </c>
      <c r="E45" s="66" t="n">
        <v>24335.586</v>
      </c>
      <c r="F45" s="67" t="n">
        <v>1092.6</v>
      </c>
      <c r="G45" s="68" t="n">
        <v>1218</v>
      </c>
      <c r="H45" s="68" t="n">
        <v>55</v>
      </c>
      <c r="I45" s="68" t="n">
        <v>3219</v>
      </c>
      <c r="J45" s="69" t="n">
        <v>4.6</v>
      </c>
      <c r="K45" s="69" t="inlineStr">
        <is>
          <t>https://amazon.com/dp/B07G3V17VH</t>
        </is>
      </c>
      <c r="L45" s="114">
        <f>HYPERLINK(Table2720[[#This Row],[Column1]])</f>
        <v/>
      </c>
    </row>
    <row r="46" ht="30" customHeight="1" s="314">
      <c r="A46" s="35" t="inlineStr">
        <is>
          <t>FOXWELL OBD2 OBD II 16Pin Male to Female Diagnostic Extension Convert Cable Adapter 1m/ 39inch</t>
        </is>
      </c>
      <c r="B46" s="35" t="inlineStr">
        <is>
          <t>B09JSCN1LX</t>
        </is>
      </c>
      <c r="C46" s="35" t="inlineStr">
        <is>
          <t>Cable/Adapter</t>
        </is>
      </c>
      <c r="D46" s="359" t="n">
        <v>13.03621951219512</v>
      </c>
      <c r="E46" s="66" t="n">
        <v>11227.45</v>
      </c>
      <c r="F46" s="67" t="n">
        <v>1068.97</v>
      </c>
      <c r="G46" s="68" t="n">
        <v>863</v>
      </c>
      <c r="H46" s="68" t="n">
        <v>82</v>
      </c>
      <c r="I46" s="68" t="n">
        <v>312</v>
      </c>
      <c r="J46" s="69" t="n">
        <v>4.6</v>
      </c>
      <c r="K46" s="69" t="inlineStr">
        <is>
          <t>https://amazon.com/dp/B09JSCN1LX</t>
        </is>
      </c>
      <c r="L46" s="114">
        <f>HYPERLINK(Table2720[[#This Row],[Column1]])</f>
        <v/>
      </c>
    </row>
    <row r="47" ht="30" customHeight="1" s="314">
      <c r="A47" s="35" t="inlineStr">
        <is>
          <t>FOXWELL OBD2 Female to 20pin Extension Convert Adapter OBD1 to OBDII Cable -16pin to 20pin Cable (11 Inch)</t>
        </is>
      </c>
      <c r="B47" s="35" t="inlineStr">
        <is>
          <t>B00UC11M4A</t>
        </is>
      </c>
      <c r="C47" s="35" t="inlineStr">
        <is>
          <t>Cable/Adapter</t>
        </is>
      </c>
      <c r="D47" s="359" t="n">
        <v>12.95974358974359</v>
      </c>
      <c r="E47" s="66" t="n">
        <v>8964.459999999999</v>
      </c>
      <c r="F47" s="67" t="n">
        <v>505.43</v>
      </c>
      <c r="G47" s="68" t="n">
        <v>692</v>
      </c>
      <c r="H47" s="68" t="n">
        <v>39</v>
      </c>
      <c r="I47" s="68" t="n">
        <v>228</v>
      </c>
      <c r="J47" s="69" t="n">
        <v>4.5</v>
      </c>
      <c r="K47" s="69" t="inlineStr">
        <is>
          <t>https://amazon.com/dp/B00UC11M4A</t>
        </is>
      </c>
      <c r="L47" s="114">
        <f>HYPERLINK(Table2720[[#This Row],[Column1]])</f>
        <v/>
      </c>
    </row>
    <row r="48" ht="30" customHeight="1" s="314">
      <c r="A48" s="35" t="inlineStr">
        <is>
          <t>FOXWELL NT530 for Porsche 997 Multi-System OBD2 Diagnostic Scanner SRS ABS DPF EPB Airbag TPMS Battery Reset</t>
        </is>
      </c>
      <c r="B48" s="35" t="inlineStr">
        <is>
          <t>B07XQLXP66</t>
        </is>
      </c>
      <c r="C48" s="35" t="inlineStr">
        <is>
          <t>Handheld</t>
        </is>
      </c>
      <c r="D48" s="359" t="n">
        <v>161.86</v>
      </c>
      <c r="E48" s="66" t="n">
        <v>3846.872307692308</v>
      </c>
      <c r="F48" s="67" t="n">
        <v>323.72</v>
      </c>
      <c r="G48" s="68" t="n">
        <v>14</v>
      </c>
      <c r="H48" s="68" t="n">
        <v>2</v>
      </c>
      <c r="I48" s="68" t="n">
        <v>19</v>
      </c>
      <c r="J48" s="69" t="n">
        <v>4.4</v>
      </c>
      <c r="K48" s="69" t="inlineStr">
        <is>
          <t>https://amazon.com/dp/B07XQLXP66</t>
        </is>
      </c>
      <c r="L48" s="114">
        <f>HYPERLINK(Table2720[[#This Row],[Column1]])</f>
        <v/>
      </c>
    </row>
    <row r="49" ht="30" customHeight="1" s="314">
      <c r="A49" s="35" t="inlineStr">
        <is>
          <t>FOXWELL OBD2 OBD II 16Pin Male to Female Diagnostic Extension Convert Cable 65cm/25.59”</t>
        </is>
      </c>
      <c r="B49" s="35" t="inlineStr">
        <is>
          <t>B09M8CPNBJ</t>
        </is>
      </c>
      <c r="C49" s="35" t="inlineStr">
        <is>
          <t>Cable/Adapter</t>
        </is>
      </c>
      <c r="D49" s="359" t="n">
        <v>13.219375</v>
      </c>
      <c r="E49" s="66" t="n">
        <v>4689.599999999999</v>
      </c>
      <c r="F49" s="67" t="n">
        <v>211.51</v>
      </c>
      <c r="G49" s="68" t="n">
        <v>363</v>
      </c>
      <c r="H49" s="68" t="n">
        <v>16</v>
      </c>
      <c r="I49" s="68" t="n">
        <v>140</v>
      </c>
      <c r="J49" s="69" t="n">
        <v>4.6</v>
      </c>
      <c r="K49" s="69" t="inlineStr">
        <is>
          <t>https://amazon.com/dp/B09M8CPNBJ</t>
        </is>
      </c>
      <c r="L49" s="114">
        <f>HYPERLINK(Table2720[[#This Row],[Column1]])</f>
        <v/>
      </c>
    </row>
    <row r="50" ht="45" customHeight="1" s="314">
      <c r="A50" s="35" t="inlineStr">
        <is>
          <t>Foxwell NT301/NT201 OBD2 Extension Cable 16pin Male to Female Diagnostic Universal OBD II Convert Cable</t>
        </is>
      </c>
      <c r="B50" s="35" t="inlineStr">
        <is>
          <t>B08Y1XCP9Z</t>
        </is>
      </c>
      <c r="C50" s="35" t="inlineStr">
        <is>
          <t>Cable/Adapter</t>
        </is>
      </c>
      <c r="D50" s="359" t="n">
        <v>10.85866666666667</v>
      </c>
      <c r="E50" s="66" t="n">
        <v>3522.94</v>
      </c>
      <c r="F50" s="67" t="n">
        <v>162.88</v>
      </c>
      <c r="G50" s="68" t="n">
        <v>321</v>
      </c>
      <c r="H50" s="68" t="n">
        <v>15</v>
      </c>
      <c r="I50" s="68" t="n">
        <v>439</v>
      </c>
      <c r="J50" s="69" t="n">
        <v>4.5</v>
      </c>
      <c r="K50" s="69" t="inlineStr">
        <is>
          <t>https://amazon.com/dp/B08Y1XCP9Z</t>
        </is>
      </c>
      <c r="L50" s="114">
        <f>HYPERLINK(Table2720[[#This Row],[Column1]])</f>
        <v/>
      </c>
    </row>
    <row r="51" ht="30" customHeight="1" s="314">
      <c r="A51" s="35" t="inlineStr">
        <is>
          <t>FOXWELL Case for NT201/NT301/NT301 Plus OBD2 Scanner, Protective Carring Case for Handle-Size Code Reader and Battery Tester</t>
        </is>
      </c>
      <c r="B51" s="35" t="inlineStr">
        <is>
          <t>B07K6K2Y8W</t>
        </is>
      </c>
      <c r="C51" s="35" t="inlineStr">
        <is>
          <t>Other</t>
        </is>
      </c>
      <c r="D51" s="359" t="n">
        <v>19.97333333333333</v>
      </c>
      <c r="E51" s="66" t="n">
        <v>4856.59</v>
      </c>
      <c r="F51" s="67" t="n">
        <v>119.84</v>
      </c>
      <c r="G51" s="68" t="n">
        <v>246</v>
      </c>
      <c r="H51" s="68" t="n">
        <v>6</v>
      </c>
      <c r="I51" s="68" t="n">
        <v>436</v>
      </c>
      <c r="J51" s="69" t="n">
        <v>4.6</v>
      </c>
      <c r="K51" s="69" t="inlineStr">
        <is>
          <t>https://amazon.com/dp/B07K6K2Y8W</t>
        </is>
      </c>
      <c r="L51" s="114">
        <f>HYPERLINK(Table2720[[#This Row],[Column1]])</f>
        <v/>
      </c>
    </row>
    <row r="52" ht="30" customHeight="1" s="314">
      <c r="A52" s="35" t="inlineStr">
        <is>
          <t>FOXWELL OBD2 Extension Cable for NT201 NT301 NT301Plus and Most OBD2 Scanners, 16Pin Male to Female Extension Convert Cable, 2FT/60CM</t>
        </is>
      </c>
      <c r="B52" s="35" t="inlineStr">
        <is>
          <t>B00UC11PDS</t>
        </is>
      </c>
      <c r="C52" s="35" t="inlineStr">
        <is>
          <t>Cable/Adapter</t>
        </is>
      </c>
      <c r="D52" s="359" t="n">
        <v>10.29375</v>
      </c>
      <c r="E52" s="66" t="n">
        <v>758.77</v>
      </c>
      <c r="F52" s="67" t="n">
        <v>82.34999999999999</v>
      </c>
      <c r="G52" s="68" t="n">
        <v>70</v>
      </c>
      <c r="H52" s="68" t="n">
        <v>8</v>
      </c>
      <c r="I52" s="68" t="n">
        <v>713</v>
      </c>
      <c r="J52" s="69" t="n">
        <v>4.5</v>
      </c>
      <c r="K52" s="69" t="inlineStr">
        <is>
          <t>https://amazon.com/dp/B00UC11PDS</t>
        </is>
      </c>
      <c r="L52" s="114">
        <f>HYPERLINK(Table2720[[#This Row],[Column1]])</f>
        <v/>
      </c>
    </row>
    <row r="53" ht="45" customHeight="1" s="314">
      <c r="A53" s="35" t="inlineStr">
        <is>
          <t>FOXWELL NT650 Elite OBD2 Scanner with ABS and SRS Full Function</t>
        </is>
      </c>
      <c r="B53" s="35" t="inlineStr">
        <is>
          <t>B0854FNLTD</t>
        </is>
      </c>
      <c r="C53" s="35" t="inlineStr">
        <is>
          <t>Handheld</t>
        </is>
      </c>
      <c r="D53" s="359" t="n">
        <v>326.48</v>
      </c>
      <c r="E53" s="66" t="n">
        <v>59056.89</v>
      </c>
      <c r="F53" s="67" t="n">
        <v>0</v>
      </c>
      <c r="G53" s="68" t="n">
        <v>226</v>
      </c>
      <c r="H53" s="68" t="n">
        <v>0</v>
      </c>
      <c r="I53" s="68" t="n">
        <v>222</v>
      </c>
      <c r="J53" s="69" t="n">
        <v>4.1</v>
      </c>
      <c r="K53" s="69" t="inlineStr">
        <is>
          <t>https://amazon.com/dp/B0854FNLTD</t>
        </is>
      </c>
      <c r="L53" s="114">
        <f>HYPERLINK(Table2720[[#This Row],[Column1]])</f>
        <v/>
      </c>
    </row>
    <row r="54" ht="17" customHeight="1" s="314">
      <c r="A54" s="35" t="inlineStr">
        <is>
          <t>FOXWELL NT710 Scanner fit for Ford/Lincoln/Mercury, Full System Bidirectional Diagnostic Scan Tool, All Reset Services with Oil/TPMS/TPS/EPB/SAS/SRS Transmission, Auto VIN, Lifetime Free Update</t>
        </is>
      </c>
      <c r="B54" s="35" t="inlineStr">
        <is>
          <t>B0CKQZJMZN</t>
        </is>
      </c>
      <c r="C54" s="35" t="inlineStr">
        <is>
          <t>Tablet</t>
        </is>
      </c>
      <c r="D54" s="359" t="n">
        <v>527.88</v>
      </c>
      <c r="E54" s="66" t="n">
        <v>32553.78</v>
      </c>
      <c r="F54" s="67" t="n">
        <v>0</v>
      </c>
      <c r="G54" s="68" t="n">
        <v>104</v>
      </c>
      <c r="H54" s="68" t="n">
        <v>0</v>
      </c>
      <c r="I54" s="68" t="n">
        <v>27</v>
      </c>
      <c r="J54" s="69" t="n">
        <v>4</v>
      </c>
      <c r="K54" s="69" t="inlineStr">
        <is>
          <t>https://amazon.com/dp/B0CKQZJMZN</t>
        </is>
      </c>
      <c r="L54" s="114">
        <f>HYPERLINK(Table2720[[#This Row],[Column1]])</f>
        <v/>
      </c>
    </row>
    <row r="55" ht="16" customHeight="1" s="314">
      <c r="A55" s="35" t="inlineStr">
        <is>
          <t>FOXWELL NT716 OBD2 Scanner Tablet, Multi System Diagnostic Tool, 9 Service Code Reader Scanner Engine SRS Transmission Oil EPB TPMS SAS BMS Throttle Brake Reset ABS Bleeding Injector Coding Scan Tool</t>
        </is>
      </c>
      <c r="B55" s="35" t="inlineStr">
        <is>
          <t>B0BVFQ4RRN</t>
        </is>
      </c>
      <c r="C55" s="35" t="inlineStr">
        <is>
          <t>Tablet</t>
        </is>
      </c>
      <c r="D55" s="359" t="n">
        <v>262.42</v>
      </c>
      <c r="E55" s="66" t="n">
        <v>21445.62</v>
      </c>
      <c r="F55" s="67" t="n">
        <v>0</v>
      </c>
      <c r="G55" s="68" t="n">
        <v>82</v>
      </c>
      <c r="H55" s="68" t="n">
        <v>0</v>
      </c>
      <c r="I55" s="68" t="n">
        <v>110</v>
      </c>
      <c r="J55" s="69" t="n">
        <v>4</v>
      </c>
      <c r="K55" s="69" t="inlineStr">
        <is>
          <t>https://amazon.com/dp/B0BVFQ4RRN</t>
        </is>
      </c>
      <c r="L55" s="114">
        <f>HYPERLINK(TABLE55)</f>
        <v/>
      </c>
    </row>
    <row r="56">
      <c r="A56" s="41" t="inlineStr">
        <is>
          <t>Total</t>
        </is>
      </c>
      <c r="B56" s="41" t="n"/>
      <c r="C56" s="41" t="n"/>
      <c r="D56" s="365" t="n"/>
      <c r="E56" s="122">
        <f>SUM(E9:E55)</f>
        <v/>
      </c>
      <c r="F56" s="122">
        <f>SUM(F9:F55)</f>
        <v/>
      </c>
      <c r="G56" s="123" t="n"/>
      <c r="H56" s="123" t="n"/>
      <c r="I56" s="123" t="n"/>
      <c r="J56" s="128" t="n"/>
      <c r="K56" s="41" t="n"/>
      <c r="L56" s="40" t="n"/>
    </row>
    <row r="57">
      <c r="A57" s="35" t="n"/>
      <c r="B57" s="35" t="n"/>
      <c r="C57" s="359" t="n"/>
      <c r="D57" s="66" t="n"/>
      <c r="E57" s="66" t="n"/>
      <c r="F57" s="68" t="n"/>
      <c r="G57" s="68" t="n"/>
      <c r="H57" s="68" t="n"/>
      <c r="I57" s="69" t="n"/>
      <c r="J57" s="35" t="n"/>
    </row>
    <row r="58" ht="16" customHeight="1" s="314">
      <c r="A58" s="35" t="n"/>
    </row>
    <row r="59" ht="17" customHeight="1" s="314">
      <c r="A59" s="307" t="inlineStr">
        <is>
          <t>Rank by Units</t>
        </is>
      </c>
    </row>
    <row r="60" ht="30" customHeight="1" s="314">
      <c r="A60" s="46" t="inlineStr">
        <is>
          <t>Product Name</t>
        </is>
      </c>
      <c r="B60" s="47" t="inlineStr">
        <is>
          <t>ASIN</t>
        </is>
      </c>
      <c r="C60" s="47" t="inlineStr">
        <is>
          <t>Type</t>
        </is>
      </c>
      <c r="D60" s="345" t="inlineStr">
        <is>
          <t>Avg Price</t>
        </is>
      </c>
      <c r="E60" s="49" t="inlineStr">
        <is>
          <t>Estimated 12mo Revenue</t>
        </is>
      </c>
      <c r="F60" s="47" t="inlineStr">
        <is>
          <t>Monthly Rev</t>
        </is>
      </c>
      <c r="G60" s="51" t="inlineStr">
        <is>
          <t>Estimated 12mo Units</t>
        </is>
      </c>
      <c r="H60" s="54" t="inlineStr">
        <is>
          <t>Monthly Units</t>
        </is>
      </c>
      <c r="I60" s="51" t="inlineStr">
        <is>
          <t># of Reviews</t>
        </is>
      </c>
      <c r="J60" s="52" t="inlineStr">
        <is>
          <t xml:space="preserve">Tool Rating </t>
        </is>
      </c>
      <c r="K60" s="52" t="inlineStr">
        <is>
          <t>Column1</t>
        </is>
      </c>
      <c r="L60" s="346" t="inlineStr">
        <is>
          <t>Link</t>
        </is>
      </c>
    </row>
    <row r="61" ht="45" customHeight="1" s="314">
      <c r="A61" s="35" t="inlineStr">
        <is>
          <t>FOXWELL NT301 OBD2 Scanner Live Data Professional Mechanic OBDII Diagnostic Code Reader Tool for Check Engine Light</t>
        </is>
      </c>
      <c r="B61" s="35" t="inlineStr">
        <is>
          <t>B00UJV3E12</t>
        </is>
      </c>
      <c r="C61" s="35" t="inlineStr">
        <is>
          <t>Handheld</t>
        </is>
      </c>
      <c r="D61" s="359" t="n">
        <v>65.66388878793386</v>
      </c>
      <c r="E61" s="66" t="n">
        <v>5143363.48</v>
      </c>
      <c r="F61" s="66" t="n">
        <v>361348.38</v>
      </c>
      <c r="G61" s="68" t="n">
        <v>78442</v>
      </c>
      <c r="H61" s="70" t="n">
        <v>5503</v>
      </c>
      <c r="I61" s="68" t="n">
        <v>29739</v>
      </c>
      <c r="J61" s="69" t="n">
        <v>4.5</v>
      </c>
      <c r="K61" s="69" t="inlineStr">
        <is>
          <t>https://amazon.com/dp/B00UJV3E12</t>
        </is>
      </c>
      <c r="L61" s="114">
        <f>HYPERLINK(Table2821[[#This Row],[Column1]])</f>
        <v/>
      </c>
    </row>
    <row r="62" ht="60" customHeight="1" s="314">
      <c r="A62" s="35" t="inlineStr">
        <is>
          <t>FOXWELL Car Scanner NT604 Elite OBD2 Scanner ABS SRS Transmission, Check Engine Code Reader for Cars and Trucks, Diagnostic Scan Tool with SRS Airbag, Automotive Diagnostic Tool with Live Data</t>
        </is>
      </c>
      <c r="B62" s="35" t="inlineStr">
        <is>
          <t>B08PFJMTY3</t>
        </is>
      </c>
      <c r="C62" s="35" t="inlineStr">
        <is>
          <t>Tablet</t>
        </is>
      </c>
      <c r="D62" s="359" t="n">
        <v>151.7840725806452</v>
      </c>
      <c r="E62" s="66" t="n">
        <v>3376363.49</v>
      </c>
      <c r="F62" s="66" t="n">
        <v>414066.95</v>
      </c>
      <c r="G62" s="68" t="n">
        <v>21312</v>
      </c>
      <c r="H62" s="70" t="n">
        <v>2728</v>
      </c>
      <c r="I62" s="68" t="n">
        <v>4855</v>
      </c>
      <c r="J62" s="69" t="n">
        <v>4.4</v>
      </c>
      <c r="K62" s="69" t="inlineStr">
        <is>
          <t>https://amazon.com/dp/B08PFJMTY3</t>
        </is>
      </c>
      <c r="L62" s="114">
        <f>HYPERLINK(Table2821[[#This Row],[Column1]])</f>
        <v/>
      </c>
    </row>
    <row r="63" ht="45" customHeight="1" s="314">
      <c r="A63" s="35" t="inlineStr">
        <is>
          <t>FOXWELL NT301 Plus 2-in-1 OBD2 Scanner Car Battery Tester, Professional Code Reader Check Engine Diagnostic Tool, 12V Automotive Cranking Charging Analyzer for 1996+ Vehicle, Upgrade from NT301</t>
        </is>
      </c>
      <c r="B63" s="35" t="inlineStr">
        <is>
          <t>B08JGK8PPM</t>
        </is>
      </c>
      <c r="C63" s="35" t="inlineStr">
        <is>
          <t>Handheld</t>
        </is>
      </c>
      <c r="D63" s="359" t="n">
        <v>88.99382252559728</v>
      </c>
      <c r="E63" s="66" t="n">
        <v>1303004.95</v>
      </c>
      <c r="F63" s="66" t="n">
        <v>78225.57000000001</v>
      </c>
      <c r="G63" s="68" t="n">
        <v>13776</v>
      </c>
      <c r="H63" s="70" t="n">
        <v>879</v>
      </c>
      <c r="I63" s="68" t="n">
        <v>2623</v>
      </c>
      <c r="J63" s="69" t="n">
        <v>4.5</v>
      </c>
      <c r="K63" s="69" t="inlineStr">
        <is>
          <t>https://amazon.com/dp/B08JGK8PPM</t>
        </is>
      </c>
      <c r="L63" s="114">
        <f>HYPERLINK(Table2821[[#This Row],[Column1]])</f>
        <v/>
      </c>
    </row>
    <row r="64" ht="45" customHeight="1" s="314">
      <c r="A64" s="35" t="inlineStr">
        <is>
          <t>2026 FOXWELL NT614 Elite OBD2 Scanner with 5 Resets ABS Bleeding, SAS Calibration, Oil, EPB, Throttle, Upgrade of NT604 Code Reader Scan Tools, ABS SRS Engine Transmission Battery Test Car Scanner</t>
        </is>
      </c>
      <c r="B64" s="35" t="inlineStr">
        <is>
          <t>B08DCNDFVK</t>
        </is>
      </c>
      <c r="C64" s="35" t="inlineStr">
        <is>
          <t>Tablet</t>
        </is>
      </c>
      <c r="D64" s="359" t="n">
        <v>172.0034824667473</v>
      </c>
      <c r="E64" s="66" t="n">
        <v>1364440.86</v>
      </c>
      <c r="F64" s="66" t="n">
        <v>142246.88</v>
      </c>
      <c r="G64" s="68" t="n">
        <v>7671</v>
      </c>
      <c r="H64" s="70" t="n">
        <v>827</v>
      </c>
      <c r="I64" s="68" t="n">
        <v>714</v>
      </c>
      <c r="J64" s="69" t="n">
        <v>4.3</v>
      </c>
      <c r="K64" s="69" t="inlineStr">
        <is>
          <t>https://amazon.com/dp/B08DCNDFVK</t>
        </is>
      </c>
      <c r="L64" s="114">
        <f>HYPERLINK(Table2821[[#This Row],[Column1]])</f>
        <v/>
      </c>
    </row>
    <row r="65" ht="45" customHeight="1" s="314">
      <c r="A65" s="35" t="inlineStr">
        <is>
          <t>FOXWELL NT510 Elite Scan Tool fit for BMW Scanner Full Diagnostic Tool OBD2 Scanner, All System Bi-Directional Control Code Reader with All Reset Services, Battery Registration Tool fit for BMW Mini</t>
        </is>
      </c>
      <c r="B65" s="35" t="inlineStr">
        <is>
          <t>B019QCG5RE</t>
        </is>
      </c>
      <c r="C65" s="35" t="inlineStr">
        <is>
          <t>Handheld</t>
        </is>
      </c>
      <c r="D65" s="359" t="n">
        <v>177.8542630744849</v>
      </c>
      <c r="E65" s="66" t="n">
        <v>1336750.4</v>
      </c>
      <c r="F65" s="66" t="n">
        <v>112226.04</v>
      </c>
      <c r="G65" s="68" t="n">
        <v>7277</v>
      </c>
      <c r="H65" s="70" t="n">
        <v>631</v>
      </c>
      <c r="I65" s="68" t="n">
        <v>3143</v>
      </c>
      <c r="J65" s="69" t="n">
        <v>4.3</v>
      </c>
      <c r="K65" s="69" t="inlineStr">
        <is>
          <t>https://amazon.com/dp/B019QCG5RE</t>
        </is>
      </c>
      <c r="L65" s="114">
        <f>HYPERLINK(Table2821[[#This Row],[Column1]])</f>
        <v/>
      </c>
    </row>
    <row r="66" ht="45" customHeight="1" s="314">
      <c r="A66" s="35" t="inlineStr">
        <is>
          <t>FOXWELL NT201 OBD2 Scanner Code Reader for Cars and Trucks - Reset Check Engine Light, Read and Clear Fault Codes, Live Data Diagnostic Tool for All Cars Since 1996</t>
        </is>
      </c>
      <c r="B66" s="35" t="inlineStr">
        <is>
          <t>B01N6RKE29</t>
        </is>
      </c>
      <c r="C66" s="35" t="inlineStr">
        <is>
          <t>Handheld</t>
        </is>
      </c>
      <c r="D66" s="359" t="n">
        <v>42.64560240963855</v>
      </c>
      <c r="E66" s="66" t="n">
        <v>610138.87</v>
      </c>
      <c r="F66" s="66" t="n">
        <v>21237.51</v>
      </c>
      <c r="G66" s="68" t="n">
        <v>13702</v>
      </c>
      <c r="H66" s="70" t="n">
        <v>498</v>
      </c>
      <c r="I66" s="68" t="n">
        <v>9958</v>
      </c>
      <c r="J66" s="69" t="n">
        <v>4.5</v>
      </c>
      <c r="K66" s="69" t="inlineStr">
        <is>
          <t>https://amazon.com/dp/B01N6RKE29</t>
        </is>
      </c>
      <c r="L66" s="114">
        <f>HYPERLINK(Table2821[[#This Row],[Column1]])</f>
        <v/>
      </c>
    </row>
    <row r="67" ht="45" customHeight="1" s="314">
      <c r="A67" s="35" t="inlineStr">
        <is>
          <t>2026 FOXWELL NT630 Plus OBD2 Scanner with ABS and SRS, ABS Code Reader Auto Bleed Scan Tool Brake SRS Scanner, Car Scanner Diagnostic Tool Bidirectional Live Data with SAS Oil Check Engine Light Reset</t>
        </is>
      </c>
      <c r="B67" s="35" t="inlineStr">
        <is>
          <t>B07CSMJJK9</t>
        </is>
      </c>
      <c r="C67" s="35" t="inlineStr">
        <is>
          <t>Handheld</t>
        </is>
      </c>
      <c r="D67" s="359" t="n">
        <v>147.1595465393795</v>
      </c>
      <c r="E67" s="66" t="n">
        <v>668336.6800000001</v>
      </c>
      <c r="F67" s="66" t="n">
        <v>61659.85</v>
      </c>
      <c r="G67" s="68" t="n">
        <v>4967</v>
      </c>
      <c r="H67" s="70" t="n">
        <v>419</v>
      </c>
      <c r="I67" s="68" t="n">
        <v>3950</v>
      </c>
      <c r="J67" s="69" t="n">
        <v>4.2</v>
      </c>
      <c r="K67" s="69" t="inlineStr">
        <is>
          <t>https://amazon.com/dp/B07CSMJJK9</t>
        </is>
      </c>
      <c r="L67" s="114">
        <f>HYPERLINK(Table2821[[#This Row],[Column1]])</f>
        <v/>
      </c>
    </row>
    <row r="68" ht="45" customHeight="1" s="314">
      <c r="A68" s="35" t="inlineStr">
        <is>
          <t>2026 FOXWELL NT624 Elite OBD2 Scanner Upgraded from NT614Elite &amp; NT604Elite Code Reader, All-System OBD2 Scan Tool, 8 Advanced Reset Functions, AutoVIN, Live Data, Lifetime WiFi Free Updates</t>
        </is>
      </c>
      <c r="B68" s="35" t="inlineStr">
        <is>
          <t>B07X9JQSGZ</t>
        </is>
      </c>
      <c r="C68" s="35" t="inlineStr">
        <is>
          <t>Tablet</t>
        </is>
      </c>
      <c r="D68" s="359" t="n">
        <v>257.5856466876971</v>
      </c>
      <c r="E68" s="66" t="n">
        <v>927387.97</v>
      </c>
      <c r="F68" s="66" t="n">
        <v>81654.64999999999</v>
      </c>
      <c r="G68" s="68" t="n">
        <v>3628</v>
      </c>
      <c r="H68" s="70" t="n">
        <v>317</v>
      </c>
      <c r="I68" s="68" t="n">
        <v>2332</v>
      </c>
      <c r="J68" s="69" t="n">
        <v>4.2</v>
      </c>
      <c r="K68" s="69" t="inlineStr">
        <is>
          <t>https://amazon.com/dp/B07X9JQSGZ</t>
        </is>
      </c>
      <c r="L68" s="114">
        <f>HYPERLINK(Table2821[[#This Row],[Column1]])</f>
        <v/>
      </c>
    </row>
    <row r="69" ht="45" customHeight="1" s="314">
      <c r="A69" s="35" t="inlineStr">
        <is>
          <t>2026 FOXWELL NT604 OBD2 Scanner, Engine/ABS/SRS/Transmission Comprehensive Car Diagnostic Tool, Code Reader for Cars and Trucks, Precise Scan Tool for All Vehicles, EN/ES, Lifetime Free Upd.,Live Data</t>
        </is>
      </c>
      <c r="B69" s="35" t="inlineStr">
        <is>
          <t>B096Y2B8LP</t>
        </is>
      </c>
      <c r="C69" s="35" t="inlineStr">
        <is>
          <t>Tablet</t>
        </is>
      </c>
      <c r="D69" s="359" t="n">
        <v>157.5356401384083</v>
      </c>
      <c r="E69" s="66" t="n">
        <v>584430.23</v>
      </c>
      <c r="F69" s="66" t="n">
        <v>45527.8</v>
      </c>
      <c r="G69" s="68" t="n">
        <v>3640</v>
      </c>
      <c r="H69" s="70" t="n">
        <v>289</v>
      </c>
      <c r="I69" s="68" t="n">
        <v>532</v>
      </c>
      <c r="J69" s="69" t="n">
        <v>4.4</v>
      </c>
      <c r="K69" s="69" t="inlineStr">
        <is>
          <t>https://amazon.com/dp/B096Y2B8LP</t>
        </is>
      </c>
      <c r="L69" s="114">
        <f>HYPERLINK(Table2821[[#This Row],[Column1]])</f>
        <v/>
      </c>
    </row>
    <row r="70" ht="60" customHeight="1" s="314">
      <c r="A70" s="35" t="inlineStr">
        <is>
          <t>2026 FOXWELL NT716 Bidirectional OBD2 Scanner, 4-System Diagnostic Tool for ABS, SRS, Transmission &amp; Engine, 9 Reset, ABS Bleeding, AutoVIN, Live Data, Upgraded from NT6X4, Lifetime Free Updates,Black</t>
        </is>
      </c>
      <c r="B70" s="35" t="inlineStr">
        <is>
          <t>B015COS1EK</t>
        </is>
      </c>
      <c r="C70" s="35" t="inlineStr">
        <is>
          <t>Tablet</t>
        </is>
      </c>
      <c r="D70" s="359" t="n">
        <v>281.5308878504673</v>
      </c>
      <c r="E70" s="66" t="n">
        <v>621237.66</v>
      </c>
      <c r="F70" s="66" t="n">
        <v>60247.61</v>
      </c>
      <c r="G70" s="68" t="n">
        <v>2215</v>
      </c>
      <c r="H70" s="70" t="n">
        <v>214</v>
      </c>
      <c r="I70" s="68" t="n">
        <v>244</v>
      </c>
      <c r="J70" s="69" t="n">
        <v>4.4</v>
      </c>
      <c r="K70" s="69" t="inlineStr">
        <is>
          <t>https://amazon.com/dp/B015COS1EK</t>
        </is>
      </c>
      <c r="L70" s="114">
        <f>HYPERLINK(Table2821[[#This Row],[Column1]])</f>
        <v/>
      </c>
    </row>
    <row r="71" ht="45" customHeight="1" s="314">
      <c r="A71" s="35" t="inlineStr">
        <is>
          <t>FOXWELL NT510 Pro fit for BMW OBD2 Scanner with 12V Battery Tester, Full System Diagnostic Bi-Directional Control Scanner, All Reset Services with Battery Registration Scan Tool fit for BMW/Mini/RR</t>
        </is>
      </c>
      <c r="B71" s="35" t="inlineStr">
        <is>
          <t>B0FRD79DJT</t>
        </is>
      </c>
      <c r="C71" s="35" t="inlineStr">
        <is>
          <t>Handheld</t>
        </is>
      </c>
      <c r="D71" s="359" t="n">
        <v>223.6885858585858</v>
      </c>
      <c r="E71" s="66" t="n">
        <v>499039.2446153847</v>
      </c>
      <c r="F71" s="66" t="n">
        <v>44290.34</v>
      </c>
      <c r="G71" s="68" t="n">
        <v>1143</v>
      </c>
      <c r="H71" s="70" t="n">
        <v>198</v>
      </c>
      <c r="I71" s="68" t="n">
        <v>52</v>
      </c>
      <c r="J71" s="69" t="n">
        <v>4.3</v>
      </c>
      <c r="K71" s="69" t="inlineStr">
        <is>
          <t>https://amazon.com/dp/B0FRD79DJT</t>
        </is>
      </c>
      <c r="L71" s="114">
        <f>HYPERLINK(Table2821[[#This Row],[Column1]])</f>
        <v/>
      </c>
    </row>
    <row r="72" ht="45" customHeight="1" s="314">
      <c r="A72" s="35" t="inlineStr">
        <is>
          <t>2026 FOXWELL NT726 OBD2 Scanner Diagnostic Tool, All System Bidirectional Scan Tool with TOP 12 Resets, Precise Car Diagnostic Scanner for All Vehicles, CAN-FD, FCA Autoauth, Lifetime Update, AutoVIN</t>
        </is>
      </c>
      <c r="B72" s="35" t="inlineStr">
        <is>
          <t>B0F3XRK4P9</t>
        </is>
      </c>
      <c r="C72" s="35" t="inlineStr">
        <is>
          <t>Tablet</t>
        </is>
      </c>
      <c r="D72" s="359" t="n">
        <v>347.2091764705882</v>
      </c>
      <c r="E72" s="66" t="n">
        <v>683590.4446153846</v>
      </c>
      <c r="F72" s="66" t="n">
        <v>59025.56</v>
      </c>
      <c r="G72" s="68" t="n">
        <v>1630</v>
      </c>
      <c r="H72" s="70" t="n">
        <v>170</v>
      </c>
      <c r="I72" s="68" t="n">
        <v>244</v>
      </c>
      <c r="J72" s="69" t="n">
        <v>4.4</v>
      </c>
      <c r="K72" s="69" t="inlineStr">
        <is>
          <t>https://amazon.com/dp/B0F3XRK4P9</t>
        </is>
      </c>
      <c r="L72" s="114">
        <f>HYPERLINK(Table2821[[#This Row],[Column1]])</f>
        <v/>
      </c>
    </row>
    <row r="73" ht="45" customHeight="1" s="314">
      <c r="A73" s="35" t="inlineStr">
        <is>
          <t>FOXWELL Heavy Duty Truck Scanner - HD500 Diesel Scaner Diagnostic Tool with DPF Regeneration/Injector Cutoff, fit for Cummins, Detroit, Caterpillar, Paccar, Hino, Lifetime Free Update, Orange</t>
        </is>
      </c>
      <c r="B73" s="35" t="inlineStr">
        <is>
          <t>B01FDKGEOC</t>
        </is>
      </c>
      <c r="C73" s="35" t="inlineStr">
        <is>
          <t>Tablet</t>
        </is>
      </c>
      <c r="D73" s="359" t="n">
        <v>573.2038410596026</v>
      </c>
      <c r="E73" s="66" t="n">
        <v>530364.4038461539</v>
      </c>
      <c r="F73" s="66" t="n">
        <v>86553.78</v>
      </c>
      <c r="G73" s="68" t="n">
        <v>649</v>
      </c>
      <c r="H73" s="70" t="n">
        <v>151</v>
      </c>
      <c r="I73" s="68" t="n">
        <v>381</v>
      </c>
      <c r="J73" s="69" t="n">
        <v>4</v>
      </c>
      <c r="K73" s="69" t="inlineStr">
        <is>
          <t>https://amazon.com/dp/B01FDKGEOC</t>
        </is>
      </c>
      <c r="L73" s="114">
        <f>HYPERLINK(Table2821[[#This Row],[Column1]])</f>
        <v/>
      </c>
    </row>
    <row r="74" ht="45" customHeight="1" s="314">
      <c r="A74" s="35" t="inlineStr">
        <is>
          <t>FOXWELL NT510 Elite fit for Honda Acura OBD2 Scanner, Bidirectional Full System Engine ABS TCM SRS Diagnostic Scan Tool, All Reset Crankshaft Relearn Oil EPB TPS ABS Bleeding, Code Reader, Free Update</t>
        </is>
      </c>
      <c r="B74" s="35" t="inlineStr">
        <is>
          <t>B08B5RMFBG</t>
        </is>
      </c>
      <c r="C74" s="35" t="inlineStr">
        <is>
          <t>Handheld</t>
        </is>
      </c>
      <c r="D74" s="359" t="n">
        <v>189.7951006711409</v>
      </c>
      <c r="E74" s="66" t="n">
        <v>447923.07</v>
      </c>
      <c r="F74" s="66" t="n">
        <v>28279.47</v>
      </c>
      <c r="G74" s="68" t="n">
        <v>2351</v>
      </c>
      <c r="H74" s="70" t="n">
        <v>149</v>
      </c>
      <c r="I74" s="68" t="n">
        <v>466</v>
      </c>
      <c r="J74" s="69" t="n">
        <v>4.2</v>
      </c>
      <c r="K74" s="69" t="inlineStr">
        <is>
          <t>https://amazon.com/dp/B08B5RMFBG</t>
        </is>
      </c>
      <c r="L74" s="114">
        <f>HYPERLINK(Table2821[[#This Row],[Column1]])</f>
        <v/>
      </c>
    </row>
    <row r="75" ht="45" customHeight="1" s="314">
      <c r="A75" s="35" t="inlineStr">
        <is>
          <t>FOXWELL NT510 Elite fit for GM OBD2 Scanner, Bi-Directional All System Engine ABS SRS Diagnostic Scan Tool Code Reader for Chevrolet Cadillac GMC, All Reset Oil EPB TPS ABS Bleeding Crankshaft Relearn</t>
        </is>
      </c>
      <c r="B75" s="35" t="inlineStr">
        <is>
          <t>B014CT4M3K</t>
        </is>
      </c>
      <c r="C75" s="35" t="inlineStr">
        <is>
          <t>Handheld</t>
        </is>
      </c>
      <c r="D75" s="359" t="n">
        <v>185.2161832061069</v>
      </c>
      <c r="E75" s="66" t="n">
        <v>310692.4399999999</v>
      </c>
      <c r="F75" s="66" t="n">
        <v>24263.32</v>
      </c>
      <c r="G75" s="68" t="n">
        <v>1648</v>
      </c>
      <c r="H75" s="70" t="n">
        <v>131</v>
      </c>
      <c r="I75" s="68" t="n">
        <v>567</v>
      </c>
      <c r="J75" s="69" t="n">
        <v>4.1</v>
      </c>
      <c r="K75" s="69" t="inlineStr">
        <is>
          <t>https://amazon.com/dp/B014CT4M3K</t>
        </is>
      </c>
      <c r="L75" s="114">
        <f>HYPERLINK(Table2821[[#This Row],[Column1]])</f>
        <v/>
      </c>
    </row>
    <row r="76" ht="45" customHeight="1" s="314">
      <c r="A76" s="35" t="inlineStr">
        <is>
          <t>FOXWELL NT614 Elite OBD2 Scanner 4 System Code Reader Scan Engine ABS SRS Transmission, 5 Resets Oil/EPB/ABS Bleeding/SAS/Throttle Live Data, Auto VIN, WiFi Updates Car Diagnostic Tool for DIY &amp; Pros</t>
        </is>
      </c>
      <c r="B76" s="35" t="inlineStr">
        <is>
          <t>B085TG89H4</t>
        </is>
      </c>
      <c r="C76" s="35" t="inlineStr">
        <is>
          <t>Tablet</t>
        </is>
      </c>
      <c r="D76" s="359" t="n">
        <v>176.7968253968254</v>
      </c>
      <c r="E76" s="66" t="n">
        <v>408250.9600000001</v>
      </c>
      <c r="F76" s="66" t="n">
        <v>22276.4</v>
      </c>
      <c r="G76" s="68" t="n">
        <v>2233</v>
      </c>
      <c r="H76" s="70" t="n">
        <v>126</v>
      </c>
      <c r="I76" s="68" t="n">
        <v>1226</v>
      </c>
      <c r="J76" s="69" t="n">
        <v>4.3</v>
      </c>
      <c r="K76" s="69" t="inlineStr">
        <is>
          <t>https://amazon.com/dp/B085TG89H4</t>
        </is>
      </c>
      <c r="L76" s="114">
        <f>HYPERLINK(Table2821[[#This Row],[Column1]])</f>
        <v/>
      </c>
    </row>
    <row r="77" ht="45" customHeight="1" s="314">
      <c r="A77" s="35" t="inlineStr">
        <is>
          <t>FOXWELL NT710 Scan Tool fit for BMW, Full-System Diagnostic Tool with Bi-Directional Control, All Reset Services, Battery Registration &amp; ECU Coding fit for BMW/Mini/RR, Lifetime Free Update</t>
        </is>
      </c>
      <c r="B77" s="35" t="inlineStr">
        <is>
          <t>B0BG6SRKWK</t>
        </is>
      </c>
      <c r="C77" s="35" t="inlineStr">
        <is>
          <t>Tablet</t>
        </is>
      </c>
      <c r="D77" s="359" t="n">
        <v>329.6839024390244</v>
      </c>
      <c r="E77" s="66" t="n">
        <v>390487.8</v>
      </c>
      <c r="F77" s="66" t="n">
        <v>40551.12</v>
      </c>
      <c r="G77" s="68" t="n">
        <v>1226</v>
      </c>
      <c r="H77" s="70" t="n">
        <v>123</v>
      </c>
      <c r="I77" s="68" t="n">
        <v>244</v>
      </c>
      <c r="J77" s="69" t="n">
        <v>3.9</v>
      </c>
      <c r="K77" s="69" t="inlineStr">
        <is>
          <t>https://amazon.com/dp/B0BG6SRKWK</t>
        </is>
      </c>
      <c r="L77" s="114">
        <f>HYPERLINK(Table2821[[#This Row],[Column1]])</f>
        <v/>
      </c>
    </row>
    <row r="78" ht="45" customHeight="1" s="314">
      <c r="A78" s="35" t="inlineStr">
        <is>
          <t>2026 FOXWELL Scanner NT809BT OBD2 Scanner Diagnostic Tool with 30+Resets, All System Bidirectional Scan Tool for All Vehicles, CAN-FD, FCA Autoauth, 3-Yr Free Update, AutoVIN, Wireless 65-Foot, Black</t>
        </is>
      </c>
      <c r="B78" s="35" t="inlineStr">
        <is>
          <t>B0D2D5MMP5</t>
        </is>
      </c>
      <c r="C78" s="35" t="inlineStr">
        <is>
          <t>Tablet</t>
        </is>
      </c>
      <c r="D78" s="359" t="n">
        <v>462.7160784313726</v>
      </c>
      <c r="E78" s="66" t="n">
        <v>347417.2884615385</v>
      </c>
      <c r="F78" s="66" t="n">
        <v>47197.04</v>
      </c>
      <c r="G78" s="68" t="n">
        <v>655</v>
      </c>
      <c r="H78" s="70" t="n">
        <v>102</v>
      </c>
      <c r="I78" s="68" t="n">
        <v>260</v>
      </c>
      <c r="J78" s="69" t="n">
        <v>4.2</v>
      </c>
      <c r="K78" s="69" t="inlineStr">
        <is>
          <t>https://amazon.com/dp/B0D2D5MMP5</t>
        </is>
      </c>
      <c r="L78" s="114">
        <f>HYPERLINK(Table2821[[#This Row],[Column1]])</f>
        <v/>
      </c>
    </row>
    <row r="79" ht="45" customHeight="1" s="314">
      <c r="A79" s="35" t="inlineStr">
        <is>
          <t>FOXWELL NT510 Elite OBD2 Scanner fit for Porsche Diagnostic Tool, Full System Bi-Directional Control Code Reader with All Reset Services, Oil Reset Scan Tool for Porsche, Battery Registration Tool</t>
        </is>
      </c>
      <c r="B79" s="35" t="inlineStr">
        <is>
          <t>B07Z5JS7B9</t>
        </is>
      </c>
      <c r="C79" s="35" t="inlineStr">
        <is>
          <t>Handheld</t>
        </is>
      </c>
      <c r="D79" s="359" t="n">
        <v>200.9270526315789</v>
      </c>
      <c r="E79" s="66" t="n">
        <v>213861.4</v>
      </c>
      <c r="F79" s="66" t="n">
        <v>19088.07</v>
      </c>
      <c r="G79" s="68" t="n">
        <v>1118</v>
      </c>
      <c r="H79" s="70" t="n">
        <v>95</v>
      </c>
      <c r="I79" s="68" t="n">
        <v>324</v>
      </c>
      <c r="J79" s="69" t="n">
        <v>3.9</v>
      </c>
      <c r="K79" s="69" t="inlineStr">
        <is>
          <t>https://amazon.com/dp/B07Z5JS7B9</t>
        </is>
      </c>
      <c r="L79" s="114">
        <f>HYPERLINK(Table2821[[#This Row],[Column1]])</f>
        <v/>
      </c>
    </row>
    <row r="80" ht="45" customHeight="1" s="314">
      <c r="A80" s="35" t="inlineStr">
        <is>
          <t>2025 FOXWELL NT716 OBD2 Scanner Bidirectional Control 9+ Resets Scan Tool ABS SRS Transmission Engine Diagnostic Code Reader WiFi Update Injector Coding/D-P-F/BMS/ABS Bleed/Oil/EPB/TPMS/SAS/Throttle</t>
        </is>
      </c>
      <c r="B80" s="35" t="inlineStr">
        <is>
          <t>B09BJK6K4S</t>
        </is>
      </c>
      <c r="C80" s="35" t="inlineStr">
        <is>
          <t>Tablet</t>
        </is>
      </c>
      <c r="D80" s="359" t="n">
        <v>267.1559756097561</v>
      </c>
      <c r="E80" s="66" t="n">
        <v>144918.0723076923</v>
      </c>
      <c r="F80" s="66" t="n">
        <v>21906.79</v>
      </c>
      <c r="G80" s="68" t="n">
        <v>435</v>
      </c>
      <c r="H80" s="70" t="n">
        <v>82</v>
      </c>
      <c r="I80" s="68" t="n">
        <v>381</v>
      </c>
      <c r="J80" s="69" t="n">
        <v>4</v>
      </c>
      <c r="K80" s="69" t="inlineStr">
        <is>
          <t>https://amazon.com/dp/B09BJK6K4S</t>
        </is>
      </c>
      <c r="L80" s="114">
        <f>HYPERLINK(Table2821[[#This Row],[Column1]])</f>
        <v/>
      </c>
    </row>
    <row r="81" ht="45" customHeight="1" s="314">
      <c r="A81" s="35" t="inlineStr">
        <is>
          <t>FOXWELL OBD2 OBD II 16Pin Male to Female Diagnostic Extension Convert Cable Adapter 1m/ 39inch</t>
        </is>
      </c>
      <c r="B81" s="35" t="inlineStr">
        <is>
          <t>B09JSCN1LX</t>
        </is>
      </c>
      <c r="C81" s="35" t="inlineStr">
        <is>
          <t>Cable/Adapter</t>
        </is>
      </c>
      <c r="D81" s="359" t="n">
        <v>13.03621951219512</v>
      </c>
      <c r="E81" s="66" t="n">
        <v>11227.45</v>
      </c>
      <c r="F81" s="66" t="n">
        <v>1068.97</v>
      </c>
      <c r="G81" s="68" t="n">
        <v>863</v>
      </c>
      <c r="H81" s="70" t="n">
        <v>82</v>
      </c>
      <c r="I81" s="68" t="n">
        <v>312</v>
      </c>
      <c r="J81" s="69" t="n">
        <v>4.6</v>
      </c>
      <c r="K81" s="69" t="inlineStr">
        <is>
          <t>https://amazon.com/dp/B09JSCN1LX</t>
        </is>
      </c>
      <c r="L81" s="114">
        <f>HYPERLINK(Table2821[[#This Row],[Column1]])</f>
        <v/>
      </c>
    </row>
    <row r="82" ht="30" customHeight="1" s="314">
      <c r="A82" s="35" t="inlineStr">
        <is>
          <t>FOXWELL NT710 fit for Mercedes-Benz OBD2 Scanner, Full System Diagnostic Scan Tool, Bidirectional Control, All Free Resets Air Suspension/ABS Bleeding/Oil/SRS/EPB, Code Reader, Auto VIN, WiFi Update</t>
        </is>
      </c>
      <c r="B82" s="35" t="inlineStr">
        <is>
          <t>B0CHYGP6YB</t>
        </is>
      </c>
      <c r="C82" s="35" t="inlineStr">
        <is>
          <t>Tablet</t>
        </is>
      </c>
      <c r="D82" s="359" t="n">
        <v>327.3185483870968</v>
      </c>
      <c r="E82" s="66" t="n">
        <v>227181.43</v>
      </c>
      <c r="F82" s="66" t="n">
        <v>20293.75</v>
      </c>
      <c r="G82" s="68" t="n">
        <v>706</v>
      </c>
      <c r="H82" s="70" t="n">
        <v>62</v>
      </c>
      <c r="I82" s="68" t="n">
        <v>116</v>
      </c>
      <c r="J82" s="69" t="n">
        <v>3.9</v>
      </c>
      <c r="K82" s="69" t="inlineStr">
        <is>
          <t>https://amazon.com/dp/B0CHYGP6YB</t>
        </is>
      </c>
      <c r="L82" s="114">
        <f>HYPERLINK(Table2821[[#This Row],[Column1]])</f>
        <v/>
      </c>
    </row>
    <row r="83" ht="45" customHeight="1" s="314">
      <c r="A83" s="35" t="inlineStr">
        <is>
          <t>FOXWELL NT510 Pro fit for Porsche OBD2 Scanner with 12V Battery Tester, Full System Diagnostic Bidirectional Control Scanner with All Resets, 12V Battery Health Analyzer with Cranking &amp; Charging Test</t>
        </is>
      </c>
      <c r="B83" s="35" t="inlineStr">
        <is>
          <t>B0FRGB9RXV</t>
        </is>
      </c>
      <c r="C83" s="35" t="inlineStr">
        <is>
          <t>Handheld</t>
        </is>
      </c>
      <c r="D83" s="359" t="n">
        <v>237.754262295082</v>
      </c>
      <c r="E83" s="66" t="n">
        <v>185787.803076923</v>
      </c>
      <c r="F83" s="66" t="n">
        <v>14503.01</v>
      </c>
      <c r="G83" s="68" t="n">
        <v>443</v>
      </c>
      <c r="H83" s="70" t="n">
        <v>61</v>
      </c>
      <c r="I83" s="68" t="n">
        <v>36</v>
      </c>
      <c r="J83" s="69" t="n">
        <v>4.9</v>
      </c>
      <c r="K83" s="69" t="inlineStr">
        <is>
          <t>https://amazon.com/dp/B0FRGB9RXV</t>
        </is>
      </c>
      <c r="L83" s="114">
        <f>HYPERLINK(Table2821[[#This Row],[Column1]])</f>
        <v/>
      </c>
    </row>
    <row r="84" ht="45" customHeight="1" s="314">
      <c r="A84" s="35" t="inlineStr">
        <is>
          <t>FOXWELL NT301 CASE OBD2 Scanner Professional Enhanced OBDII Diagnostic Box</t>
        </is>
      </c>
      <c r="B84" s="35" t="inlineStr">
        <is>
          <t>B07G3V17VH</t>
        </is>
      </c>
      <c r="C84" s="35" t="inlineStr">
        <is>
          <t>Other</t>
        </is>
      </c>
      <c r="D84" s="359" t="n">
        <v>19.86545454545454</v>
      </c>
      <c r="E84" s="66" t="n">
        <v>24335.586</v>
      </c>
      <c r="F84" s="66" t="n">
        <v>1092.6</v>
      </c>
      <c r="G84" s="68" t="n">
        <v>1218</v>
      </c>
      <c r="H84" s="70" t="n">
        <v>55</v>
      </c>
      <c r="I84" s="68" t="n">
        <v>3219</v>
      </c>
      <c r="J84" s="69" t="n">
        <v>4.6</v>
      </c>
      <c r="K84" s="69" t="inlineStr">
        <is>
          <t>https://amazon.com/dp/B07G3V17VH</t>
        </is>
      </c>
      <c r="L84" s="114">
        <f>HYPERLINK(Table2821[[#This Row],[Column1]])</f>
        <v/>
      </c>
    </row>
    <row r="85" ht="60" customHeight="1" s="314">
      <c r="A85" s="35" t="inlineStr">
        <is>
          <t>2026 FOXWELL NT630 Plus OBD2 Scanner with ABS and SRS, ABS Auto Bleed Scan Tool, Brake Code Reader with Live Data, Bidirectional Control &amp; SAS Oil EPB Reset Diagnostic Tool</t>
        </is>
      </c>
      <c r="B85" s="35" t="inlineStr">
        <is>
          <t>B08GXDMC7N</t>
        </is>
      </c>
      <c r="C85" s="35" t="inlineStr">
        <is>
          <t>Handheld</t>
        </is>
      </c>
      <c r="D85" s="359" t="n">
        <v>149.504</v>
      </c>
      <c r="E85" s="66" t="n">
        <v>189993.25</v>
      </c>
      <c r="F85" s="66" t="n">
        <v>7475.2</v>
      </c>
      <c r="G85" s="68" t="n">
        <v>1283</v>
      </c>
      <c r="H85" s="70" t="n">
        <v>50</v>
      </c>
      <c r="I85" s="68" t="n">
        <v>507</v>
      </c>
      <c r="J85" s="69" t="n">
        <v>4.1</v>
      </c>
      <c r="K85" s="69" t="inlineStr">
        <is>
          <t>https://amazon.com/dp/B08GXDMC7N</t>
        </is>
      </c>
      <c r="L85" s="114">
        <f>HYPERLINK(Table2821[[#This Row],[Column1]])</f>
        <v/>
      </c>
    </row>
    <row r="86" ht="45" customHeight="1" s="314">
      <c r="A86" s="35" t="inlineStr">
        <is>
          <t>2026 FOXWELL NT716 Bidirectional OBD2 Scanner – ABS, Airbag, Transmission, Engine Scanner with 9 Service Resets Including ABS Bleeding Oil Light, EPB, BMS, DPF, Lifetime Free Updates, Orange</t>
        </is>
      </c>
      <c r="B86" s="35" t="inlineStr">
        <is>
          <t>B0F4N3WQ38</t>
        </is>
      </c>
      <c r="C86" s="35" t="inlineStr">
        <is>
          <t>Tablet</t>
        </is>
      </c>
      <c r="D86" s="359" t="n">
        <v>301.7739583333333</v>
      </c>
      <c r="E86" s="66" t="n">
        <v>103530.9076923077</v>
      </c>
      <c r="F86" s="66" t="n">
        <v>14485.15</v>
      </c>
      <c r="G86" s="68" t="n">
        <v>308</v>
      </c>
      <c r="H86" s="70" t="n">
        <v>48</v>
      </c>
      <c r="I86" s="68" t="n">
        <v>244</v>
      </c>
      <c r="J86" s="69" t="n">
        <v>4.4</v>
      </c>
      <c r="K86" s="69" t="inlineStr">
        <is>
          <t>https://amazon.com/dp/B0F4N3WQ38</t>
        </is>
      </c>
      <c r="L86" s="114">
        <f>HYPERLINK(Table2821[[#This Row],[Column1]])</f>
        <v/>
      </c>
    </row>
    <row r="87" ht="45" customHeight="1" s="314">
      <c r="A87" s="35" t="inlineStr">
        <is>
          <t>2026 2-in-1 FOXWELL NT630 Pro ABS SRS Scan Tool &amp; Battery Tester, Upgraded from NT630 Plus, OBD2 Scanner with 12V Battery Load Analyzer(100-3000CCA), ABS Bleed, BMS/Oil/SAS/EPB Reset, Live Data</t>
        </is>
      </c>
      <c r="B87" s="35" t="inlineStr">
        <is>
          <t>B0DDQ6MX9M</t>
        </is>
      </c>
      <c r="C87" s="35" t="inlineStr">
        <is>
          <t>Handheld</t>
        </is>
      </c>
      <c r="D87" s="359" t="n">
        <v>191.0895348837209</v>
      </c>
      <c r="E87" s="66" t="n">
        <v>345698.14</v>
      </c>
      <c r="F87" s="66" t="n">
        <v>8216.85</v>
      </c>
      <c r="G87" s="68" t="n">
        <v>1799</v>
      </c>
      <c r="H87" s="70" t="n">
        <v>43</v>
      </c>
      <c r="I87" s="68" t="n">
        <v>134</v>
      </c>
      <c r="J87" s="69" t="n">
        <v>4.4</v>
      </c>
      <c r="K87" s="69" t="inlineStr">
        <is>
          <t>https://amazon.com/dp/B0DDQ6MX9M</t>
        </is>
      </c>
      <c r="L87" s="114">
        <f>HYPERLINK(Table2821[[#This Row],[Column1]])</f>
        <v/>
      </c>
    </row>
    <row r="88" ht="45" customHeight="1" s="314">
      <c r="A88" s="35" t="inlineStr">
        <is>
          <t>FOXWELL NT510 Elite Bi-Directional Scan Tool Fit for Mercedes-Benz Sprinter Smart Maybach, Full System Diagnostic Scan Tool OBD2 Scanner, Full Reset Services ABS SRS EPB, Auto Vin, Free Update</t>
        </is>
      </c>
      <c r="B88" s="35" t="inlineStr">
        <is>
          <t>B07XL3HK8W</t>
        </is>
      </c>
      <c r="C88" s="35" t="inlineStr">
        <is>
          <t>Handheld</t>
        </is>
      </c>
      <c r="D88" s="359" t="n">
        <v>200.2238095238095</v>
      </c>
      <c r="E88" s="66" t="n">
        <v>109339.9530769231</v>
      </c>
      <c r="F88" s="66" t="n">
        <v>8409.4</v>
      </c>
      <c r="G88" s="68" t="n">
        <v>508</v>
      </c>
      <c r="H88" s="70" t="n">
        <v>42</v>
      </c>
      <c r="I88" s="68" t="n">
        <v>530</v>
      </c>
      <c r="J88" s="69" t="n">
        <v>4.2</v>
      </c>
      <c r="K88" s="69" t="inlineStr">
        <is>
          <t>https://amazon.com/dp/B07XL3HK8W</t>
        </is>
      </c>
      <c r="L88" s="114">
        <f>HYPERLINK(Table2821[[#This Row],[Column1]])</f>
        <v/>
      </c>
    </row>
    <row r="89" ht="30" customHeight="1" s="314">
      <c r="A89" s="35" t="inlineStr">
        <is>
          <t>FOXWELL HD500 Heavy Duty Truck Scanner - Diesel Scanner with DPF Regen/Injector Cutoff/Limit Setting, Full System Diesel Diagnostic Scan Tool for Cummins, Detroit, Caterpillar, Paccar &amp; Pickup Trucks</t>
        </is>
      </c>
      <c r="B89" s="35" t="inlineStr">
        <is>
          <t>B0D7M4Q46L</t>
        </is>
      </c>
      <c r="C89" s="35" t="inlineStr">
        <is>
          <t>Tablet</t>
        </is>
      </c>
      <c r="D89" s="359" t="n">
        <v>573.8515</v>
      </c>
      <c r="E89" s="66" t="n">
        <v>855790.23</v>
      </c>
      <c r="F89" s="66" t="n">
        <v>22954.06</v>
      </c>
      <c r="G89" s="68" t="n">
        <v>1509</v>
      </c>
      <c r="H89" s="70" t="n">
        <v>40</v>
      </c>
      <c r="I89" s="68" t="n">
        <v>381</v>
      </c>
      <c r="J89" s="69" t="n">
        <v>4</v>
      </c>
      <c r="K89" s="69" t="inlineStr">
        <is>
          <t>https://amazon.com/dp/B0D7M4Q46L</t>
        </is>
      </c>
      <c r="L89" s="114">
        <f>HYPERLINK(Table2821[[#This Row],[Column1]])</f>
        <v/>
      </c>
    </row>
    <row r="90" ht="30" customHeight="1" s="314">
      <c r="A90" s="35" t="inlineStr">
        <is>
          <t>FOXWELL OBD2 Female to 20pin Extension Convert Adapter OBD1 to OBDII Cable -16pin to 20pin Cable (11 Inch)</t>
        </is>
      </c>
      <c r="B90" s="35" t="inlineStr">
        <is>
          <t>B00UC11M4A</t>
        </is>
      </c>
      <c r="C90" s="35" t="inlineStr">
        <is>
          <t>Cable/Adapter</t>
        </is>
      </c>
      <c r="D90" s="359" t="n">
        <v>12.95974358974359</v>
      </c>
      <c r="E90" s="66" t="n">
        <v>8964.459999999999</v>
      </c>
      <c r="F90" s="66" t="n">
        <v>505.43</v>
      </c>
      <c r="G90" s="68" t="n">
        <v>692</v>
      </c>
      <c r="H90" s="70" t="n">
        <v>39</v>
      </c>
      <c r="I90" s="68" t="n">
        <v>228</v>
      </c>
      <c r="J90" s="69" t="n">
        <v>4.5</v>
      </c>
      <c r="K90" s="69" t="inlineStr">
        <is>
          <t>https://amazon.com/dp/B00UC11M4A</t>
        </is>
      </c>
      <c r="L90" s="114">
        <f>HYPERLINK(Table2821[[#This Row],[Column1]])</f>
        <v/>
      </c>
    </row>
    <row r="91" ht="45" customHeight="1" s="314">
      <c r="A91" s="35" t="inlineStr">
        <is>
          <t>FOXWELL NT710 Fit for GM Diagnostic Scan Tool, Bi-Directional All System OBD2 Scanner for Chevrolet Buick GMC Cadillac, All Resets Code Reader Oil EPB SAS TPMS ABS Bleeding Throttle Crankshaft Relearn</t>
        </is>
      </c>
      <c r="B91" s="35" t="inlineStr">
        <is>
          <t>B0CDGH4WFH</t>
        </is>
      </c>
      <c r="C91" s="35" t="inlineStr">
        <is>
          <t>Tablet</t>
        </is>
      </c>
      <c r="D91" s="359" t="n">
        <v>333.1205882352941</v>
      </c>
      <c r="E91" s="66" t="n">
        <v>151729.27</v>
      </c>
      <c r="F91" s="66" t="n">
        <v>11326.1</v>
      </c>
      <c r="G91" s="68" t="n">
        <v>466</v>
      </c>
      <c r="H91" s="70" t="n">
        <v>34</v>
      </c>
      <c r="I91" s="68" t="n">
        <v>73</v>
      </c>
      <c r="J91" s="69" t="n">
        <v>4.2</v>
      </c>
      <c r="K91" s="69" t="inlineStr">
        <is>
          <t>https://amazon.com/dp/B0CDGH4WFH</t>
        </is>
      </c>
      <c r="L91" s="114">
        <f>HYPERLINK(Table2821[[#This Row],[Column1]])</f>
        <v/>
      </c>
    </row>
    <row r="92" ht="45" customHeight="1" s="314">
      <c r="A92" s="35" t="inlineStr">
        <is>
          <t>FOXWELL HD301 Heavy Duty Truck Scanner, Full System Diesel Scan Tool with 6/9/16 Pin, 2 in 1 Code Reader for Trucks &amp; Car Engine, Diesel Diagnostic Tool for Cummins, Paccar, Caterpillar</t>
        </is>
      </c>
      <c r="B92" s="35" t="inlineStr">
        <is>
          <t>B0GS5TPTST</t>
        </is>
      </c>
      <c r="C92" s="35" t="inlineStr">
        <is>
          <t>Tablet</t>
        </is>
      </c>
      <c r="D92" s="359" t="n">
        <v>197.5257575757576</v>
      </c>
      <c r="E92" s="66" t="n">
        <v>78721.61153846156</v>
      </c>
      <c r="F92" s="66" t="n">
        <v>6518.35</v>
      </c>
      <c r="G92" s="68" t="n">
        <v>33</v>
      </c>
      <c r="H92" s="70" t="n">
        <v>33</v>
      </c>
      <c r="I92" s="68" t="n"/>
      <c r="J92" s="69" t="n"/>
      <c r="K92" s="69" t="inlineStr">
        <is>
          <t>https://amazon.com/dp/B0GS5TPTST</t>
        </is>
      </c>
      <c r="L92" s="114">
        <f>HYPERLINK(Table2821[[#This Row],[Column1]])</f>
        <v/>
      </c>
    </row>
    <row r="93" ht="30" customHeight="1" s="314">
      <c r="A93" s="35" t="inlineStr">
        <is>
          <t>FOXWELL NT510 Elite fit for Chrysler Jeep Dodge Scan Tool, All System OBD2 Scanner Bidirectional Diagnostic Tool, All Maintenance Car Code Reader with ABS Bleeding TPMS Battery Registration Reset Tool</t>
        </is>
      </c>
      <c r="B93" s="35" t="inlineStr">
        <is>
          <t>B07XK1P8ZT</t>
        </is>
      </c>
      <c r="C93" s="35" t="inlineStr">
        <is>
          <t>Handheld</t>
        </is>
      </c>
      <c r="D93" s="359" t="n">
        <v>200.2076666666667</v>
      </c>
      <c r="E93" s="66" t="n">
        <v>134929.56</v>
      </c>
      <c r="F93" s="66" t="n">
        <v>6006.23</v>
      </c>
      <c r="G93" s="68" t="n">
        <v>673</v>
      </c>
      <c r="H93" s="70" t="n">
        <v>30</v>
      </c>
      <c r="I93" s="68" t="n">
        <v>228</v>
      </c>
      <c r="J93" s="69" t="n">
        <v>4.1</v>
      </c>
      <c r="K93" s="69" t="inlineStr">
        <is>
          <t>https://amazon.com/dp/B07XK1P8ZT</t>
        </is>
      </c>
      <c r="L93" s="114">
        <f>HYPERLINK(Table2821[[#This Row],[Column1]])</f>
        <v/>
      </c>
    </row>
    <row r="94" ht="45" customHeight="1" s="314">
      <c r="A94" s="35" t="inlineStr">
        <is>
          <t>FOXWELL NT510 Pro fit for GM Scan Tool, 2-in-1 OBD2 Scanner &amp; 12V Battery Tester, All Systems Diagnostic &amp; Bi-Directional Control, Crankshaft Sensor Relearn, fit for Chevrolet Buick Cadillac GMC</t>
        </is>
      </c>
      <c r="B94" s="35" t="inlineStr">
        <is>
          <t>B0FRLSSTDC</t>
        </is>
      </c>
      <c r="C94" s="35" t="inlineStr">
        <is>
          <t>Handheld</t>
        </is>
      </c>
      <c r="D94" s="359" t="n">
        <v>238.4281481481482</v>
      </c>
      <c r="E94" s="66" t="n">
        <v>108732.6715384616</v>
      </c>
      <c r="F94" s="66" t="n">
        <v>6437.56</v>
      </c>
      <c r="G94" s="68" t="n">
        <v>285</v>
      </c>
      <c r="H94" s="70" t="n">
        <v>27</v>
      </c>
      <c r="I94" s="68" t="n">
        <v>38</v>
      </c>
      <c r="J94" s="69" t="n">
        <v>3.8</v>
      </c>
      <c r="K94" s="69" t="inlineStr">
        <is>
          <t>https://amazon.com/dp/B0FRLSSTDC</t>
        </is>
      </c>
      <c r="L94" s="114">
        <f>HYPERLINK(Table2821[[#This Row],[Column1]])</f>
        <v/>
      </c>
    </row>
    <row r="95" ht="45" customHeight="1" s="314">
      <c r="A95" s="35" t="inlineStr">
        <is>
          <t>2026 FOXWELL Scanner NT809BT OBD2 Scanner Diagnostic Tool with 30+Resets, All System Bidirectional Scan Tool for All Vehicles, CAN-FD, FCA Autoauth, 3-Yr Free Update, AutoVIN, Wireless 65-Foot, Orange</t>
        </is>
      </c>
      <c r="B95" s="35" t="inlineStr">
        <is>
          <t>B0DPZVGXS3</t>
        </is>
      </c>
      <c r="C95" s="35" t="inlineStr">
        <is>
          <t>Tablet</t>
        </is>
      </c>
      <c r="D95" s="359" t="n">
        <v>477.8831818181818</v>
      </c>
      <c r="E95" s="66" t="n">
        <v>349874.4099999999</v>
      </c>
      <c r="F95" s="66" t="n">
        <v>10513.43</v>
      </c>
      <c r="G95" s="68" t="n">
        <v>757</v>
      </c>
      <c r="H95" s="70" t="n">
        <v>22</v>
      </c>
      <c r="I95" s="68" t="n">
        <v>260</v>
      </c>
      <c r="J95" s="69" t="n">
        <v>4.2</v>
      </c>
      <c r="K95" s="69" t="inlineStr">
        <is>
          <t>https://amazon.com/dp/B0DPZVGXS3</t>
        </is>
      </c>
      <c r="L95" s="114">
        <f>HYPERLINK(Table2821[[#This Row],[Column1]])</f>
        <v/>
      </c>
    </row>
    <row r="96" ht="30" customHeight="1" s="314">
      <c r="A96" s="35" t="inlineStr">
        <is>
          <t>2026 FOXWELL NT624 Elite OBD2 Scanner, All System with 8 Resets ABS Bleeding/SAS/Oil/TPS/EPB/BRT/Injector/D-P-F Resets Battery Test Upgrade of NT614 Elite Car Code Reader Scan Tool for All Cars</t>
        </is>
      </c>
      <c r="B96" s="35" t="inlineStr">
        <is>
          <t>B082X38C7G</t>
        </is>
      </c>
      <c r="C96" s="35" t="inlineStr">
        <is>
          <t>Tablet</t>
        </is>
      </c>
      <c r="D96" s="359" t="n">
        <v>264.625</v>
      </c>
      <c r="E96" s="66" t="n">
        <v>83181.17000000001</v>
      </c>
      <c r="F96" s="66" t="n">
        <v>4763.25</v>
      </c>
      <c r="G96" s="68" t="n">
        <v>309</v>
      </c>
      <c r="H96" s="70" t="n">
        <v>18</v>
      </c>
      <c r="I96" s="68" t="n">
        <v>299</v>
      </c>
      <c r="J96" s="69" t="n">
        <v>4</v>
      </c>
      <c r="K96" s="69" t="inlineStr">
        <is>
          <t>https://amazon.com/dp/B082X38C7G</t>
        </is>
      </c>
      <c r="L96" s="114">
        <f>HYPERLINK(Table2821[[#This Row],[Column1]])</f>
        <v/>
      </c>
    </row>
    <row r="97" ht="45" customHeight="1" s="314">
      <c r="A97" s="35" t="inlineStr">
        <is>
          <t>2026 FOXWELL Scanner NT726 OBD2 Scanner All System Scan Tool 12+ Service Resets, Diagnostic Tool with ABS Bleeding, Oil Reset, Injector Coding, SAS &amp; TPMS, Active Test, Lifetime Free Update</t>
        </is>
      </c>
      <c r="B97" s="35" t="inlineStr">
        <is>
          <t>B09BNDS4VD</t>
        </is>
      </c>
      <c r="C97" s="35" t="inlineStr">
        <is>
          <t>Tablet</t>
        </is>
      </c>
      <c r="D97" s="359" t="n">
        <v>383.9464705882353</v>
      </c>
      <c r="E97" s="66" t="n">
        <v>115632.1761538462</v>
      </c>
      <c r="F97" s="66" t="n">
        <v>6527.09</v>
      </c>
      <c r="G97" s="68" t="n">
        <v>289</v>
      </c>
      <c r="H97" s="70" t="n">
        <v>17</v>
      </c>
      <c r="I97" s="68" t="n">
        <v>252</v>
      </c>
      <c r="J97" s="69" t="n">
        <v>4.1</v>
      </c>
      <c r="K97" s="69" t="inlineStr">
        <is>
          <t>https://amazon.com/dp/B09BNDS4VD</t>
        </is>
      </c>
      <c r="L97" s="114">
        <f>HYPERLINK(Table2821[[#This Row],[Column1]])</f>
        <v/>
      </c>
    </row>
    <row r="98" ht="30" customHeight="1" s="314">
      <c r="A98" s="35" t="inlineStr">
        <is>
          <t>FOXWELL OBD2 OBD II 16Pin Male to Female Diagnostic Extension Convert Cable 65cm/25.59”</t>
        </is>
      </c>
      <c r="B98" s="35" t="inlineStr">
        <is>
          <t>B09M8CPNBJ</t>
        </is>
      </c>
      <c r="C98" s="35" t="inlineStr">
        <is>
          <t>Cable/Adapter</t>
        </is>
      </c>
      <c r="D98" s="359" t="n">
        <v>13.219375</v>
      </c>
      <c r="E98" s="66" t="n">
        <v>4689.599999999999</v>
      </c>
      <c r="F98" s="66" t="n">
        <v>211.51</v>
      </c>
      <c r="G98" s="68" t="n">
        <v>363</v>
      </c>
      <c r="H98" s="70" t="n">
        <v>16</v>
      </c>
      <c r="I98" s="68" t="n">
        <v>140</v>
      </c>
      <c r="J98" s="69" t="n">
        <v>4.6</v>
      </c>
      <c r="K98" s="69" t="inlineStr">
        <is>
          <t>https://amazon.com/dp/B09M8CPNBJ</t>
        </is>
      </c>
      <c r="L98" s="114">
        <f>HYPERLINK(Table2821[[#This Row],[Column1]])</f>
        <v/>
      </c>
    </row>
    <row r="99" ht="45" customHeight="1" s="314">
      <c r="A99" s="35" t="inlineStr">
        <is>
          <t>Foxwell NT301/NT201 OBD2 Extension Cable 16pin Male to Female Diagnostic Universal OBD II Convert Cable</t>
        </is>
      </c>
      <c r="B99" s="35" t="inlineStr">
        <is>
          <t>B08Y1XCP9Z</t>
        </is>
      </c>
      <c r="C99" s="35" t="inlineStr">
        <is>
          <t>Cable/Adapter</t>
        </is>
      </c>
      <c r="D99" s="359" t="n">
        <v>10.85866666666667</v>
      </c>
      <c r="E99" s="66" t="n">
        <v>3522.94</v>
      </c>
      <c r="F99" s="66" t="n">
        <v>162.88</v>
      </c>
      <c r="G99" s="68" t="n">
        <v>321</v>
      </c>
      <c r="H99" s="70" t="n">
        <v>15</v>
      </c>
      <c r="I99" s="68" t="n">
        <v>439</v>
      </c>
      <c r="J99" s="69" t="n">
        <v>4.5</v>
      </c>
      <c r="K99" s="69" t="inlineStr">
        <is>
          <t>https://amazon.com/dp/B08Y1XCP9Z</t>
        </is>
      </c>
      <c r="L99" s="114">
        <f>HYPERLINK(Table2821[[#This Row],[Column1]])</f>
        <v/>
      </c>
    </row>
    <row r="100" ht="45" customHeight="1" s="314">
      <c r="A100" s="35" t="inlineStr">
        <is>
          <t>FOXWELL NT1009 All-System Bi-Directional Scan Tool with All Reset Services, Topology Mapping, V.A.G Guide &amp; FCA SGW Support, CAN-FD DoIP Diagnostic Scanner for All Cars, 3-Year Free Updates</t>
        </is>
      </c>
      <c r="B100" s="35" t="inlineStr">
        <is>
          <t>B0D7Z2QF71</t>
        </is>
      </c>
      <c r="C100" s="35" t="inlineStr">
        <is>
          <t>Tablet</t>
        </is>
      </c>
      <c r="D100" s="359" t="n">
        <v>882.1508333333333</v>
      </c>
      <c r="E100" s="66" t="n">
        <v>262267.19</v>
      </c>
      <c r="F100" s="66" t="n">
        <v>10585.81</v>
      </c>
      <c r="G100" s="68" t="n">
        <v>299</v>
      </c>
      <c r="H100" s="70" t="n">
        <v>12</v>
      </c>
      <c r="I100" s="68" t="n">
        <v>270</v>
      </c>
      <c r="J100" s="69" t="n">
        <v>4.4</v>
      </c>
      <c r="K100" s="69" t="inlineStr">
        <is>
          <t>https://amazon.com/dp/B0D7Z2QF71</t>
        </is>
      </c>
      <c r="L100" s="114">
        <f>HYPERLINK(Table2821[[#This Row],[Column1]])</f>
        <v/>
      </c>
    </row>
    <row r="101" ht="45" customHeight="1" s="314">
      <c r="A101" s="35" t="inlineStr">
        <is>
          <t>2026 FOXWELL NT726 Bidirectional Scan Tool, All System OBD2 Scanner Diagnostic Tool, Car Code Reader for All Models with 12 Resets, ABS Bleeding, Oil/EPB/SAS/D-PF/TPMS/Injector/Throttle, EN/ES Ver</t>
        </is>
      </c>
      <c r="B101" s="35" t="inlineStr">
        <is>
          <t>B09SGDN3BQ</t>
        </is>
      </c>
      <c r="C101" s="35" t="inlineStr">
        <is>
          <t>Tablet</t>
        </is>
      </c>
      <c r="D101" s="359" t="n">
        <v>361.409</v>
      </c>
      <c r="E101" s="66" t="n">
        <v>73882.5</v>
      </c>
      <c r="F101" s="66" t="n">
        <v>3614.09</v>
      </c>
      <c r="G101" s="68" t="n">
        <v>195</v>
      </c>
      <c r="H101" s="70" t="n">
        <v>10</v>
      </c>
      <c r="I101" s="68" t="n">
        <v>97</v>
      </c>
      <c r="J101" s="69" t="n">
        <v>4.1</v>
      </c>
      <c r="K101" s="69" t="inlineStr">
        <is>
          <t>https://amazon.com/dp/B09SGDN3BQ</t>
        </is>
      </c>
      <c r="L101" s="114">
        <f>HYPERLINK(Table2821[[#This Row],[Column1]])</f>
        <v/>
      </c>
    </row>
    <row r="102" ht="45" customHeight="1" s="314">
      <c r="A102" s="35" t="inlineStr">
        <is>
          <t>FOXWELL OBD2 Extension Cable for NT201 NT301 NT301Plus and Most OBD2 Scanners, 16Pin Male to Female Extension Convert Cable, 2FT/60CM</t>
        </is>
      </c>
      <c r="B102" s="35" t="inlineStr">
        <is>
          <t>B00UC11PDS</t>
        </is>
      </c>
      <c r="C102" s="35" t="inlineStr">
        <is>
          <t>Cable/Adapter</t>
        </is>
      </c>
      <c r="D102" s="359" t="n">
        <v>10.29375</v>
      </c>
      <c r="E102" s="66" t="n">
        <v>758.77</v>
      </c>
      <c r="F102" s="66" t="n">
        <v>82.34999999999999</v>
      </c>
      <c r="G102" s="68" t="n">
        <v>70</v>
      </c>
      <c r="H102" s="70" t="n">
        <v>8</v>
      </c>
      <c r="I102" s="68" t="n">
        <v>713</v>
      </c>
      <c r="J102" s="69" t="n">
        <v>4.5</v>
      </c>
      <c r="K102" s="69" t="inlineStr">
        <is>
          <t>https://amazon.com/dp/B00UC11PDS</t>
        </is>
      </c>
      <c r="L102" s="114">
        <f>HYPERLINK(Table2821[[#This Row],[Column1]])</f>
        <v/>
      </c>
    </row>
    <row r="103" ht="30" customHeight="1" s="314">
      <c r="A103" s="35" t="inlineStr">
        <is>
          <t>FOXWELL Case for NT201/NT301/NT301 Plus OBD2 Scanner, Protective Carring Case for Handle-Size Code Reader and Battery Tester</t>
        </is>
      </c>
      <c r="B103" s="35" t="inlineStr">
        <is>
          <t>B07K6K2Y8W</t>
        </is>
      </c>
      <c r="C103" s="35" t="inlineStr">
        <is>
          <t>Other</t>
        </is>
      </c>
      <c r="D103" s="359" t="n">
        <v>19.97333333333333</v>
      </c>
      <c r="E103" s="66" t="n">
        <v>4856.59</v>
      </c>
      <c r="F103" s="66" t="n">
        <v>119.84</v>
      </c>
      <c r="G103" s="68" t="n">
        <v>246</v>
      </c>
      <c r="H103" s="70" t="n">
        <v>6</v>
      </c>
      <c r="I103" s="68" t="n">
        <v>436</v>
      </c>
      <c r="J103" s="69" t="n">
        <v>4.6</v>
      </c>
      <c r="K103" s="69" t="inlineStr">
        <is>
          <t>https://amazon.com/dp/B07K6K2Y8W</t>
        </is>
      </c>
      <c r="L103" s="114">
        <f>HYPERLINK(Table2821[[#This Row],[Column1]])</f>
        <v/>
      </c>
    </row>
    <row r="104" ht="45" customHeight="1" s="314">
      <c r="A104" s="35" t="inlineStr">
        <is>
          <t>FOXWELL NT530 for Porsche 997 Multi-System OBD2 Diagnostic Scanner SRS ABS DPF EPB Airbag TPMS Battery Reset</t>
        </is>
      </c>
      <c r="B104" s="35" t="inlineStr">
        <is>
          <t>B07XQLXP66</t>
        </is>
      </c>
      <c r="C104" s="35" t="inlineStr">
        <is>
          <t>Handheld</t>
        </is>
      </c>
      <c r="D104" s="359" t="n">
        <v>161.86</v>
      </c>
      <c r="E104" s="66" t="n">
        <v>3846.872307692308</v>
      </c>
      <c r="F104" s="66" t="n">
        <v>323.72</v>
      </c>
      <c r="G104" s="68" t="n">
        <v>14</v>
      </c>
      <c r="H104" s="70" t="n">
        <v>2</v>
      </c>
      <c r="I104" s="68" t="n">
        <v>19</v>
      </c>
      <c r="J104" s="69" t="n">
        <v>4.4</v>
      </c>
      <c r="K104" s="69" t="inlineStr">
        <is>
          <t>https://amazon.com/dp/B07XQLXP66</t>
        </is>
      </c>
      <c r="L104" s="114">
        <f>HYPERLINK(Table2821[[#This Row],[Column1]])</f>
        <v/>
      </c>
    </row>
    <row r="105" ht="45" customHeight="1" s="314">
      <c r="A105" s="35" t="inlineStr">
        <is>
          <t>FOXWELL NT650 Elite OBD2 Scanner with ABS and SRS Full Function</t>
        </is>
      </c>
      <c r="B105" s="35" t="inlineStr">
        <is>
          <t>B0854FNLTD</t>
        </is>
      </c>
      <c r="C105" s="35" t="inlineStr">
        <is>
          <t>Handheld</t>
        </is>
      </c>
      <c r="D105" s="359" t="n">
        <v>326.48</v>
      </c>
      <c r="E105" s="66" t="n">
        <v>59056.89</v>
      </c>
      <c r="F105" s="66" t="n">
        <v>0</v>
      </c>
      <c r="G105" s="68" t="n">
        <v>226</v>
      </c>
      <c r="H105" s="70" t="n">
        <v>0</v>
      </c>
      <c r="I105" s="68" t="n">
        <v>222</v>
      </c>
      <c r="J105" s="69" t="n">
        <v>4.1</v>
      </c>
      <c r="K105" s="69" t="inlineStr">
        <is>
          <t>https://amazon.com/dp/B0854FNLTD</t>
        </is>
      </c>
      <c r="L105" s="114">
        <f>HYPERLINK(Table2821[[#This Row],[Column1]])</f>
        <v/>
      </c>
    </row>
    <row r="106" ht="17" customHeight="1" s="314">
      <c r="A106" s="35" t="inlineStr">
        <is>
          <t>FOXWELL NT710 Scanner fit for Ford/Lincoln/Mercury, Full System Bidirectional Diagnostic Scan Tool, All Reset Services with Oil/TPMS/TPS/EPB/SAS/SRS Transmission, Auto VIN, Lifetime Free Update</t>
        </is>
      </c>
      <c r="B106" s="35" t="inlineStr">
        <is>
          <t>B0CKQZJMZN</t>
        </is>
      </c>
      <c r="C106" s="35" t="inlineStr">
        <is>
          <t>Tablet</t>
        </is>
      </c>
      <c r="D106" s="359" t="n">
        <v>527.88</v>
      </c>
      <c r="E106" s="66" t="n">
        <v>32553.78</v>
      </c>
      <c r="F106" s="66" t="n">
        <v>0</v>
      </c>
      <c r="G106" s="68" t="n">
        <v>104</v>
      </c>
      <c r="H106" s="70" t="n">
        <v>0</v>
      </c>
      <c r="I106" s="68" t="n">
        <v>27</v>
      </c>
      <c r="J106" s="69" t="n">
        <v>4</v>
      </c>
      <c r="K106" s="69" t="inlineStr">
        <is>
          <t>https://amazon.com/dp/B0CKQZJMZN</t>
        </is>
      </c>
      <c r="L106" s="114">
        <f>HYPERLINK(Table2821[[#This Row],[Column1]])</f>
        <v/>
      </c>
    </row>
    <row r="107">
      <c r="A107" s="35" t="inlineStr">
        <is>
          <t>FOXWELL NT716 OBD2 Scanner Tablet, Multi System Diagnostic Tool, 9 Service Code Reader Scanner Engine SRS Transmission Oil EPB TPMS SAS BMS Throttle Brake Reset ABS Bleeding Injector Coding Scan Tool</t>
        </is>
      </c>
      <c r="B107" s="35" t="inlineStr">
        <is>
          <t>B0BVFQ4RRN</t>
        </is>
      </c>
      <c r="C107" s="35" t="inlineStr">
        <is>
          <t>Tablet</t>
        </is>
      </c>
      <c r="D107" s="359" t="n">
        <v>262.42</v>
      </c>
      <c r="E107" s="66" t="n">
        <v>21445.62</v>
      </c>
      <c r="F107" s="66" t="n">
        <v>0</v>
      </c>
      <c r="G107" s="68" t="n">
        <v>82</v>
      </c>
      <c r="H107" s="70" t="n">
        <v>0</v>
      </c>
      <c r="I107" s="68" t="n">
        <v>110</v>
      </c>
      <c r="J107" s="69" t="n">
        <v>4</v>
      </c>
      <c r="K107" s="69" t="inlineStr">
        <is>
          <t>https://amazon.com/dp/B0BVFQ4RRN</t>
        </is>
      </c>
      <c r="L107" s="114">
        <f>HYPERLINK(TABLE107)</f>
        <v/>
      </c>
    </row>
    <row r="108">
      <c r="A108" s="41" t="inlineStr">
        <is>
          <t>Total</t>
        </is>
      </c>
      <c r="B108" s="41" t="n"/>
      <c r="C108" s="41" t="n"/>
      <c r="D108" s="365" t="n"/>
      <c r="E108" s="122" t="n"/>
      <c r="F108" s="122" t="n"/>
      <c r="G108" s="123">
        <f>SUM(G61:G107)</f>
        <v/>
      </c>
      <c r="H108" s="123">
        <f>SUM(H61:H107)</f>
        <v/>
      </c>
      <c r="I108" s="123" t="n"/>
      <c r="J108" s="128" t="n"/>
      <c r="K108" s="134" t="n"/>
    </row>
  </sheetData>
  <mergeCells count="3">
    <mergeCell ref="A1:L5"/>
    <mergeCell ref="A58:L58"/>
    <mergeCell ref="A7:L7"/>
  </mergeCell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L676"/>
  <sheetViews>
    <sheetView workbookViewId="0">
      <selection activeCell="L439" sqref="L439"/>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customWidth="1" style="311" min="6" max="6"/>
    <col width="21.6640625" bestFit="1" customWidth="1" style="311" min="7" max="7"/>
    <col width="19.1640625" customWidth="1" style="311" min="8" max="8"/>
    <col width="13.5" bestFit="1" customWidth="1" style="312" min="9" max="9"/>
    <col width="12.6640625" bestFit="1" customWidth="1" style="308" min="10" max="10"/>
    <col hidden="1" width="29.5" customWidth="1" style="308" min="11" max="11"/>
    <col width="35.6640625" customWidth="1" style="308" min="12" max="12"/>
    <col width="12.6640625" customWidth="1" style="308" min="13" max="16384"/>
  </cols>
  <sheetData>
    <row r="1">
      <c r="A1" s="322" t="inlineStr">
        <is>
          <t>Generic Monthly Summary</t>
        </is>
      </c>
    </row>
    <row r="2"/>
    <row r="3"/>
    <row r="4"/>
    <row r="5"/>
    <row r="6">
      <c r="B6" s="60" t="n"/>
      <c r="C6" s="366" t="n"/>
      <c r="E6" s="60" t="n"/>
      <c r="F6" s="62" t="n"/>
      <c r="G6" s="62" t="n"/>
      <c r="H6" s="62" t="n"/>
      <c r="I6" s="63" t="n"/>
      <c r="J6" s="60"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17" customHeight="1" s="314">
      <c r="A9" s="35" t="inlineStr">
        <is>
          <t>HPT MPVI4 Diagnostic Code Reader Scanner and Tool</t>
        </is>
      </c>
      <c r="B9" s="35" t="inlineStr">
        <is>
          <t>B0FZ26RBDC</t>
        </is>
      </c>
      <c r="C9" s="35" t="inlineStr">
        <is>
          <t>Dongle</t>
        </is>
      </c>
      <c r="D9" s="359" t="n">
        <v>399.9256140350877</v>
      </c>
      <c r="E9" s="66" t="n">
        <v>2847107.959999999</v>
      </c>
      <c r="F9" s="67" t="n">
        <v>273549.12</v>
      </c>
      <c r="G9" s="68" t="n">
        <v>2699</v>
      </c>
      <c r="H9" s="68" t="n">
        <v>684</v>
      </c>
      <c r="I9" s="68" t="n">
        <v>139</v>
      </c>
      <c r="J9" s="69" t="n">
        <v>4.8</v>
      </c>
      <c r="K9" s="69" t="inlineStr">
        <is>
          <t>https://amazon.com/dp/B0FZ26RBDC</t>
        </is>
      </c>
      <c r="L9" s="114">
        <f>HYPERLINK(Table2927[[#This Row],[Column1]])</f>
        <v/>
      </c>
    </row>
    <row r="10" ht="17" customHeight="1" s="314">
      <c r="A10" s="35" t="inlineStr">
        <is>
          <t>HPT MPVI4 Diagnostic Code Reader Scanner and Tool</t>
        </is>
      </c>
      <c r="B10" s="35" t="inlineStr">
        <is>
          <t>B0FY7MYBX7</t>
        </is>
      </c>
      <c r="C10" s="35" t="inlineStr">
        <is>
          <t>Dongle</t>
        </is>
      </c>
      <c r="D10" s="359" t="n">
        <v>400.4040771349862</v>
      </c>
      <c r="E10" s="66" t="n">
        <v>1578101.223076923</v>
      </c>
      <c r="F10" s="67" t="n">
        <v>145346.68</v>
      </c>
      <c r="G10" s="68" t="n">
        <v>1597</v>
      </c>
      <c r="H10" s="68" t="n">
        <v>363</v>
      </c>
      <c r="I10" s="68" t="n">
        <v>31</v>
      </c>
      <c r="J10" s="69" t="n">
        <v>4.8</v>
      </c>
      <c r="K10" s="69" t="inlineStr">
        <is>
          <t>https://amazon.com/dp/B0FY7MYBX7</t>
        </is>
      </c>
      <c r="L10" s="114">
        <f>HYPERLINK(Table2927[[#This Row],[Column1]])</f>
        <v/>
      </c>
    </row>
    <row r="11" ht="30" customHeight="1" s="314">
      <c r="A11" s="35" t="inlineStr">
        <is>
          <t>TEMEDA- PT 30 ELD - Electronic Logging Device + Cable - HOS &amp; FMCSA Compliant - Easy to Install - New (PT30+Green 9 Pin Round Cable)</t>
        </is>
      </c>
      <c r="B11" s="35" t="inlineStr">
        <is>
          <t>B0CVR2LWNX</t>
        </is>
      </c>
      <c r="C11" s="35" t="inlineStr">
        <is>
          <t>Other</t>
        </is>
      </c>
      <c r="D11" s="359" t="n">
        <v>190.1238</v>
      </c>
      <c r="E11" s="66" t="n">
        <v>255473.16</v>
      </c>
      <c r="F11" s="67" t="n">
        <v>38024.76</v>
      </c>
      <c r="G11" s="68" t="n">
        <v>1357</v>
      </c>
      <c r="H11" s="68" t="n">
        <v>200</v>
      </c>
      <c r="I11" s="68" t="n">
        <v>41</v>
      </c>
      <c r="J11" s="69" t="n">
        <v>4.7</v>
      </c>
      <c r="K11" s="69" t="inlineStr">
        <is>
          <t>https://amazon.com/dp/B0CVR2LWNX</t>
        </is>
      </c>
      <c r="L11" s="114">
        <f>HYPERLINK(Table2927[[#This Row],[Column1]])</f>
        <v/>
      </c>
    </row>
    <row r="12" ht="45" customHeight="1" s="314">
      <c r="A12" s="35" t="inlineStr">
        <is>
          <t>FOXWELL NT530 Plus for BMW - All Systems, All Maintenance Service - Bidirectional Diagnostic Tool OBD2 Scanner Automotive Code Reader ABS Bleed SRS Airbag SAS TPMS TPS EPB Oil Reset CKP</t>
        </is>
      </c>
      <c r="B12" s="35" t="inlineStr">
        <is>
          <t>B0BZDWC5J5</t>
        </is>
      </c>
      <c r="C12" s="35" t="inlineStr">
        <is>
          <t>Handheld</t>
        </is>
      </c>
      <c r="D12" s="359" t="n">
        <v>169.979702970297</v>
      </c>
      <c r="E12" s="66" t="n">
        <v>123435.8</v>
      </c>
      <c r="F12" s="67" t="n">
        <v>34335.9</v>
      </c>
      <c r="G12" s="68" t="n">
        <v>727</v>
      </c>
      <c r="H12" s="68" t="n">
        <v>202</v>
      </c>
      <c r="I12" s="68" t="n">
        <v>23</v>
      </c>
      <c r="J12" s="69" t="n">
        <v>4.2</v>
      </c>
      <c r="K12" s="69" t="inlineStr">
        <is>
          <t>https://amazon.com/dp/B0BZDWC5J5</t>
        </is>
      </c>
      <c r="L12" s="114">
        <f>HYPERLINK(Table2927[[#This Row],[Column1]])</f>
        <v/>
      </c>
    </row>
    <row r="13" ht="16" customHeight="1" s="314">
      <c r="A13" s="35" t="inlineStr">
        <is>
          <t>NEXIQ Universal J560 PLC Adapter – Enhanced ABS Diagnostic Tool for Heavy-Duty Vehicles</t>
        </is>
      </c>
      <c r="B13" s="35" t="inlineStr">
        <is>
          <t>B07F9XPZ6W</t>
        </is>
      </c>
      <c r="C13" s="35" t="inlineStr">
        <is>
          <t>Cable/Adapter</t>
        </is>
      </c>
      <c r="D13" s="359" t="n">
        <v>349.1241935483871</v>
      </c>
      <c r="E13" s="66" t="n">
        <v>313635.3061538461</v>
      </c>
      <c r="F13" s="67" t="n">
        <v>21645.7</v>
      </c>
      <c r="G13" s="68" t="n">
        <v>866</v>
      </c>
      <c r="H13" s="68" t="n">
        <v>62</v>
      </c>
      <c r="I13" s="68" t="n">
        <v>34</v>
      </c>
      <c r="J13" s="69" t="n">
        <v>4.8</v>
      </c>
      <c r="K13" s="69" t="inlineStr">
        <is>
          <t>https://amazon.com/dp/B07F9XPZ6W</t>
        </is>
      </c>
      <c r="L13" s="114">
        <f>HYPERLINK(Table2927[[#This Row],[Column1]])</f>
        <v/>
      </c>
    </row>
    <row r="14" ht="16" customHeight="1" s="314">
      <c r="A14" s="35" t="inlineStr">
        <is>
          <t>FOXWELL NT530 for Porsche - All Systems, All Maintenance Service - Bidirectional Diagnostic Scan Tool OBD2 Scanner Automotive Code Reader ABS Bleed SRS Airbag SAS TPMS TPS EPB Oil Reset CKP</t>
        </is>
      </c>
      <c r="B14" s="35" t="inlineStr">
        <is>
          <t>B0C3J1V5N8</t>
        </is>
      </c>
      <c r="C14" s="35" t="inlineStr">
        <is>
          <t>Handheld</t>
        </is>
      </c>
      <c r="D14" s="359" t="n">
        <v>170.397476635514</v>
      </c>
      <c r="E14" s="66" t="n">
        <v>173868.88</v>
      </c>
      <c r="F14" s="67" t="n">
        <v>18232.53</v>
      </c>
      <c r="G14" s="68" t="n">
        <v>1024</v>
      </c>
      <c r="H14" s="68" t="n">
        <v>107</v>
      </c>
      <c r="I14" s="68" t="n">
        <v>70</v>
      </c>
      <c r="J14" s="69" t="n">
        <v>4</v>
      </c>
      <c r="K14" s="69" t="inlineStr">
        <is>
          <t>https://amazon.com/dp/B0C3J1V5N8</t>
        </is>
      </c>
      <c r="L14" s="114">
        <f>HYPERLINK(Table2927[[#This Row],[Column1]])</f>
        <v/>
      </c>
    </row>
    <row r="15" ht="16" customHeight="1" s="314">
      <c r="A15" s="35" t="inlineStr">
        <is>
          <t>MPVI4 Professional Automotive Diagnostic Scanner Tool, High-Speed Data Logging, Multi-Vehicle Programming Compatibility 0 Credits (MPVI4-00, 0 Credits)</t>
        </is>
      </c>
      <c r="B15" s="35" t="inlineStr">
        <is>
          <t>B0FYQN779L</t>
        </is>
      </c>
      <c r="C15" s="35" t="inlineStr">
        <is>
          <t>Dongle</t>
        </is>
      </c>
      <c r="D15" s="359" t="n">
        <v>403.9316279069768</v>
      </c>
      <c r="E15" s="66" t="n">
        <v>202052.6076923077</v>
      </c>
      <c r="F15" s="67" t="n">
        <v>17369.06</v>
      </c>
      <c r="G15" s="68" t="n">
        <v>184</v>
      </c>
      <c r="H15" s="68" t="n">
        <v>43</v>
      </c>
      <c r="I15" s="68" t="n">
        <v>5</v>
      </c>
      <c r="J15" s="69" t="n">
        <v>4</v>
      </c>
      <c r="K15" s="69" t="inlineStr">
        <is>
          <t>https://amazon.com/dp/B0FYQN779L</t>
        </is>
      </c>
      <c r="L15" s="114">
        <f>HYPERLINK(Table2927[[#This Row],[Column1]])</f>
        <v/>
      </c>
    </row>
    <row r="16" ht="16" customHeight="1" s="314">
      <c r="A16" s="35" t="inlineStr">
        <is>
          <t>FOXWELL NT530 for BMW - All Systems, All Maintenance Service - Bidirectional Diagnostic Scan Tool OBD2 Scanner Automotive Code Reader ABS Bleed SRS Airbag SAS TPMS TPS EPB Oil Reset CKP</t>
        </is>
      </c>
      <c r="B16" s="35" t="inlineStr">
        <is>
          <t>B0C3J1QFX4</t>
        </is>
      </c>
      <c r="C16" s="35" t="inlineStr">
        <is>
          <t>Handheld</t>
        </is>
      </c>
      <c r="D16" s="359" t="n">
        <v>170.4728712871287</v>
      </c>
      <c r="E16" s="66" t="n">
        <v>215947.82</v>
      </c>
      <c r="F16" s="67" t="n">
        <v>17217.76</v>
      </c>
      <c r="G16" s="68" t="n">
        <v>1270</v>
      </c>
      <c r="H16" s="68" t="n">
        <v>101</v>
      </c>
      <c r="I16" s="68" t="n">
        <v>78</v>
      </c>
      <c r="J16" s="69" t="n">
        <v>4.3</v>
      </c>
      <c r="K16" s="69" t="inlineStr">
        <is>
          <t>https://amazon.com/dp/B0C3J1QFX4</t>
        </is>
      </c>
      <c r="L16" s="114">
        <f>HYPERLINK(Table2927[[#This Row],[Column1]])</f>
        <v/>
      </c>
    </row>
    <row r="17" ht="16" customHeight="1" s="314">
      <c r="A17" s="35" t="inlineStr">
        <is>
          <t>NEXIQ USB-Link 3 Wireless Vehicle Interface – Advanced Diagnostic Tool for Heavy-Duty and Light-Duty Vehicles</t>
        </is>
      </c>
      <c r="B17" s="35" t="inlineStr">
        <is>
          <t>B0BPYVCL6T</t>
        </is>
      </c>
      <c r="C17" s="35" t="inlineStr">
        <is>
          <t>VCI</t>
        </is>
      </c>
      <c r="D17" s="359" t="n">
        <v>784.5791666666668</v>
      </c>
      <c r="E17" s="66" t="n">
        <v>216511.84</v>
      </c>
      <c r="F17" s="67" t="n">
        <v>9414.950000000001</v>
      </c>
      <c r="G17" s="68" t="n">
        <v>272</v>
      </c>
      <c r="H17" s="68" t="n">
        <v>12</v>
      </c>
      <c r="I17" s="68" t="n">
        <v>8</v>
      </c>
      <c r="J17" s="69" t="n">
        <v>4.3</v>
      </c>
      <c r="K17" s="69" t="inlineStr">
        <is>
          <t>https://amazon.com/dp/B0BPYVCL6T</t>
        </is>
      </c>
      <c r="L17" s="114">
        <f>HYPERLINK(Table2927[[#This Row],[Column1]])</f>
        <v/>
      </c>
    </row>
    <row r="18" ht="16" customHeight="1" s="314">
      <c r="A18" s="35" t="inlineStr">
        <is>
          <t>V500 OBD2 Scanner Diagnostic Tool, Professional Code Reader with Live Data Stream, DTC Lookup, I/M Readiness, O2 Sensor Test, EVAP System Test, Vehicle Info Display</t>
        </is>
      </c>
      <c r="B18" s="35" t="inlineStr">
        <is>
          <t>B0GMJWZVVK</t>
        </is>
      </c>
      <c r="C18" s="35" t="inlineStr">
        <is>
          <t>Handheld</t>
        </is>
      </c>
      <c r="D18" s="359" t="n">
        <v>25.34763803680982</v>
      </c>
      <c r="E18" s="66" t="n">
        <v>93429.56153846155</v>
      </c>
      <c r="F18" s="67" t="n">
        <v>8263.33</v>
      </c>
      <c r="G18" s="68" t="n">
        <v>385</v>
      </c>
      <c r="H18" s="68" t="n">
        <v>326</v>
      </c>
      <c r="I18" s="68" t="n">
        <v>3</v>
      </c>
      <c r="J18" s="69" t="n">
        <v>5</v>
      </c>
      <c r="K18" s="69" t="inlineStr">
        <is>
          <t>https://amazon.com/dp/B0GMJWZVVK</t>
        </is>
      </c>
      <c r="L18" s="114">
        <f>HYPERLINK(Table2927[[#This Row],[Column1]])</f>
        <v/>
      </c>
    </row>
    <row r="19" ht="16" customHeight="1" s="314">
      <c r="A19" s="35" t="inlineStr">
        <is>
          <t>FOXWELL NT530 for Honda Acura - All Systems, All Maintenance Service - Bidirectional Diagnostic Scan Tool OBD2 Scanner Automotive Code Reader ABS Bleed SRS Airbag SAS TPMS TPS EPB Oil Reset CKP</t>
        </is>
      </c>
      <c r="B19" s="35" t="inlineStr">
        <is>
          <t>B0C2DBJYCD</t>
        </is>
      </c>
      <c r="C19" s="35" t="inlineStr">
        <is>
          <t>Handheld</t>
        </is>
      </c>
      <c r="D19" s="359" t="n">
        <v>170.7471111111111</v>
      </c>
      <c r="E19" s="66" t="n">
        <v>58997.04000000001</v>
      </c>
      <c r="F19" s="67" t="n">
        <v>7683.62</v>
      </c>
      <c r="G19" s="68" t="n">
        <v>348</v>
      </c>
      <c r="H19" s="68" t="n">
        <v>45</v>
      </c>
      <c r="I19" s="68" t="n">
        <v>46</v>
      </c>
      <c r="J19" s="69" t="n">
        <v>4</v>
      </c>
      <c r="K19" s="69" t="inlineStr">
        <is>
          <t>https://amazon.com/dp/B0C2DBJYCD</t>
        </is>
      </c>
      <c r="L19" s="114">
        <f>HYPERLINK(Table2927[[#This Row],[Column1]])</f>
        <v/>
      </c>
    </row>
    <row r="20" ht="16" customHeight="1" s="314">
      <c r="A20" s="35" t="inlineStr">
        <is>
          <t>FOXWELL NT530 for GM Chevrolet - All Systems, All Maintenance Service - Bidirectional Diagnostic Tool - OBD2 Scanner - Code Reader ABS Bleed SRS Airbag SAS TPMS TPS EPB Oil</t>
        </is>
      </c>
      <c r="B20" s="35" t="inlineStr">
        <is>
          <t>B0C46TXHWG</t>
        </is>
      </c>
      <c r="C20" s="35" t="inlineStr">
        <is>
          <t>Handheld</t>
        </is>
      </c>
      <c r="D20" s="359" t="n">
        <v>167.9218421052632</v>
      </c>
      <c r="E20" s="66" t="n">
        <v>68843.95000000001</v>
      </c>
      <c r="F20" s="67" t="n">
        <v>6381.03</v>
      </c>
      <c r="G20" s="68" t="n">
        <v>406</v>
      </c>
      <c r="H20" s="68" t="n">
        <v>38</v>
      </c>
      <c r="I20" s="68" t="n">
        <v>32</v>
      </c>
      <c r="J20" s="69" t="n">
        <v>4.3</v>
      </c>
      <c r="K20" s="69" t="inlineStr">
        <is>
          <t>https://amazon.com/dp/B0C46TXHWG</t>
        </is>
      </c>
      <c r="L20" s="114">
        <f>HYPERLINK(Table2927[[#This Row],[Column1]])</f>
        <v/>
      </c>
    </row>
    <row r="21" ht="16" customHeight="1" s="314">
      <c r="A21" s="35" t="inlineStr">
        <is>
          <t>PT30+Cable Bundle-ELD Geosavi Buy America (PT30+Light Duty OBDII Square Cable)</t>
        </is>
      </c>
      <c r="B21" s="35" t="inlineStr">
        <is>
          <t>B0CTTXT5S5</t>
        </is>
      </c>
      <c r="C21" s="35" t="inlineStr">
        <is>
          <t>VCI</t>
        </is>
      </c>
      <c r="D21" s="359" t="n">
        <v>187.6217647058824</v>
      </c>
      <c r="E21" s="66" t="n">
        <v>33450.52</v>
      </c>
      <c r="F21" s="67" t="n">
        <v>6379.14</v>
      </c>
      <c r="G21" s="68" t="n">
        <v>180</v>
      </c>
      <c r="H21" s="68" t="n">
        <v>34</v>
      </c>
      <c r="I21" s="68" t="n">
        <v>5</v>
      </c>
      <c r="J21" s="69" t="n">
        <v>5</v>
      </c>
      <c r="K21" s="69" t="inlineStr">
        <is>
          <t>https://amazon.com/dp/B0CTTXT5S5</t>
        </is>
      </c>
      <c r="L21" s="114">
        <f>HYPERLINK(Table2927[[#This Row],[Column1]])</f>
        <v/>
      </c>
    </row>
    <row r="22" ht="16" customHeight="1" s="314">
      <c r="A22" s="35" t="inlineStr">
        <is>
          <t>HPT MPVI4 Diagnostic Scanner - 2 Credits</t>
        </is>
      </c>
      <c r="B22" s="35" t="inlineStr">
        <is>
          <t>B0GJJNLVTF</t>
        </is>
      </c>
      <c r="C22" s="35" t="inlineStr">
        <is>
          <t>Dongle</t>
        </is>
      </c>
      <c r="D22" s="359" t="n">
        <v>487.1308333333333</v>
      </c>
      <c r="E22" s="66" t="n">
        <v>67713.37846153845</v>
      </c>
      <c r="F22" s="67" t="n">
        <v>5845.57</v>
      </c>
      <c r="G22" s="68" t="n">
        <v>17</v>
      </c>
      <c r="H22" s="68" t="n">
        <v>12</v>
      </c>
      <c r="I22" s="68" t="n"/>
      <c r="J22" s="69" t="n"/>
      <c r="K22" s="69" t="inlineStr">
        <is>
          <t>https://amazon.com/dp/B0GJJNLVTF</t>
        </is>
      </c>
      <c r="L22" s="114">
        <f>HYPERLINK(Table2927[[#This Row],[Column1]])</f>
        <v/>
      </c>
    </row>
    <row r="23" ht="16" customHeight="1" s="314">
      <c r="A23" s="35" t="inlineStr">
        <is>
          <t>Generic NEXIQ 9-Pin Deutsch Adapter (1-Meter) for USB-Link 2 &amp; 3, black</t>
        </is>
      </c>
      <c r="B23" s="35" t="inlineStr">
        <is>
          <t>B0CRVX1JLN</t>
        </is>
      </c>
      <c r="C23" s="35" t="inlineStr">
        <is>
          <t>Cable/Adapter</t>
        </is>
      </c>
      <c r="D23" s="359" t="n">
        <v>175.5145454545454</v>
      </c>
      <c r="E23" s="66" t="n">
        <v>85794.46307692307</v>
      </c>
      <c r="F23" s="67" t="n">
        <v>5791.98</v>
      </c>
      <c r="G23" s="68" t="n">
        <v>459</v>
      </c>
      <c r="H23" s="68" t="n">
        <v>33</v>
      </c>
      <c r="I23" s="68" t="n">
        <v>11</v>
      </c>
      <c r="J23" s="69" t="n">
        <v>4</v>
      </c>
      <c r="K23" s="69" t="inlineStr">
        <is>
          <t>https://amazon.com/dp/B0CRVX1JLN</t>
        </is>
      </c>
      <c r="L23" s="114">
        <f>HYPERLINK(Table2927[[#This Row],[Column1]])</f>
        <v/>
      </c>
    </row>
    <row r="24" ht="16" customHeight="1" s="314">
      <c r="A24" s="35" t="inlineStr">
        <is>
          <t>FOXWELL NT530 for Toyota, Lexus, Scion - All Systems, All Maintenance Service - Bidirectional Diagnostic Scan Tool OBD2 Scanner Automotive Code Reader ABS Bleed SRS Airbag SAS TPMS TPS EPB Oil Reset</t>
        </is>
      </c>
      <c r="B24" s="35" t="inlineStr">
        <is>
          <t>B0CZ7DVCN7</t>
        </is>
      </c>
      <c r="C24" s="35" t="inlineStr">
        <is>
          <t>Handheld</t>
        </is>
      </c>
      <c r="D24" s="359" t="n">
        <v>168.6396875</v>
      </c>
      <c r="E24" s="66" t="n">
        <v>38925.98</v>
      </c>
      <c r="F24" s="67" t="n">
        <v>5396.47</v>
      </c>
      <c r="G24" s="68" t="n">
        <v>230</v>
      </c>
      <c r="H24" s="68" t="n">
        <v>32</v>
      </c>
      <c r="I24" s="68" t="n">
        <v>11</v>
      </c>
      <c r="J24" s="69" t="n">
        <v>4.4</v>
      </c>
      <c r="K24" s="69" t="inlineStr">
        <is>
          <t>https://amazon.com/dp/B0CZ7DVCN7</t>
        </is>
      </c>
      <c r="L24" s="114">
        <f>HYPERLINK(Table2927[[#This Row],[Column1]])</f>
        <v/>
      </c>
    </row>
    <row r="25" ht="16" customHeight="1" s="314">
      <c r="A25" s="35" t="inlineStr">
        <is>
          <t>MPVI4 HP Diagnostic Code Reader Tool, Professional Vehicle Scanner</t>
        </is>
      </c>
      <c r="B25" s="35" t="inlineStr">
        <is>
          <t>B0GSCG8HSX</t>
        </is>
      </c>
      <c r="C25" s="35" t="inlineStr">
        <is>
          <t>Dongle</t>
        </is>
      </c>
      <c r="D25" s="359" t="n">
        <v>362.8546153846154</v>
      </c>
      <c r="E25" s="66" t="n">
        <v>52613.91923076921</v>
      </c>
      <c r="F25" s="67" t="n">
        <v>4717.11</v>
      </c>
      <c r="G25" s="68" t="n">
        <v>13</v>
      </c>
      <c r="H25" s="68" t="n">
        <v>13</v>
      </c>
      <c r="I25" s="68" t="n"/>
      <c r="J25" s="69" t="n"/>
      <c r="K25" s="69" t="inlineStr">
        <is>
          <t>https://amazon.com/dp/B0GSCG8HSX</t>
        </is>
      </c>
      <c r="L25" s="114">
        <f>HYPERLINK(Table2927[[#This Row],[Column1]])</f>
        <v/>
      </c>
    </row>
    <row r="26" ht="16" customHeight="1" s="314">
      <c r="A26" s="35" t="inlineStr">
        <is>
          <t>FOXWELL NT530 for Mercedes Benz 38 Pin - All Systems, All Maintenance Service - Bidirectional Diagnostic Scan Tool OBD2 Scanner Automotive Code Reader ABS Bleed SRS Airbag SAS TPMS TPS EPB Oil Reset</t>
        </is>
      </c>
      <c r="B26" s="35" t="inlineStr">
        <is>
          <t>B0C3HXTNLL</t>
        </is>
      </c>
      <c r="C26" s="35" t="inlineStr">
        <is>
          <t>Handheld</t>
        </is>
      </c>
      <c r="D26" s="359" t="n">
        <v>201.3405</v>
      </c>
      <c r="E26" s="66" t="n">
        <v>22329.97</v>
      </c>
      <c r="F26" s="67" t="n">
        <v>4026.81</v>
      </c>
      <c r="G26" s="68" t="n">
        <v>112</v>
      </c>
      <c r="H26" s="68" t="n">
        <v>20</v>
      </c>
      <c r="I26" s="68" t="n">
        <v>19</v>
      </c>
      <c r="J26" s="69" t="n">
        <v>3.8</v>
      </c>
      <c r="K26" s="69" t="inlineStr">
        <is>
          <t>https://amazon.com/dp/B0C3HXTNLL</t>
        </is>
      </c>
      <c r="L26" s="114">
        <f>HYPERLINK(Table2927[[#This Row],[Column1]])</f>
        <v/>
      </c>
    </row>
    <row r="27" ht="16" customHeight="1" s="314">
      <c r="A27" s="35" t="inlineStr">
        <is>
          <t>FOXWELL NT530 for Dodge Jeep Chrysler All Systems, All Maintenance Service - Bidirectional Diagnostic Scan Tool OBD2 Scanner Automotive Code Reader ABS Bleed SRS Airbag SAS TPMS TPS EPB Oil Reset CKP</t>
        </is>
      </c>
      <c r="B27" s="35" t="inlineStr">
        <is>
          <t>B0C2D87BM8</t>
        </is>
      </c>
      <c r="C27" s="35" t="inlineStr">
        <is>
          <t>Handheld</t>
        </is>
      </c>
      <c r="D27" s="359" t="n">
        <v>172.0504347826087</v>
      </c>
      <c r="E27" s="66" t="n">
        <v>35836.18000000001</v>
      </c>
      <c r="F27" s="67" t="n">
        <v>3957.16</v>
      </c>
      <c r="G27" s="68" t="n">
        <v>213</v>
      </c>
      <c r="H27" s="68" t="n">
        <v>23</v>
      </c>
      <c r="I27" s="68" t="n">
        <v>28</v>
      </c>
      <c r="J27" s="69" t="n">
        <v>4</v>
      </c>
      <c r="K27" s="69" t="inlineStr">
        <is>
          <t>https://amazon.com/dp/B0C2D87BM8</t>
        </is>
      </c>
      <c r="L27" s="114">
        <f>HYPERLINK(Table2927[[#This Row],[Column1]])</f>
        <v/>
      </c>
    </row>
    <row r="28" ht="16" customHeight="1" s="314">
      <c r="A28" s="35" t="inlineStr">
        <is>
          <t>MPVI4 Diagnostic Code Reader and Scan Tool with 0 Credits</t>
        </is>
      </c>
      <c r="B28" s="35" t="inlineStr">
        <is>
          <t>B0GPGL3BC4</t>
        </is>
      </c>
      <c r="C28" s="35" t="inlineStr">
        <is>
          <t>Dongle</t>
        </is>
      </c>
      <c r="D28" s="359" t="n">
        <v>397.8133333333333</v>
      </c>
      <c r="E28" s="66" t="n">
        <v>43239.24923076922</v>
      </c>
      <c r="F28" s="67" t="n">
        <v>3580.32</v>
      </c>
      <c r="G28" s="68" t="n">
        <v>9</v>
      </c>
      <c r="H28" s="68" t="n">
        <v>9</v>
      </c>
      <c r="I28" s="68" t="n"/>
      <c r="J28" s="69" t="n"/>
      <c r="K28" s="69" t="inlineStr">
        <is>
          <t>https://amazon.com/dp/B0GPGL3BC4</t>
        </is>
      </c>
      <c r="L28" s="114">
        <f>HYPERLINK(Table2927[[#This Row],[Column1]])</f>
        <v/>
      </c>
    </row>
    <row r="29" ht="16" customHeight="1" s="314">
      <c r="A29" s="35" t="inlineStr">
        <is>
          <t>FOXWELL NT530 for Kia and Hyundai - All Systems, All Maintenance Service - Bidirectional Diagnostic Scan Tool OBD2 Scanner Automotive Code Reader ABS Bleed SRS Airbag SAS TPMS TPS EPB Oil Reset CKP</t>
        </is>
      </c>
      <c r="B29" s="35" t="inlineStr">
        <is>
          <t>B0C2DDGKYK</t>
        </is>
      </c>
      <c r="C29" s="35" t="inlineStr">
        <is>
          <t>Handheld</t>
        </is>
      </c>
      <c r="D29" s="359" t="n">
        <v>169.902380952381</v>
      </c>
      <c r="E29" s="66" t="n">
        <v>49839.77</v>
      </c>
      <c r="F29" s="67" t="n">
        <v>3567.95</v>
      </c>
      <c r="G29" s="68" t="n">
        <v>294</v>
      </c>
      <c r="H29" s="68" t="n">
        <v>21</v>
      </c>
      <c r="I29" s="68" t="n">
        <v>39</v>
      </c>
      <c r="J29" s="69" t="n">
        <v>3.8</v>
      </c>
      <c r="K29" s="69" t="inlineStr">
        <is>
          <t>https://amazon.com/dp/B0C2DDGKYK</t>
        </is>
      </c>
      <c r="L29" s="114">
        <f>HYPERLINK(Table2927[[#This Row],[Column1]])</f>
        <v/>
      </c>
    </row>
    <row r="30" ht="16" customHeight="1" s="314">
      <c r="A30" s="35" t="inlineStr">
        <is>
          <t>Generic H00008000 Interface Cable for Edge CS2 CTS2 CTS3 Cord, OBDII to HDMI Monitor/Tuner/Insight</t>
        </is>
      </c>
      <c r="B30" s="35" t="inlineStr">
        <is>
          <t>B0B2MMYSK7</t>
        </is>
      </c>
      <c r="C30" s="35" t="inlineStr">
        <is>
          <t>Handheld</t>
        </is>
      </c>
      <c r="D30" s="359" t="n">
        <v>23.15268292682927</v>
      </c>
      <c r="E30" s="66" t="n">
        <v>32521.11</v>
      </c>
      <c r="F30" s="67" t="n">
        <v>2847.78</v>
      </c>
      <c r="G30" s="68" t="n">
        <v>1466</v>
      </c>
      <c r="H30" s="68" t="n">
        <v>123</v>
      </c>
      <c r="I30" s="68" t="n">
        <v>71</v>
      </c>
      <c r="J30" s="69" t="n">
        <v>4.6</v>
      </c>
      <c r="K30" s="69" t="inlineStr">
        <is>
          <t>https://amazon.com/dp/B0B2MMYSK7</t>
        </is>
      </c>
      <c r="L30" s="114">
        <f>HYPERLINK(Table2927[[#This Row],[Column1]])</f>
        <v/>
      </c>
    </row>
    <row r="31" ht="16" customHeight="1" s="314">
      <c r="A31" s="35" t="inlineStr">
        <is>
          <t>FOXWELL NT530 for Volkswagen and Audi - All Systems, All Maintenance Service - Bidirectional Diagnostic Scan Tool OBD2 Scanner Automotive Code Reader ABS Bleed SRS Airbag SAS TPMS TPS EPB Oil Reset</t>
        </is>
      </c>
      <c r="B31" s="35" t="inlineStr">
        <is>
          <t>B0C2D7X37X</t>
        </is>
      </c>
      <c r="C31" s="35" t="inlineStr">
        <is>
          <t>Handheld</t>
        </is>
      </c>
      <c r="D31" s="359" t="n">
        <v>165.5417647058823</v>
      </c>
      <c r="E31" s="66" t="n">
        <v>21765.38230769231</v>
      </c>
      <c r="F31" s="67" t="n">
        <v>2814.21</v>
      </c>
      <c r="G31" s="68" t="n">
        <v>114</v>
      </c>
      <c r="H31" s="68" t="n">
        <v>17</v>
      </c>
      <c r="I31" s="68" t="n">
        <v>7</v>
      </c>
      <c r="J31" s="69" t="n">
        <v>3.6</v>
      </c>
      <c r="K31" s="69" t="inlineStr">
        <is>
          <t>https://amazon.com/dp/B0C2D7X37X</t>
        </is>
      </c>
      <c r="L31" s="114">
        <f>HYPERLINK(Table2927[[#This Row],[Column1]])</f>
        <v/>
      </c>
    </row>
    <row r="32" ht="16" customHeight="1" s="314">
      <c r="A32" s="35" t="inlineStr">
        <is>
          <t>FOXWELL NT530 for Ford - All Systems, All Maintenance Service - Bidirectional Diagnostic Scan Tool OBD2 Scanner Automotive Code Reader ABS Bleed SRS Airbag SAS TPMS TPS EPB Oil Reset CKP</t>
        </is>
      </c>
      <c r="B32" s="35" t="inlineStr">
        <is>
          <t>B0C2D7J4KX</t>
        </is>
      </c>
      <c r="C32" s="35" t="inlineStr">
        <is>
          <t>Handheld</t>
        </is>
      </c>
      <c r="D32" s="359" t="n">
        <v>175.8235714285715</v>
      </c>
      <c r="E32" s="66" t="n">
        <v>14611.87</v>
      </c>
      <c r="F32" s="67" t="n">
        <v>2461.53</v>
      </c>
      <c r="G32" s="68" t="n">
        <v>85</v>
      </c>
      <c r="H32" s="68" t="n">
        <v>14</v>
      </c>
      <c r="I32" s="68" t="n">
        <v>7</v>
      </c>
      <c r="J32" s="69" t="n">
        <v>4.3</v>
      </c>
      <c r="K32" s="69" t="inlineStr">
        <is>
          <t>https://amazon.com/dp/B0C2D7J4KX</t>
        </is>
      </c>
      <c r="L32" s="114">
        <f>HYPERLINK(Table2927[[#This Row],[Column1]])</f>
        <v/>
      </c>
    </row>
    <row r="33" ht="16" customHeight="1" s="314">
      <c r="A33" s="35" t="inlineStr">
        <is>
          <t>FOXWELL NT530 for Land Rover, Range Rover, Jaguar - All Maintenance Service - Bidirectional Diagnostic Scan Tool OBD2 Scanner Automotive Code Reader ABS Bleed SRS Airbag SAS TPMS TPS EPB Oil Reset CKP</t>
        </is>
      </c>
      <c r="B33" s="35" t="inlineStr">
        <is>
          <t>B0C2DC88QC</t>
        </is>
      </c>
      <c r="C33" s="35" t="inlineStr">
        <is>
          <t>Handheld</t>
        </is>
      </c>
      <c r="D33" s="359" t="n">
        <v>171.7314285714286</v>
      </c>
      <c r="E33" s="66" t="n">
        <v>21134.89</v>
      </c>
      <c r="F33" s="67" t="n">
        <v>2404.24</v>
      </c>
      <c r="G33" s="68" t="n">
        <v>126</v>
      </c>
      <c r="H33" s="68" t="n">
        <v>14</v>
      </c>
      <c r="I33" s="68" t="n">
        <v>9</v>
      </c>
      <c r="J33" s="69" t="n">
        <v>3.4</v>
      </c>
      <c r="K33" s="69" t="inlineStr">
        <is>
          <t>https://amazon.com/dp/B0C2DC88QC</t>
        </is>
      </c>
      <c r="L33" s="114">
        <f>HYPERLINK(Table2927[[#This Row],[Column1]])</f>
        <v/>
      </c>
    </row>
    <row r="34" ht="16" customHeight="1" s="314">
      <c r="A34" s="35" t="inlineStr">
        <is>
          <t>6 Pin to 16 Pin OBD2 Adapter Cable for BRP &amp; CAN-AM, Motorcycle Diagnostic Tool Connector Fits for CAN-AM Spyder, ATV, UTV and BRP Moto Bike</t>
        </is>
      </c>
      <c r="B34" s="35" t="inlineStr">
        <is>
          <t>B0FQNXVNLL</t>
        </is>
      </c>
      <c r="C34" s="35" t="inlineStr">
        <is>
          <t>Cable/Adapter</t>
        </is>
      </c>
      <c r="D34" s="359" t="n">
        <v>9.482139303482588</v>
      </c>
      <c r="E34" s="66" t="n">
        <v>18056.85076923077</v>
      </c>
      <c r="F34" s="67" t="n">
        <v>1905.91</v>
      </c>
      <c r="G34" s="68" t="n">
        <v>554</v>
      </c>
      <c r="H34" s="68" t="n">
        <v>201</v>
      </c>
      <c r="I34" s="68" t="n">
        <v>16</v>
      </c>
      <c r="J34" s="69" t="n">
        <v>3.4</v>
      </c>
      <c r="K34" s="69" t="inlineStr">
        <is>
          <t>https://amazon.com/dp/B0FQNXVNLL</t>
        </is>
      </c>
      <c r="L34" s="114">
        <f>HYPERLINK(Table2927[[#This Row],[Column1]])</f>
        <v/>
      </c>
    </row>
    <row r="35" ht="16" customHeight="1" s="314">
      <c r="A35" s="35" t="inlineStr">
        <is>
          <t>FOXWELL NT530 for Volvo - All Systems, All Maintenance Service - Bidirectional Diagnostic Scan Tool OBD2 Scanner Automotive Code Reader ABS Bleed SRS Airbag SAS TPMS TPS EPB Oil Reset CKP</t>
        </is>
      </c>
      <c r="B35" s="35" t="inlineStr">
        <is>
          <t>B0C2D7WYG9</t>
        </is>
      </c>
      <c r="C35" s="35" t="inlineStr">
        <is>
          <t>Handheld</t>
        </is>
      </c>
      <c r="D35" s="359" t="n">
        <v>169.1745454545455</v>
      </c>
      <c r="E35" s="66" t="n">
        <v>26684.34</v>
      </c>
      <c r="F35" s="67" t="n">
        <v>1860.92</v>
      </c>
      <c r="G35" s="68" t="n">
        <v>157</v>
      </c>
      <c r="H35" s="68" t="n">
        <v>11</v>
      </c>
      <c r="I35" s="68" t="n">
        <v>16</v>
      </c>
      <c r="J35" s="69" t="n">
        <v>4.2</v>
      </c>
      <c r="K35" s="69" t="inlineStr">
        <is>
          <t>https://amazon.com/dp/B0C2D7WYG9</t>
        </is>
      </c>
      <c r="L35" s="114">
        <f>HYPERLINK(Table2927[[#This Row],[Column1]])</f>
        <v/>
      </c>
    </row>
    <row r="36" ht="16" customHeight="1" s="314">
      <c r="A36" s="35" t="inlineStr">
        <is>
          <t>OBD2 to USB Cable Diagnostic Tool OBD2 Code Reader Scanner USB Interface OBD to USB Adapter OBD2 Connector OBDII Scan Automotive for GM Chevy Ford Toyota Honda Car SUV Pickup for Laptop</t>
        </is>
      </c>
      <c r="B36" s="35" t="inlineStr">
        <is>
          <t>B0GL42JYN7</t>
        </is>
      </c>
      <c r="C36" s="35" t="inlineStr">
        <is>
          <t>Cable/Adapter</t>
        </is>
      </c>
      <c r="D36" s="359" t="n">
        <v>13.71792</v>
      </c>
      <c r="E36" s="66" t="n">
        <v>19125.94615384616</v>
      </c>
      <c r="F36" s="67" t="n">
        <v>1714.74</v>
      </c>
      <c r="G36" s="68" t="n">
        <v>125</v>
      </c>
      <c r="H36" s="68" t="n">
        <v>125</v>
      </c>
      <c r="I36" s="68" t="n">
        <v>1</v>
      </c>
      <c r="J36" s="69" t="n">
        <v>5</v>
      </c>
      <c r="K36" s="69" t="inlineStr">
        <is>
          <t>https://amazon.com/dp/B0GL42JYN7</t>
        </is>
      </c>
      <c r="L36" s="114">
        <f>HYPERLINK(Table2927[[#This Row],[Column1]])</f>
        <v/>
      </c>
    </row>
    <row r="37" ht="16" customHeight="1" s="314">
      <c r="A37" s="35" t="inlineStr">
        <is>
          <t>88894000 for Vocom II Communications Unit Adapter - Diagnostic Tool with Software for Trucks, Excavators, Buses and Yachts (Tool with Software)</t>
        </is>
      </c>
      <c r="B37" s="35" t="inlineStr">
        <is>
          <t>B0FH4MV5CT</t>
        </is>
      </c>
      <c r="C37" s="35" t="inlineStr">
        <is>
          <t>VCI</t>
        </is>
      </c>
      <c r="D37" s="359" t="n">
        <v>421.65</v>
      </c>
      <c r="E37" s="66" t="n">
        <v>16638.10923076923</v>
      </c>
      <c r="F37" s="67" t="n">
        <v>1686.6</v>
      </c>
      <c r="G37" s="68" t="n">
        <v>15</v>
      </c>
      <c r="H37" s="68" t="n">
        <v>4</v>
      </c>
      <c r="I37" s="68" t="n"/>
      <c r="J37" s="69" t="n"/>
      <c r="K37" s="69" t="inlineStr">
        <is>
          <t>https://amazon.com/dp/B0FH4MV5CT</t>
        </is>
      </c>
      <c r="L37" s="114">
        <f>HYPERLINK(Table2927[[#This Row],[Column1]])</f>
        <v/>
      </c>
    </row>
    <row r="38" ht="16" customHeight="1" s="314">
      <c r="A38" s="35" t="inlineStr">
        <is>
          <t>ET3 317-7485 for Caterpillar CAT Communication Adapter Diagnostic Tool Truck Excavator Engine with 2019C 6+9+14pin Cable (with Laptop)</t>
        </is>
      </c>
      <c r="B38" s="35" t="inlineStr">
        <is>
          <t>B0CLD5Y59K</t>
        </is>
      </c>
      <c r="C38" s="35" t="inlineStr">
        <is>
          <t>VCI</t>
        </is>
      </c>
      <c r="D38" s="359" t="n">
        <v>829.365</v>
      </c>
      <c r="E38" s="66" t="n">
        <v>4530.820000000001</v>
      </c>
      <c r="F38" s="67" t="n">
        <v>1658.73</v>
      </c>
      <c r="G38" s="68" t="n">
        <v>7</v>
      </c>
      <c r="H38" s="68" t="n">
        <v>2</v>
      </c>
      <c r="I38" s="68" t="n"/>
      <c r="J38" s="69" t="n"/>
      <c r="K38" s="69" t="inlineStr">
        <is>
          <t>https://amazon.com/dp/B0CLD5Y59K</t>
        </is>
      </c>
      <c r="L38" s="114">
        <f>HYPERLINK(Table2927[[#This Row],[Column1]])</f>
        <v/>
      </c>
    </row>
    <row r="39" ht="16" customHeight="1" s="314">
      <c r="A39" s="35" t="inlineStr">
        <is>
          <t>PT30+Cable Bundle-TT ELD -Bluestar ELD - ELD365 -ELD24/7 Geosavi Buy America (PT30+Cable Compatible with OBDII Heavy Duty Volvo Trucks)</t>
        </is>
      </c>
      <c r="B39" s="35" t="inlineStr">
        <is>
          <t>B0CHZ93Z9J</t>
        </is>
      </c>
      <c r="C39" s="35" t="inlineStr">
        <is>
          <t>Other</t>
        </is>
      </c>
      <c r="D39" s="359" t="n">
        <v>199.7575</v>
      </c>
      <c r="E39" s="66" t="n">
        <v>16336.63692307692</v>
      </c>
      <c r="F39" s="67" t="n">
        <v>1598.06</v>
      </c>
      <c r="G39" s="68" t="n">
        <v>64</v>
      </c>
      <c r="H39" s="68" t="n">
        <v>8</v>
      </c>
      <c r="I39" s="68" t="n">
        <v>8</v>
      </c>
      <c r="J39" s="69" t="n">
        <v>5</v>
      </c>
      <c r="K39" s="69" t="inlineStr">
        <is>
          <t>https://amazon.com/dp/B0CHZ93Z9J</t>
        </is>
      </c>
      <c r="L39" s="114">
        <f>HYPERLINK(Table2927[[#This Row],[Column1]])</f>
        <v/>
      </c>
    </row>
    <row r="40" ht="17" customHeight="1" s="314">
      <c r="A40" s="35" t="inlineStr">
        <is>
          <t>2024 G' M MDI2 Multi Diagnostic Interface Scanner EL-52100-AM for DLC Cable Plug 2 WF Interface Scanner Kit with OBD2 USB 2.0 Interface (No WiFi)</t>
        </is>
      </c>
      <c r="B40" s="35" t="inlineStr">
        <is>
          <t>B0FWQZVLZC</t>
        </is>
      </c>
      <c r="C40" s="35" t="inlineStr">
        <is>
          <t>VCI</t>
        </is>
      </c>
      <c r="D40" s="359" t="n">
        <v>326.2925</v>
      </c>
      <c r="E40" s="66" t="n">
        <v>11971.75615384616</v>
      </c>
      <c r="F40" s="67" t="n">
        <v>1305.17</v>
      </c>
      <c r="G40" s="68" t="n">
        <v>11</v>
      </c>
      <c r="H40" s="68" t="n">
        <v>4</v>
      </c>
      <c r="I40" s="68" t="n"/>
      <c r="J40" s="69" t="n"/>
      <c r="K40" s="69" t="inlineStr">
        <is>
          <t>https://amazon.com/dp/B0FWQZVLZC</t>
        </is>
      </c>
      <c r="L40" s="114">
        <f>HYPERLINK(Table2927[[#This Row],[Column1]])</f>
        <v/>
      </c>
    </row>
    <row r="41" ht="16" customHeight="1" s="314">
      <c r="A41" s="35" t="inlineStr">
        <is>
          <t>Scanner Diagnostic Tool Service System IDSS Hardware and Software Solution for Truck Diagnosis and Repair for Isuzu G-IDSS Products are unive (G-IDSS Tool)</t>
        </is>
      </c>
      <c r="B41" s="35" t="inlineStr">
        <is>
          <t>B0CLGVMJ3M</t>
        </is>
      </c>
      <c r="C41" s="35" t="inlineStr">
        <is>
          <t>VCI</t>
        </is>
      </c>
      <c r="D41" s="359" t="n">
        <v>1209.28</v>
      </c>
      <c r="E41" s="66" t="n">
        <v>14237.41</v>
      </c>
      <c r="F41" s="67" t="n">
        <v>1209.28</v>
      </c>
      <c r="G41" s="68" t="n">
        <v>10</v>
      </c>
      <c r="H41" s="68" t="n">
        <v>1</v>
      </c>
      <c r="I41" s="68" t="n"/>
      <c r="J41" s="69" t="n"/>
      <c r="K41" s="69" t="inlineStr">
        <is>
          <t>https://amazon.com/dp/B0CLGVMJ3M</t>
        </is>
      </c>
      <c r="L41" s="114">
        <f>HYPERLINK(Table2927[[#This Row],[Column1]])</f>
        <v/>
      </c>
    </row>
    <row r="42" ht="16" customHeight="1" s="314">
      <c r="A42" s="35" t="inlineStr">
        <is>
          <t>FOXWELL NT530 for Mercedes Benz (16 Pin) - All Systems, All Maintenance Service - Bidirectional Diagnostic Scan Tool OBD2 Scanner Automotive Code Reader ABS Bleed SRS Airbag SAS TPMS TPS EPB Oil Reset</t>
        </is>
      </c>
      <c r="B42" s="35" t="inlineStr">
        <is>
          <t>B0C2DCY5PR</t>
        </is>
      </c>
      <c r="C42" s="35" t="inlineStr">
        <is>
          <t>Handheld</t>
        </is>
      </c>
      <c r="D42" s="359" t="n">
        <v>167.7542857142857</v>
      </c>
      <c r="E42" s="66" t="n">
        <v>33885.87</v>
      </c>
      <c r="F42" s="67" t="n">
        <v>1174.28</v>
      </c>
      <c r="G42" s="68" t="n">
        <v>202</v>
      </c>
      <c r="H42" s="68" t="n">
        <v>7</v>
      </c>
      <c r="I42" s="68" t="n">
        <v>15</v>
      </c>
      <c r="J42" s="69" t="n">
        <v>4.2</v>
      </c>
      <c r="K42" s="69" t="inlineStr">
        <is>
          <t>https://amazon.com/dp/B0C2DCY5PR</t>
        </is>
      </c>
      <c r="L42" s="114">
        <f>HYPERLINK(Table2927[[#This Row],[Column1]])</f>
        <v/>
      </c>
    </row>
    <row r="43" ht="16" customHeight="1" s="314">
      <c r="A43" s="35" t="inlineStr">
        <is>
          <t>NEXIQ USB Link 3 Wireless Bundle with J560 PLC Adapter</t>
        </is>
      </c>
      <c r="B43" s="35" t="inlineStr">
        <is>
          <t>B0D68GNPH5</t>
        </is>
      </c>
      <c r="C43" s="35" t="inlineStr">
        <is>
          <t>VCI</t>
        </is>
      </c>
      <c r="D43" s="359" t="n">
        <v>1133.89</v>
      </c>
      <c r="E43" s="66" t="n">
        <v>17243.06</v>
      </c>
      <c r="F43" s="67" t="n">
        <v>1133.89</v>
      </c>
      <c r="G43" s="68" t="n">
        <v>17</v>
      </c>
      <c r="H43" s="68" t="n">
        <v>1</v>
      </c>
      <c r="I43" s="68" t="n"/>
      <c r="J43" s="69" t="n"/>
      <c r="K43" s="69" t="inlineStr">
        <is>
          <t>https://amazon.com/dp/B0D68GNPH5</t>
        </is>
      </c>
      <c r="L43" s="114">
        <f>HYPERLINK(Table2927[[#This Row],[Column1]])</f>
        <v/>
      </c>
    </row>
    <row r="44" ht="16" customHeight="1" s="314">
      <c r="A44" s="35" t="inlineStr">
        <is>
          <t>PT30+Cable Bundle-Holiday Sale-ELD Geosavi Buy America (PT30+ Panel Cables for Heavy-Duty Volvo - Black)</t>
        </is>
      </c>
      <c r="B44" s="35" t="inlineStr">
        <is>
          <t>B0CQF62P8R</t>
        </is>
      </c>
      <c r="C44" s="35" t="inlineStr">
        <is>
          <t>Other</t>
        </is>
      </c>
      <c r="D44" s="359" t="n">
        <v>181.4883333333333</v>
      </c>
      <c r="E44" s="66" t="n">
        <v>12414.74615384615</v>
      </c>
      <c r="F44" s="67" t="n">
        <v>1088.93</v>
      </c>
      <c r="G44" s="68" t="n">
        <v>60</v>
      </c>
      <c r="H44" s="68" t="n">
        <v>6</v>
      </c>
      <c r="I44" s="68" t="n">
        <v>2</v>
      </c>
      <c r="J44" s="69" t="n">
        <v>3.9</v>
      </c>
      <c r="K44" s="69" t="inlineStr">
        <is>
          <t>https://amazon.com/dp/B0CQF62P8R</t>
        </is>
      </c>
      <c r="L44" s="114">
        <f>HYPERLINK(Table2927[[#This Row],[Column1]])</f>
        <v/>
      </c>
    </row>
    <row r="45" ht="16" customHeight="1" s="314">
      <c r="A45" s="35" t="inlineStr">
        <is>
          <t>OBDII Motorcycle Adapter Cable - 16 Pin to 8 Pin Polaris Connector for Diagnostic Code Reader Scanner, Fits RZR, Ranger, Slingshot, Sportsman ATV</t>
        </is>
      </c>
      <c r="B45" s="35" t="inlineStr">
        <is>
          <t>B0FQP1L2NG</t>
        </is>
      </c>
      <c r="C45" s="35" t="inlineStr">
        <is>
          <t>Cable/Adapter</t>
        </is>
      </c>
      <c r="D45" s="359" t="n">
        <v>10.4339603960396</v>
      </c>
      <c r="E45" s="66" t="n">
        <v>13420.24923076923</v>
      </c>
      <c r="F45" s="67" t="n">
        <v>1053.83</v>
      </c>
      <c r="G45" s="68" t="n">
        <v>576</v>
      </c>
      <c r="H45" s="68" t="n">
        <v>101</v>
      </c>
      <c r="I45" s="68" t="n">
        <v>9</v>
      </c>
      <c r="J45" s="69" t="n">
        <v>3.8</v>
      </c>
      <c r="K45" s="69" t="inlineStr">
        <is>
          <t>https://amazon.com/dp/B0FQP1L2NG</t>
        </is>
      </c>
      <c r="L45" s="114">
        <f>HYPERLINK(Table2927[[#This Row],[Column1]])</f>
        <v/>
      </c>
    </row>
    <row r="46" ht="16" customHeight="1" s="314">
      <c r="A46" s="35" t="inlineStr">
        <is>
          <t>OBD2 Adapter for Harleyy, 2-in-1 [4 Pin + 6 Pin] to 16 Pin Motorcycle Diagnostic Cable, Professional Scanner Tool Connector for Softail, Sportster Models</t>
        </is>
      </c>
      <c r="B46" s="35" t="inlineStr">
        <is>
          <t>B0FR4VC5L5</t>
        </is>
      </c>
      <c r="C46" s="35" t="inlineStr">
        <is>
          <t>Cable/Adapter</t>
        </is>
      </c>
      <c r="D46" s="359" t="n">
        <v>11.48068965517241</v>
      </c>
      <c r="E46" s="66" t="n">
        <v>8307.233846153847</v>
      </c>
      <c r="F46" s="67" t="n">
        <v>998.8200000000001</v>
      </c>
      <c r="G46" s="68" t="n">
        <v>148</v>
      </c>
      <c r="H46" s="68" t="n">
        <v>87</v>
      </c>
      <c r="I46" s="68" t="n">
        <v>4</v>
      </c>
      <c r="J46" s="69" t="n">
        <v>4.3</v>
      </c>
      <c r="K46" s="69" t="inlineStr">
        <is>
          <t>https://amazon.com/dp/B0FR4VC5L5</t>
        </is>
      </c>
      <c r="L46" s="114">
        <f>HYPERLINK(Table2927[[#This Row],[Column1]])</f>
        <v/>
      </c>
    </row>
    <row r="47" ht="16" customHeight="1" s="314">
      <c r="A47" s="35" t="inlineStr">
        <is>
          <t>FOXWELL NT680 OBD2 Scanner - All Systems Car Diagnostic Tool for All Makes All Models - Oil Reset, Electronic Parking Brake Reset OBD Scanner Diagnostic Tool</t>
        </is>
      </c>
      <c r="B47" s="35" t="inlineStr">
        <is>
          <t>B0C46TNYVM</t>
        </is>
      </c>
      <c r="C47" s="35" t="inlineStr">
        <is>
          <t>Handheld</t>
        </is>
      </c>
      <c r="D47" s="359" t="n">
        <v>185.784</v>
      </c>
      <c r="E47" s="66" t="n">
        <v>11097.02</v>
      </c>
      <c r="F47" s="67" t="n">
        <v>928.92</v>
      </c>
      <c r="G47" s="68" t="n">
        <v>56</v>
      </c>
      <c r="H47" s="68" t="n">
        <v>5</v>
      </c>
      <c r="I47" s="68" t="n">
        <v>8</v>
      </c>
      <c r="J47" s="69" t="n">
        <v>3.4</v>
      </c>
      <c r="K47" s="69" t="inlineStr">
        <is>
          <t>https://amazon.com/dp/B0C46TNYVM</t>
        </is>
      </c>
      <c r="L47" s="114">
        <f>HYPERLINK(Table2927[[#This Row],[Column1]])</f>
        <v/>
      </c>
    </row>
    <row r="48" ht="16" customHeight="1" s="314">
      <c r="A48" s="35" t="inlineStr">
        <is>
          <t>HUF TPMS DT41 TOOL &amp; 20 DUAL-BAND SENSORS BUNDLE ALL WIRES and PLUGS.</t>
        </is>
      </c>
      <c r="B48" s="35" t="inlineStr">
        <is>
          <t>B0B781MXYQ</t>
        </is>
      </c>
      <c r="C48" s="35" t="inlineStr">
        <is>
          <t>Other</t>
        </is>
      </c>
      <c r="D48" s="359" t="n">
        <v>457.975</v>
      </c>
      <c r="E48" s="66" t="n">
        <v>10591.65846153846</v>
      </c>
      <c r="F48" s="67" t="n">
        <v>915.95</v>
      </c>
      <c r="G48" s="68" t="n">
        <v>9</v>
      </c>
      <c r="H48" s="68" t="n">
        <v>2</v>
      </c>
      <c r="I48" s="68" t="n"/>
      <c r="J48" s="69" t="n"/>
      <c r="K48" s="69" t="inlineStr">
        <is>
          <t>https://amazon.com/dp/B0B781MXYQ</t>
        </is>
      </c>
      <c r="L48" s="114">
        <f>HYPERLINK(Table2927[[#This Row],[Column1]])</f>
        <v/>
      </c>
    </row>
    <row r="49" ht="16" customHeight="1" s="314">
      <c r="A49" s="35" t="inlineStr">
        <is>
          <t>PT30+Cable Bundle-Holiday Sale-ELD Geosavi Buy America (PT30+Green Cable - Molex to 9-pin Green)</t>
        </is>
      </c>
      <c r="B49" s="35" t="inlineStr">
        <is>
          <t>B0CQDKMY2J</t>
        </is>
      </c>
      <c r="C49" s="35" t="inlineStr">
        <is>
          <t>Other</t>
        </is>
      </c>
      <c r="D49" s="359" t="n">
        <v>172.454</v>
      </c>
      <c r="E49" s="66" t="n">
        <v>9906.636923076923</v>
      </c>
      <c r="F49" s="67" t="n">
        <v>862.27</v>
      </c>
      <c r="G49" s="68" t="n">
        <v>7</v>
      </c>
      <c r="H49" s="68" t="n">
        <v>5</v>
      </c>
      <c r="I49" s="68" t="n">
        <v>1</v>
      </c>
      <c r="J49" s="69" t="n">
        <v>5</v>
      </c>
      <c r="K49" s="69" t="inlineStr">
        <is>
          <t>https://amazon.com/dp/B0CQDKMY2J</t>
        </is>
      </c>
      <c r="L49" s="114">
        <f>HYPERLINK(Table2927[[#This Row],[Column1]])</f>
        <v/>
      </c>
    </row>
    <row r="50" ht="16" customHeight="1" s="314">
      <c r="A50" s="35" t="inlineStr">
        <is>
          <t>478-0235 538-5051 317-7485 ET4 Communication Adapter 3 2019C 2023A for Caterpillar cat Adapter 3 Heavy Duty Truck Diagnostic Tool (with Tablet)</t>
        </is>
      </c>
      <c r="B50" s="35" t="inlineStr">
        <is>
          <t>B0CJTXZL59</t>
        </is>
      </c>
      <c r="C50" s="35" t="inlineStr">
        <is>
          <t>VCI</t>
        </is>
      </c>
      <c r="D50" s="359" t="n">
        <v>850.2</v>
      </c>
      <c r="E50" s="66" t="n">
        <v>9921.41</v>
      </c>
      <c r="F50" s="67" t="n">
        <v>850.2</v>
      </c>
      <c r="G50" s="68" t="n">
        <v>13</v>
      </c>
      <c r="H50" s="68" t="n">
        <v>1</v>
      </c>
      <c r="I50" s="68" t="n"/>
      <c r="J50" s="69" t="n"/>
      <c r="K50" s="69" t="inlineStr">
        <is>
          <t>https://amazon.com/dp/B0CJTXZL59</t>
        </is>
      </c>
      <c r="L50" s="114">
        <f>HYPERLINK(Table2927[[#This Row],[Column1]])</f>
        <v/>
      </c>
    </row>
    <row r="51" ht="16" customHeight="1" s="314">
      <c r="A51" s="35" t="inlineStr">
        <is>
          <t>for DOOSAN uVIM Diagnostic Scanner, Excavator Forklift Engine Fault Code Reader OBD Interface, SCR DPF G2 ECU DCU Diagnostic Tool 2025 Software (vcm3)</t>
        </is>
      </c>
      <c r="B51" s="35" t="inlineStr">
        <is>
          <t>B0FXWNCLGG</t>
        </is>
      </c>
      <c r="C51" s="35" t="inlineStr">
        <is>
          <t>VCI</t>
        </is>
      </c>
      <c r="D51" s="359" t="n">
        <v>829.98</v>
      </c>
      <c r="E51" s="66" t="n">
        <v>10023.60461538462</v>
      </c>
      <c r="F51" s="67" t="n">
        <v>829.98</v>
      </c>
      <c r="G51" s="68" t="n">
        <v>1</v>
      </c>
      <c r="H51" s="68" t="n">
        <v>1</v>
      </c>
      <c r="I51" s="68" t="n"/>
      <c r="J51" s="69" t="n"/>
      <c r="K51" s="69" t="inlineStr">
        <is>
          <t>https://amazon.com/dp/B0FXWNCLGG</t>
        </is>
      </c>
      <c r="L51" s="114">
        <f>HYPERLINK(Table2927[[#This Row],[Column1]])</f>
        <v/>
      </c>
    </row>
    <row r="52" ht="16" customHeight="1" s="314">
      <c r="A52" s="35" t="inlineStr">
        <is>
          <t>478-0235 538-5051 317-7485 ET4 Communication Adapter 3 2019C 2023A for Caterpillar cat Adapter 3 Heavy Duty Truck Diagnostic Tool (ET4)</t>
        </is>
      </c>
      <c r="B52" s="35" t="inlineStr">
        <is>
          <t>B0CJTTSGFQ</t>
        </is>
      </c>
      <c r="C52" s="35" t="inlineStr">
        <is>
          <t>VCI</t>
        </is>
      </c>
      <c r="D52" s="359" t="n">
        <v>370.35</v>
      </c>
      <c r="E52" s="66" t="n">
        <v>9203.470000000001</v>
      </c>
      <c r="F52" s="67" t="n">
        <v>740.7</v>
      </c>
      <c r="G52" s="68" t="n">
        <v>26</v>
      </c>
      <c r="H52" s="68" t="n">
        <v>2</v>
      </c>
      <c r="I52" s="68" t="n">
        <v>1</v>
      </c>
      <c r="J52" s="69" t="n">
        <v>5</v>
      </c>
      <c r="K52" s="69" t="inlineStr">
        <is>
          <t>https://amazon.com/dp/B0CJTTSGFQ</t>
        </is>
      </c>
      <c r="L52" s="114">
        <f>HYPERLINK(Table2927[[#This Row],[Column1]])</f>
        <v/>
      </c>
    </row>
    <row r="53" ht="16" customHeight="1" s="314">
      <c r="A53" s="35" t="inlineStr">
        <is>
          <t>New! Fits ICON T7 Professional Wired Diagnostics Tablet Scanner Mechanic's Choice OBD2 Scanner Gives Full Access to All Systems, Including Bidirectional Controls, Resets, Relearns &amp; Special Functions</t>
        </is>
      </c>
      <c r="B53" s="35" t="inlineStr">
        <is>
          <t>B0DGCDH3TY</t>
        </is>
      </c>
      <c r="C53" s="35" t="inlineStr">
        <is>
          <t>Tablet</t>
        </is>
      </c>
      <c r="D53" s="359" t="n">
        <v>733.25</v>
      </c>
      <c r="E53" s="66" t="n">
        <v>3896.95</v>
      </c>
      <c r="F53" s="67" t="n">
        <v>733.25</v>
      </c>
      <c r="G53" s="68" t="n">
        <v>5</v>
      </c>
      <c r="H53" s="68" t="n">
        <v>1</v>
      </c>
      <c r="I53" s="68" t="n">
        <v>1</v>
      </c>
      <c r="J53" s="69" t="n">
        <v>5</v>
      </c>
      <c r="K53" s="69" t="inlineStr">
        <is>
          <t>https://amazon.com/dp/B0DGCDH3TY</t>
        </is>
      </c>
      <c r="L53" s="114">
        <f>HYPERLINK(Table2927[[#This Row],[Column1]])</f>
        <v/>
      </c>
    </row>
    <row r="54" ht="16" customHeight="1" s="314">
      <c r="A54" s="35" t="inlineStr">
        <is>
          <t>ET3 317-7485 for Caterpillar Communication Adapter Diagnostic Tool Truck Excavator Engine with 2019C 6+9+14pin Cable (with Tablet)</t>
        </is>
      </c>
      <c r="B54" s="35" t="inlineStr">
        <is>
          <t>B0CJ6HY3BX</t>
        </is>
      </c>
      <c r="C54" s="35" t="inlineStr">
        <is>
          <t>VCI</t>
        </is>
      </c>
      <c r="D54" s="359" t="n">
        <v>730.26</v>
      </c>
      <c r="E54" s="66" t="n">
        <v>6569.129999999999</v>
      </c>
      <c r="F54" s="67" t="n">
        <v>730.26</v>
      </c>
      <c r="G54" s="68" t="n">
        <v>10</v>
      </c>
      <c r="H54" s="68" t="n">
        <v>1</v>
      </c>
      <c r="I54" s="68" t="n">
        <v>3</v>
      </c>
      <c r="J54" s="69" t="n">
        <v>3.7</v>
      </c>
      <c r="K54" s="69" t="inlineStr">
        <is>
          <t>https://amazon.com/dp/B0CJ6HY3BX</t>
        </is>
      </c>
      <c r="L54" s="114">
        <f>HYPERLINK(Table2927[[#This Row],[Column1]])</f>
        <v/>
      </c>
    </row>
    <row r="55" ht="16" customHeight="1" s="314">
      <c r="A55" s="35" t="inlineStr">
        <is>
          <t>for SM2 P/RO J2534 Update Version V1.21.22 with Dongle Program Read and Write 67 in 1 OBDII Tools Full Engineer (SM2 PRO US Standard with 2 dongles)</t>
        </is>
      </c>
      <c r="B55" s="35" t="inlineStr">
        <is>
          <t>B0FWQZ15FQ</t>
        </is>
      </c>
      <c r="C55" s="35" t="inlineStr">
        <is>
          <t>VCI</t>
        </is>
      </c>
      <c r="D55" s="359" t="n">
        <v>115.202</v>
      </c>
      <c r="E55" s="66" t="n">
        <v>6133.462307692308</v>
      </c>
      <c r="F55" s="67" t="n">
        <v>576.01</v>
      </c>
      <c r="G55" s="68" t="n">
        <v>17</v>
      </c>
      <c r="H55" s="68" t="n">
        <v>5</v>
      </c>
      <c r="I55" s="68" t="n"/>
      <c r="J55" s="69" t="n"/>
      <c r="K55" s="69" t="inlineStr">
        <is>
          <t>https://amazon.com/dp/B0FWQZ15FQ</t>
        </is>
      </c>
      <c r="L55" s="114">
        <f>HYPERLINK(Table2927[[#This Row],[Column1]])</f>
        <v/>
      </c>
    </row>
    <row r="56" ht="16" customHeight="1" s="314">
      <c r="A56" s="35" t="inlineStr">
        <is>
          <t>88890300 Vocom I Engine Diagnostic Scanner Tool,for VOCOM Interface Excavators Or Heavy-Duty Truck Scanner (88890300 Tools)</t>
        </is>
      </c>
      <c r="B56" s="35" t="inlineStr">
        <is>
          <t>B0FJLDHFTJ</t>
        </is>
      </c>
      <c r="C56" s="35" t="inlineStr">
        <is>
          <t>VCI</t>
        </is>
      </c>
      <c r="D56" s="359" t="n">
        <v>570.49</v>
      </c>
      <c r="E56" s="66" t="n">
        <v>3203.520769230769</v>
      </c>
      <c r="F56" s="67" t="n">
        <v>570.49</v>
      </c>
      <c r="G56" s="68" t="n">
        <v>1</v>
      </c>
      <c r="H56" s="68" t="n">
        <v>1</v>
      </c>
      <c r="I56" s="68" t="n"/>
      <c r="J56" s="69" t="n"/>
      <c r="K56" s="69" t="inlineStr">
        <is>
          <t>https://amazon.com/dp/B0FJLDHFTJ</t>
        </is>
      </c>
      <c r="L56" s="114">
        <f>HYPERLINK(Table2927[[#This Row],[Column1]])</f>
        <v/>
      </c>
    </row>
    <row r="57" ht="16" customHeight="1" s="314">
      <c r="A57" s="35" t="inlineStr">
        <is>
          <t>for 1pc AK90+ AK90 Auto Key Programmer for EWS Version V3.19 Key Maker for Programming Tool</t>
        </is>
      </c>
      <c r="B57" s="35" t="inlineStr">
        <is>
          <t>B0F9KG8N2Z</t>
        </is>
      </c>
      <c r="C57" s="35" t="inlineStr">
        <is>
          <t>Key</t>
        </is>
      </c>
      <c r="D57" s="359" t="n">
        <v>39.00357142857143</v>
      </c>
      <c r="E57" s="66" t="n">
        <v>4835.513076923076</v>
      </c>
      <c r="F57" s="67" t="n">
        <v>546.05</v>
      </c>
      <c r="G57" s="68" t="n">
        <v>33</v>
      </c>
      <c r="H57" s="68" t="n">
        <v>14</v>
      </c>
      <c r="I57" s="68" t="n">
        <v>1</v>
      </c>
      <c r="J57" s="69" t="n">
        <v>5</v>
      </c>
      <c r="K57" s="69" t="inlineStr">
        <is>
          <t>https://amazon.com/dp/B0F9KG8N2Z</t>
        </is>
      </c>
      <c r="L57" s="114">
        <f>HYPERLINK(Table2927[[#This Row],[Column1]])</f>
        <v/>
      </c>
    </row>
    <row r="58" ht="16" customHeight="1" s="314">
      <c r="A58" s="35" t="inlineStr">
        <is>
          <t>for 1PC MPPS V18 EDC15 EDC16 EDC17 Multi-Language with Breakout Tricore Cable Tool</t>
        </is>
      </c>
      <c r="B58" s="35" t="inlineStr">
        <is>
          <t>B0F9Y5TRWS</t>
        </is>
      </c>
      <c r="C58" s="35" t="inlineStr">
        <is>
          <t>Cable/Adapter</t>
        </is>
      </c>
      <c r="D58" s="359" t="n">
        <v>38.80416666666667</v>
      </c>
      <c r="E58" s="66" t="n">
        <v>5623.619230769229</v>
      </c>
      <c r="F58" s="67" t="n">
        <v>465.65</v>
      </c>
      <c r="G58" s="68" t="n">
        <v>12</v>
      </c>
      <c r="H58" s="68" t="n">
        <v>12</v>
      </c>
      <c r="I58" s="68" t="n"/>
      <c r="J58" s="69" t="n"/>
      <c r="K58" s="69" t="inlineStr">
        <is>
          <t>https://amazon.com/dp/B0F9Y5TRWS</t>
        </is>
      </c>
      <c r="L58" s="114">
        <f>HYPERLINK(Table2927[[#This Row],[Column1]])</f>
        <v/>
      </c>
    </row>
    <row r="59" ht="16" customHeight="1" s="314">
      <c r="A59" s="35" t="inlineStr">
        <is>
          <t>FOXWELL NT680 Pro OBD2 Scanner - Diagnostic Scan Tool, Full System Car Scanner - 19 Reset Service Code Reader - Automotive Professional Scanner with Oil Light, EPB/TPS Reset</t>
        </is>
      </c>
      <c r="B59" s="35" t="inlineStr">
        <is>
          <t>B0C46Z3Q91</t>
        </is>
      </c>
      <c r="C59" s="35" t="inlineStr">
        <is>
          <t>Handheld</t>
        </is>
      </c>
      <c r="D59" s="359" t="n">
        <v>220.015</v>
      </c>
      <c r="E59" s="66" t="n">
        <v>14803.86</v>
      </c>
      <c r="F59" s="67" t="n">
        <v>440.03</v>
      </c>
      <c r="G59" s="68" t="n">
        <v>53</v>
      </c>
      <c r="H59" s="68" t="n">
        <v>2</v>
      </c>
      <c r="I59" s="68" t="n">
        <v>8</v>
      </c>
      <c r="J59" s="69" t="n">
        <v>3.8</v>
      </c>
      <c r="K59" s="69" t="inlineStr">
        <is>
          <t>https://amazon.com/dp/B0C46Z3Q91</t>
        </is>
      </c>
      <c r="L59" s="114">
        <f>HYPERLINK(Table2927[[#This Row],[Column1]])</f>
        <v/>
      </c>
    </row>
    <row r="60" ht="16" customHeight="1" s="314">
      <c r="A60" s="35" t="inlineStr">
        <is>
          <t>MUT-Ⅲ Scanner Tool for Mitsubishi obd2 Excavators Heavy Machinery Diagnostic Tool (with Engine Scope Software)</t>
        </is>
      </c>
      <c r="B60" s="35" t="inlineStr">
        <is>
          <t>B0CLLQGS3Y</t>
        </is>
      </c>
      <c r="C60" s="35" t="inlineStr">
        <is>
          <t>VCI</t>
        </is>
      </c>
      <c r="D60" s="359" t="n">
        <v>424.6</v>
      </c>
      <c r="E60" s="66" t="n">
        <v>1714.02</v>
      </c>
      <c r="F60" s="67" t="n">
        <v>424.6</v>
      </c>
      <c r="G60" s="68" t="n">
        <v>3</v>
      </c>
      <c r="H60" s="68" t="n">
        <v>1</v>
      </c>
      <c r="I60" s="68" t="n"/>
      <c r="J60" s="69" t="n"/>
      <c r="K60" s="69" t="inlineStr">
        <is>
          <t>https://amazon.com/dp/B0CLLQGS3Y</t>
        </is>
      </c>
      <c r="L60" s="114">
        <f>HYPERLINK(Table2927[[#This Row],[Column1]])</f>
        <v/>
      </c>
    </row>
    <row r="61" ht="16" customHeight="1" s="314">
      <c r="A61" s="35" t="inlineStr">
        <is>
          <t>478-0235 538-5051 317-7485 ET4 Communication Adapter 3 2019C 2023A for Caterpillar cat Adapter 3 Heavy Duty Truck Diagnostic Tool (with Laptop)</t>
        </is>
      </c>
      <c r="B61" s="35" t="inlineStr">
        <is>
          <t>B0CJTX3M2Q</t>
        </is>
      </c>
      <c r="C61" s="35" t="inlineStr">
        <is>
          <t>VCI</t>
        </is>
      </c>
      <c r="D61" s="359" t="n">
        <v>415.63</v>
      </c>
      <c r="E61" s="66" t="n">
        <v>4500.22</v>
      </c>
      <c r="F61" s="67" t="n">
        <v>415.63</v>
      </c>
      <c r="G61" s="68" t="n">
        <v>7</v>
      </c>
      <c r="H61" s="68" t="n">
        <v>1</v>
      </c>
      <c r="I61" s="68" t="n"/>
      <c r="J61" s="69" t="n"/>
      <c r="K61" s="69" t="inlineStr">
        <is>
          <t>https://amazon.com/dp/B0CJTX3M2Q</t>
        </is>
      </c>
      <c r="L61" s="114">
        <f>HYPERLINK(Table2927[[#This Row],[Column1]])</f>
        <v/>
      </c>
    </row>
    <row r="62" ht="16" customHeight="1" s="314">
      <c r="A62" s="35" t="inlineStr">
        <is>
          <t>MUT-Ⅲ Scanner Tool for Mitsubishi obd2 Excavators Heavy Machinery Diagnostic Tool (Only Tool no Software)</t>
        </is>
      </c>
      <c r="B62" s="35" t="inlineStr">
        <is>
          <t>B0CLLNLZR5</t>
        </is>
      </c>
      <c r="C62" s="35" t="inlineStr">
        <is>
          <t>VCI</t>
        </is>
      </c>
      <c r="D62" s="359" t="n">
        <v>412.47</v>
      </c>
      <c r="E62" s="66" t="n">
        <v>2223.88</v>
      </c>
      <c r="F62" s="67" t="n">
        <v>412.47</v>
      </c>
      <c r="G62" s="68" t="n">
        <v>4</v>
      </c>
      <c r="H62" s="68" t="n">
        <v>1</v>
      </c>
      <c r="I62" s="68" t="n"/>
      <c r="J62" s="69" t="n"/>
      <c r="K62" s="69" t="inlineStr">
        <is>
          <t>https://amazon.com/dp/B0CLLNLZR5</t>
        </is>
      </c>
      <c r="L62" s="114">
        <f>HYPERLINK(Table2927[[#This Row],[Column1]])</f>
        <v/>
      </c>
    </row>
    <row r="63" ht="16" customHeight="1" s="314">
      <c r="A63" s="35" t="inlineStr">
        <is>
          <t>Universal Diagnostic Tool for 124032 Nexiq USB Link 2, Used for Diagnostic Scanning of Diesel Heavy-Duty Trucks and Excavators,Scanner with Bluetooth and USB Interface Adapter</t>
        </is>
      </c>
      <c r="B63" s="35" t="inlineStr">
        <is>
          <t>B0FS1NCT24</t>
        </is>
      </c>
      <c r="C63" s="35" t="inlineStr">
        <is>
          <t>VCI</t>
        </is>
      </c>
      <c r="D63" s="359" t="n">
        <v>199.31</v>
      </c>
      <c r="E63" s="66" t="n">
        <v>5073.016153846153</v>
      </c>
      <c r="F63" s="67" t="n">
        <v>398.62</v>
      </c>
      <c r="G63" s="68" t="n">
        <v>5</v>
      </c>
      <c r="H63" s="68" t="n">
        <v>2</v>
      </c>
      <c r="I63" s="68" t="n"/>
      <c r="J63" s="69" t="n"/>
      <c r="K63" s="69" t="inlineStr">
        <is>
          <t>https://amazon.com/dp/B0FS1NCT24</t>
        </is>
      </c>
      <c r="L63" s="114">
        <f>HYPERLINK(Table2927[[#This Row],[Column1]])</f>
        <v/>
      </c>
    </row>
    <row r="64" ht="16" customHeight="1" s="314">
      <c r="A64" s="35" t="inlineStr">
        <is>
          <t>V519 OBD2 Scanner, Universal Check Engine Light Code Reader, Professional Diagnostic Scan Tool with Full OBDII Functions, Real-Time Data Stream, Erase Fault Codes for All Post-1996 Vehicles</t>
        </is>
      </c>
      <c r="B64" s="35" t="inlineStr">
        <is>
          <t>B0GQWWD67M</t>
        </is>
      </c>
      <c r="C64" s="35" t="inlineStr">
        <is>
          <t>Handheld</t>
        </is>
      </c>
      <c r="D64" s="359" t="n">
        <v>26.84384615384615</v>
      </c>
      <c r="E64" s="66" t="n">
        <v>4190.917692307694</v>
      </c>
      <c r="F64" s="67" t="n">
        <v>348.97</v>
      </c>
      <c r="G64" s="68" t="n">
        <v>22</v>
      </c>
      <c r="H64" s="68" t="n">
        <v>13</v>
      </c>
      <c r="I64" s="68" t="n"/>
      <c r="J64" s="69" t="n"/>
      <c r="K64" s="69" t="inlineStr">
        <is>
          <t>https://amazon.com/dp/B0GQWWD67M</t>
        </is>
      </c>
      <c r="L64" s="114">
        <f>HYPERLINK(Table2927[[#This Row],[Column1]])</f>
        <v/>
      </c>
    </row>
    <row r="65" ht="16" customHeight="1" s="314">
      <c r="A65" s="35" t="inlineStr">
        <is>
          <t>OBD II Port Lock – OBD2 Connector Security Lock to Prevent Unauthorized Access to Vehicle ECU, Carbon Fiber Construction, US Patented, Ships in 24 Hours</t>
        </is>
      </c>
      <c r="B65" s="35" t="inlineStr">
        <is>
          <t>B0BTW92ZPS</t>
        </is>
      </c>
      <c r="C65" s="35" t="inlineStr">
        <is>
          <t>Other</t>
        </is>
      </c>
      <c r="D65" s="359" t="n">
        <v>35.64888888888888</v>
      </c>
      <c r="E65" s="66" t="n">
        <v>8501.49</v>
      </c>
      <c r="F65" s="67" t="n">
        <v>320.84</v>
      </c>
      <c r="G65" s="68" t="n">
        <v>246</v>
      </c>
      <c r="H65" s="68" t="n">
        <v>9</v>
      </c>
      <c r="I65" s="68" t="n">
        <v>259</v>
      </c>
      <c r="J65" s="69" t="n">
        <v>4</v>
      </c>
      <c r="K65" s="69" t="inlineStr">
        <is>
          <t>https://amazon.com/dp/B0BTW92ZPS</t>
        </is>
      </c>
      <c r="L65" s="114">
        <f>HYPERLINK(Table2927[[#This Row],[Column1]])</f>
        <v/>
      </c>
    </row>
    <row r="66" ht="16" customHeight="1" s="314">
      <c r="A66" s="35" t="inlineStr">
        <is>
          <t>for Hitachi Diagnostic Scanner Dr ZX Excavator Truck with PDA EX&amp;ZX Construction Mining Equipment Diagnostic Tool</t>
        </is>
      </c>
      <c r="B66" s="35" t="inlineStr">
        <is>
          <t>B0CJ6JLTBY</t>
        </is>
      </c>
      <c r="C66" s="35" t="inlineStr">
        <is>
          <t>VCI</t>
        </is>
      </c>
      <c r="D66" s="359" t="n">
        <v>155.645</v>
      </c>
      <c r="E66" s="66" t="n">
        <v>3086.506923076922</v>
      </c>
      <c r="F66" s="67" t="n">
        <v>311.29</v>
      </c>
      <c r="G66" s="68" t="n">
        <v>4</v>
      </c>
      <c r="H66" s="68" t="n">
        <v>2</v>
      </c>
      <c r="I66" s="68" t="n"/>
      <c r="J66" s="69" t="n"/>
      <c r="K66" s="69" t="inlineStr">
        <is>
          <t>https://amazon.com/dp/B0CJ6JLTBY</t>
        </is>
      </c>
      <c r="L66" s="114">
        <f>HYPERLINK(Table2927[[#This Row],[Column1]])</f>
        <v/>
      </c>
    </row>
    <row r="67" ht="16" customHeight="1" s="314">
      <c r="A67" s="35" t="inlineStr">
        <is>
          <t>FOXWELL i70 OE-Level All System Diagnostic Scanner - 24+ Service Reset and Clear - ABS Bleeding, EPB, SAS Calibration, Battery Replacement, TPMS, Oil Reset, Engine, Transmission, EPS and More</t>
        </is>
      </c>
      <c r="B67" s="35" t="inlineStr">
        <is>
          <t>B0C46S21YS</t>
        </is>
      </c>
      <c r="C67" s="35" t="inlineStr">
        <is>
          <t>Tablet</t>
        </is>
      </c>
      <c r="D67" s="359" t="n">
        <v>300.45</v>
      </c>
      <c r="E67" s="66" t="n">
        <v>1948.65</v>
      </c>
      <c r="F67" s="67" t="n">
        <v>300.45</v>
      </c>
      <c r="G67" s="68" t="n">
        <v>7</v>
      </c>
      <c r="H67" s="68" t="n">
        <v>1</v>
      </c>
      <c r="I67" s="68" t="n">
        <v>1</v>
      </c>
      <c r="J67" s="69" t="n">
        <v>2</v>
      </c>
      <c r="K67" s="69" t="inlineStr">
        <is>
          <t>https://amazon.com/dp/B0C46S21YS</t>
        </is>
      </c>
      <c r="L67" s="114">
        <f>HYPERLINK(Table2927[[#This Row],[Column1]])</f>
        <v/>
      </c>
    </row>
    <row r="68" ht="16" customHeight="1" s="314">
      <c r="A68" s="35" t="inlineStr">
        <is>
          <t>Radar OBD Hardwire Kit for Dash Cam, Millimeter-Wave Motion Detection, Plug &amp; Play OBD Power Cable with Parking Mode, Low Voltage Protection</t>
        </is>
      </c>
      <c r="B68" s="35" t="inlineStr">
        <is>
          <t>B0GBW4F7BL</t>
        </is>
      </c>
      <c r="C68" s="35" t="inlineStr">
        <is>
          <t>Cable/Adapter</t>
        </is>
      </c>
      <c r="D68" s="359" t="n">
        <v>15.21157894736842</v>
      </c>
      <c r="E68" s="66" t="n">
        <v>3253.634615384616</v>
      </c>
      <c r="F68" s="67" t="n">
        <v>289.02</v>
      </c>
      <c r="G68" s="68" t="n">
        <v>21</v>
      </c>
      <c r="H68" s="68" t="n">
        <v>19</v>
      </c>
      <c r="I68" s="68" t="n">
        <v>2</v>
      </c>
      <c r="J68" s="69" t="n">
        <v>3</v>
      </c>
      <c r="K68" s="69" t="inlineStr">
        <is>
          <t>https://amazon.com/dp/B0GBW4F7BL</t>
        </is>
      </c>
      <c r="L68" s="114">
        <f>HYPERLINK(Table2927[[#This Row],[Column1]])</f>
        <v/>
      </c>
    </row>
    <row r="69" ht="16" customHeight="1" s="314">
      <c r="A69" s="35" t="inlineStr">
        <is>
          <t>for 3165033 Inline 6 Data Link Adapter Insite 8.7 Heavy Duty Diagnostic Tool Scanner Interface CAN Flasher Remapper</t>
        </is>
      </c>
      <c r="B69" s="35" t="inlineStr">
        <is>
          <t>B0CJ6DTJHS</t>
        </is>
      </c>
      <c r="C69" s="35" t="inlineStr">
        <is>
          <t>VCI</t>
        </is>
      </c>
      <c r="D69" s="359" t="n">
        <v>245.81</v>
      </c>
      <c r="E69" s="66" t="n">
        <v>1331.341538461538</v>
      </c>
      <c r="F69" s="67" t="n">
        <v>245.81</v>
      </c>
      <c r="G69" s="68" t="n">
        <v>5</v>
      </c>
      <c r="H69" s="68" t="n">
        <v>1</v>
      </c>
      <c r="I69" s="68" t="n"/>
      <c r="J69" s="69" t="n"/>
      <c r="K69" s="69" t="inlineStr">
        <is>
          <t>https://amazon.com/dp/B0CJ6DTJHS</t>
        </is>
      </c>
      <c r="L69" s="114">
        <f>HYPERLINK(Table2927[[#This Row],[Column1]])</f>
        <v/>
      </c>
    </row>
    <row r="70" ht="16" customHeight="1" s="314">
      <c r="A70" s="35" t="inlineStr">
        <is>
          <t>Generic 9-Pin Deutsch Caterpillar T Adapter for NEXIQ USB Link 2 &amp; 3</t>
        </is>
      </c>
      <c r="B70" s="35" t="inlineStr">
        <is>
          <t>B0CRVY7YMP</t>
        </is>
      </c>
      <c r="C70" s="35" t="inlineStr">
        <is>
          <t>Cable/Adapter</t>
        </is>
      </c>
      <c r="D70" s="359" t="n">
        <v>234.14</v>
      </c>
      <c r="E70" s="66" t="n">
        <v>2809.809999999999</v>
      </c>
      <c r="F70" s="67" t="n">
        <v>234.14</v>
      </c>
      <c r="G70" s="68" t="n">
        <v>14</v>
      </c>
      <c r="H70" s="68" t="n">
        <v>1</v>
      </c>
      <c r="I70" s="68" t="n"/>
      <c r="J70" s="69" t="n"/>
      <c r="K70" s="69" t="inlineStr">
        <is>
          <t>https://amazon.com/dp/B0CRVY7YMP</t>
        </is>
      </c>
      <c r="L70" s="114">
        <f>HYPERLINK(Table2927[[#This Row],[Column1]])</f>
        <v/>
      </c>
    </row>
    <row r="71" ht="16" customHeight="1" s="314">
      <c r="A71" s="35" t="inlineStr">
        <is>
          <t>ET3 317-7485 Communication Adapter Diagnostic Tool is Suitable for CAT Trucks, excavators and Engines, Equipped with 2023A, 2021B, 2019C Type 6+9+14 pin Cables (ET3 with Software)</t>
        </is>
      </c>
      <c r="B71" s="35" t="inlineStr">
        <is>
          <t>B0FH9J4N6W</t>
        </is>
      </c>
      <c r="C71" s="35" t="inlineStr">
        <is>
          <t>VCI</t>
        </is>
      </c>
      <c r="D71" s="359" t="n">
        <v>214.19</v>
      </c>
      <c r="E71" s="66" t="n">
        <v>1617.459230769231</v>
      </c>
      <c r="F71" s="67" t="n">
        <v>214.19</v>
      </c>
      <c r="G71" s="68" t="n">
        <v>3</v>
      </c>
      <c r="H71" s="68" t="n">
        <v>1</v>
      </c>
      <c r="I71" s="68" t="n"/>
      <c r="J71" s="69" t="n"/>
      <c r="K71" s="69" t="inlineStr">
        <is>
          <t>https://amazon.com/dp/B0FH9J4N6W</t>
        </is>
      </c>
      <c r="L71" s="114">
        <f>HYPERLINK(Table2927[[#This Row],[Column1]])</f>
        <v/>
      </c>
    </row>
    <row r="72" ht="16" customHeight="1" s="314">
      <c r="A72" s="35" t="inlineStr">
        <is>
          <t>Candi Interface Module Adapter Diagnostic Tool OBD for GM Tech 2 Tech2</t>
        </is>
      </c>
      <c r="B72" s="35" t="inlineStr">
        <is>
          <t>B0D6YV36GQ</t>
        </is>
      </c>
      <c r="C72" s="35" t="inlineStr">
        <is>
          <t>Cable/Adapter</t>
        </is>
      </c>
      <c r="D72" s="359" t="n">
        <v>70.54000000000001</v>
      </c>
      <c r="E72" s="66" t="n">
        <v>2112.37</v>
      </c>
      <c r="F72" s="67" t="n">
        <v>211.62</v>
      </c>
      <c r="G72" s="68" t="n">
        <v>24</v>
      </c>
      <c r="H72" s="68" t="n">
        <v>3</v>
      </c>
      <c r="I72" s="68" t="n">
        <v>3</v>
      </c>
      <c r="J72" s="69" t="n">
        <v>3.3</v>
      </c>
      <c r="K72" s="69" t="inlineStr">
        <is>
          <t>https://amazon.com/dp/B0D6YV36GQ</t>
        </is>
      </c>
      <c r="L72" s="114">
        <f>HYPERLINK(Table2927[[#This Row],[Column1]])</f>
        <v/>
      </c>
    </row>
    <row r="73" ht="16" customHeight="1" s="314">
      <c r="A73" s="35" t="inlineStr">
        <is>
          <t>for Cummins INLINE6 3165033 Data Link Adapter Insite 8.7 Heavy Duty Diagnostic Tool Scanner Interface CAN Flasher Remapper</t>
        </is>
      </c>
      <c r="B73" s="35" t="inlineStr">
        <is>
          <t>B0CJV71C7C</t>
        </is>
      </c>
      <c r="C73" s="35" t="inlineStr">
        <is>
          <t>VCI</t>
        </is>
      </c>
      <c r="D73" s="359" t="n">
        <v>188.83</v>
      </c>
      <c r="E73" s="66" t="n">
        <v>958.25</v>
      </c>
      <c r="F73" s="67" t="n">
        <v>188.83</v>
      </c>
      <c r="G73" s="68" t="n">
        <v>5</v>
      </c>
      <c r="H73" s="68" t="n">
        <v>1</v>
      </c>
      <c r="I73" s="68" t="n"/>
      <c r="J73" s="69" t="n"/>
      <c r="K73" s="69" t="inlineStr">
        <is>
          <t>https://amazon.com/dp/B0CJV71C7C</t>
        </is>
      </c>
      <c r="L73" s="114">
        <f>HYPERLINK(Table2927[[#This Row],[Column1]])</f>
        <v/>
      </c>
    </row>
    <row r="74" ht="16" customHeight="1" s="314">
      <c r="A74" s="35" t="inlineStr">
        <is>
          <t>Generic NEXIQ 9-Pin Deutsch Adapter - Locking - for USB-Link 2 and USB-Link 3</t>
        </is>
      </c>
      <c r="B74" s="35" t="inlineStr">
        <is>
          <t>B0CRVVLMJQ</t>
        </is>
      </c>
      <c r="C74" s="35" t="inlineStr">
        <is>
          <t>Cable/Adapter</t>
        </is>
      </c>
      <c r="D74" s="359" t="n">
        <v>187.94</v>
      </c>
      <c r="E74" s="66" t="n">
        <v>1294.463076923077</v>
      </c>
      <c r="F74" s="67" t="n">
        <v>187.94</v>
      </c>
      <c r="G74" s="68" t="n">
        <v>6</v>
      </c>
      <c r="H74" s="68" t="n">
        <v>1</v>
      </c>
      <c r="I74" s="68" t="n"/>
      <c r="J74" s="69" t="n"/>
      <c r="K74" s="69" t="inlineStr">
        <is>
          <t>https://amazon.com/dp/B0CRVVLMJQ</t>
        </is>
      </c>
      <c r="L74" s="114">
        <f>HYPERLINK(Table2927[[#This Row],[Column1]])</f>
        <v/>
      </c>
    </row>
    <row r="75" ht="16" customHeight="1" s="314">
      <c r="A75" s="35" t="inlineStr">
        <is>
          <t>FOXWELL NT530 for Honda - All Systems, All Maintenance Service - Bidirectional Diagnostic Scan Tool OBD2 Scanner Automotive Code Reader ABS Bleed SRS Airbag SAS TPMS TPS EPB Oil Reset CKP</t>
        </is>
      </c>
      <c r="B75" s="35" t="inlineStr">
        <is>
          <t>B0BYT6PBLB</t>
        </is>
      </c>
      <c r="C75" s="35" t="inlineStr">
        <is>
          <t>Handheld</t>
        </is>
      </c>
      <c r="D75" s="359" t="n">
        <v>173.43</v>
      </c>
      <c r="E75" s="66" t="n">
        <v>173.43</v>
      </c>
      <c r="F75" s="67" t="n">
        <v>173.43</v>
      </c>
      <c r="G75" s="68" t="n">
        <v>1</v>
      </c>
      <c r="H75" s="68" t="n">
        <v>1</v>
      </c>
      <c r="I75" s="68" t="n">
        <v>1</v>
      </c>
      <c r="J75" s="69" t="n">
        <v>2</v>
      </c>
      <c r="K75" s="69" t="inlineStr">
        <is>
          <t>https://amazon.com/dp/B0BYT6PBLB</t>
        </is>
      </c>
      <c r="L75" s="114">
        <f>HYPERLINK(Table2927[[#This Row],[Column1]])</f>
        <v/>
      </c>
    </row>
    <row r="76" ht="16" customHeight="1" s="314">
      <c r="A76" s="35" t="inlineStr">
        <is>
          <t>OBD2 Scanner Car Code Reader with Voltage Test - Read &amp; Erase Check Engine Light Fault Codes, Live Data/Freeze Frame, Plug-and-Play CAN Diagnostic Tool for All Cars 1996 &amp; Newer</t>
        </is>
      </c>
      <c r="B76" s="35" t="inlineStr">
        <is>
          <t>B0FFSXN8WR</t>
        </is>
      </c>
      <c r="C76" s="35" t="inlineStr">
        <is>
          <t>Handheld</t>
        </is>
      </c>
      <c r="D76" s="359" t="n">
        <v>14.59909090909091</v>
      </c>
      <c r="E76" s="66" t="n">
        <v>2297.777692307693</v>
      </c>
      <c r="F76" s="67" t="n">
        <v>160.59</v>
      </c>
      <c r="G76" s="68" t="n">
        <v>105</v>
      </c>
      <c r="H76" s="68" t="n">
        <v>11</v>
      </c>
      <c r="I76" s="68" t="n">
        <v>29</v>
      </c>
      <c r="J76" s="69" t="n">
        <v>4.8</v>
      </c>
      <c r="K76" s="69" t="inlineStr">
        <is>
          <t>https://amazon.com/dp/B0FFSXN8WR</t>
        </is>
      </c>
      <c r="L76" s="114">
        <f>HYPERLINK(Table2927[[#This Row],[Column1]])</f>
        <v/>
      </c>
    </row>
    <row r="77" ht="16" customHeight="1" s="314">
      <c r="A77" s="35" t="inlineStr">
        <is>
          <t>AK90+ Key Programmer for EWS2/3/4 Code Reader V3.19 Version AK90 Maker Programming Tool</t>
        </is>
      </c>
      <c r="B77" s="35" t="inlineStr">
        <is>
          <t>B0FLLG3M7D</t>
        </is>
      </c>
      <c r="C77" s="35" t="inlineStr">
        <is>
          <t>Handheld</t>
        </is>
      </c>
      <c r="D77" s="359" t="n">
        <v>50.87666666666667</v>
      </c>
      <c r="E77" s="66" t="n">
        <v>1333.006153846154</v>
      </c>
      <c r="F77" s="67" t="n">
        <v>152.63</v>
      </c>
      <c r="G77" s="68" t="n">
        <v>11</v>
      </c>
      <c r="H77" s="68" t="n">
        <v>3</v>
      </c>
      <c r="I77" s="68" t="n">
        <v>1</v>
      </c>
      <c r="J77" s="69" t="n">
        <v>1</v>
      </c>
      <c r="K77" s="69" t="inlineStr">
        <is>
          <t>https://amazon.com/dp/B0FLLG3M7D</t>
        </is>
      </c>
      <c r="L77" s="114">
        <f>HYPERLINK(Table2927[[#This Row],[Column1]])</f>
        <v/>
      </c>
    </row>
    <row r="78" ht="16" customHeight="1" s="314">
      <c r="A78" s="35" t="inlineStr">
        <is>
          <t>OBD2 Diagnostic Tool, Compliant with All OBDII Standards, Reads/Clears Codes, Freezes Views, wit/IM Ready, Suitable for Automotive and Truck Fault Diagnosis Instruments for All Vehicles Since 1996</t>
        </is>
      </c>
      <c r="B78" s="35" t="inlineStr">
        <is>
          <t>B0FDWQSF4K</t>
        </is>
      </c>
      <c r="C78" s="35" t="inlineStr">
        <is>
          <t>Handheld</t>
        </is>
      </c>
      <c r="D78" s="359" t="n">
        <v>28.206</v>
      </c>
      <c r="E78" s="66" t="n">
        <v>705.5146153846155</v>
      </c>
      <c r="F78" s="67" t="n">
        <v>141.03</v>
      </c>
      <c r="G78" s="68" t="n">
        <v>11</v>
      </c>
      <c r="H78" s="68" t="n">
        <v>5</v>
      </c>
      <c r="I78" s="68" t="n"/>
      <c r="J78" s="69" t="n"/>
      <c r="K78" s="69" t="inlineStr">
        <is>
          <t>https://amazon.com/dp/B0FDWQSF4K</t>
        </is>
      </c>
      <c r="L78" s="114">
        <f>HYPERLINK(Table2927[[#This Row],[Column1]])</f>
        <v/>
      </c>
    </row>
    <row r="79" ht="16" customHeight="1" s="314">
      <c r="A79" s="35" t="inlineStr">
        <is>
          <t>Generic for Mpps V22 OBD Read Writer ECU Data Tuning OBD Read and Write Data Power Upgrade, 6924023140328</t>
        </is>
      </c>
      <c r="B79" s="35" t="inlineStr">
        <is>
          <t>B0D24Y71J3</t>
        </is>
      </c>
      <c r="C79" s="35" t="inlineStr">
        <is>
          <t>VCI</t>
        </is>
      </c>
      <c r="D79" s="359" t="n">
        <v>132.03</v>
      </c>
      <c r="E79" s="66" t="n">
        <v>1594.516153846154</v>
      </c>
      <c r="F79" s="67" t="n">
        <v>132.03</v>
      </c>
      <c r="G79" s="68" t="n">
        <v>1</v>
      </c>
      <c r="H79" s="68" t="n">
        <v>1</v>
      </c>
      <c r="I79" s="68" t="n"/>
      <c r="J79" s="69" t="n"/>
      <c r="K79" s="69" t="inlineStr">
        <is>
          <t>https://amazon.com/dp/B0D24Y71J3</t>
        </is>
      </c>
      <c r="L79" s="114">
        <f>HYPERLINK(Table2927[[#This Row],[Column1]])</f>
        <v/>
      </c>
    </row>
    <row r="80" ht="16" customHeight="1" s="314">
      <c r="A80" s="35" t="inlineStr">
        <is>
          <t>OBD2 Adapter Cable for Euro 5 Motorcycles, 6 Pin to 16 Pin Diagnostic Connector Compatible with Guzzi, Kawaskii, Suzuki, Yamaha, Piaggio, Vespa &amp; Honda, Works with OBD2 Code Readers</t>
        </is>
      </c>
      <c r="B80" s="35" t="inlineStr">
        <is>
          <t>B0FR44M4BP</t>
        </is>
      </c>
      <c r="C80" s="35" t="inlineStr">
        <is>
          <t>Cable/Adapter</t>
        </is>
      </c>
      <c r="D80" s="359" t="n">
        <v>12.979</v>
      </c>
      <c r="E80" s="66" t="n">
        <v>1567.463846153846</v>
      </c>
      <c r="F80" s="67" t="n">
        <v>129.79</v>
      </c>
      <c r="G80" s="68" t="n">
        <v>10</v>
      </c>
      <c r="H80" s="68" t="n">
        <v>10</v>
      </c>
      <c r="I80" s="68" t="n"/>
      <c r="J80" s="69" t="n"/>
      <c r="K80" s="69" t="inlineStr">
        <is>
          <t>https://amazon.com/dp/B0FR44M4BP</t>
        </is>
      </c>
      <c r="L80" s="114">
        <f>HYPERLINK(Table2927[[#This Row],[Column1]])</f>
        <v/>
      </c>
    </row>
    <row r="81" ht="16" customHeight="1" s="314">
      <c r="A81" s="35" t="inlineStr">
        <is>
          <t>V519 OBD II Car Scanner, Diagnostic Error Finder, Fault Code Detection and Real-Time Data Stream, Compatible with All OBD II Protocol Vehicles from 1996+</t>
        </is>
      </c>
      <c r="B81" s="35" t="inlineStr">
        <is>
          <t>B0G4QQY3N8</t>
        </is>
      </c>
      <c r="C81" s="35" t="inlineStr">
        <is>
          <t>Handheld</t>
        </is>
      </c>
      <c r="D81" s="359" t="n">
        <v>42.97666666666667</v>
      </c>
      <c r="E81" s="66" t="n">
        <v>1402.030769230769</v>
      </c>
      <c r="F81" s="67" t="n">
        <v>128.93</v>
      </c>
      <c r="G81" s="68" t="n">
        <v>8</v>
      </c>
      <c r="H81" s="68" t="n">
        <v>3</v>
      </c>
      <c r="I81" s="68" t="n"/>
      <c r="J81" s="69" t="n"/>
      <c r="K81" s="69" t="inlineStr">
        <is>
          <t>https://amazon.com/dp/B0G4QQY3N8</t>
        </is>
      </c>
      <c r="L81" s="114">
        <f>HYPERLINK(Table2927[[#This Row],[Column1]])</f>
        <v/>
      </c>
    </row>
    <row r="82" ht="16" customHeight="1" s="314">
      <c r="A82" s="35" t="inlineStr">
        <is>
          <t>for 1PC Carprog V13.77 10.93/8.21 Auto Key Programmer No Keygen Car Prog V13.77</t>
        </is>
      </c>
      <c r="B82" s="35" t="inlineStr">
        <is>
          <t>B0F9Y691QZ</t>
        </is>
      </c>
      <c r="C82" s="35" t="inlineStr">
        <is>
          <t>Key</t>
        </is>
      </c>
      <c r="D82" s="359" t="n">
        <v>111.75</v>
      </c>
      <c r="E82" s="66" t="n">
        <v>1513.616923076923</v>
      </c>
      <c r="F82" s="67" t="n">
        <v>111.75</v>
      </c>
      <c r="G82" s="68" t="n">
        <v>7</v>
      </c>
      <c r="H82" s="68" t="n">
        <v>1</v>
      </c>
      <c r="I82" s="68" t="n"/>
      <c r="J82" s="69" t="n"/>
      <c r="K82" s="69" t="inlineStr">
        <is>
          <t>https://amazon.com/dp/B0F9Y691QZ</t>
        </is>
      </c>
      <c r="L82" s="114">
        <f>HYPERLINK(Table2927[[#This Row],[Column1]])</f>
        <v/>
      </c>
    </row>
    <row r="83" ht="16" customHeight="1" s="314">
      <c r="A83" s="35" t="inlineStr">
        <is>
          <t>E-Car Connection 20-Pin to 16-Pin OBD2 OBD II Diagnostic Adapter Connector Cable for KIA</t>
        </is>
      </c>
      <c r="B83" s="35" t="inlineStr">
        <is>
          <t>B0DHZ9QFV2</t>
        </is>
      </c>
      <c r="C83" s="35" t="inlineStr">
        <is>
          <t>Cable/Adapter</t>
        </is>
      </c>
      <c r="D83" s="359" t="n">
        <v>12.68</v>
      </c>
      <c r="E83" s="66" t="n">
        <v>1225.083076923077</v>
      </c>
      <c r="F83" s="67" t="n">
        <v>101.44</v>
      </c>
      <c r="G83" s="68" t="n">
        <v>8</v>
      </c>
      <c r="H83" s="68" t="n">
        <v>8</v>
      </c>
      <c r="I83" s="68" t="n">
        <v>1</v>
      </c>
      <c r="J83" s="69" t="n">
        <v>5</v>
      </c>
      <c r="K83" s="69" t="inlineStr">
        <is>
          <t>https://amazon.com/dp/B0DHZ9QFV2</t>
        </is>
      </c>
      <c r="L83" s="114">
        <f>HYPERLINK(Table2927[[#This Row],[Column1]])</f>
        <v/>
      </c>
    </row>
    <row r="84" ht="16" customHeight="1" s="314">
      <c r="A84" s="35" t="inlineStr">
        <is>
          <t>Car Key ECU Test Coil, Car Induction Card,Automatic Ignition Coil Tester for Checking The Lock Ring, Automotive Key Lock Chip Antenna Tester</t>
        </is>
      </c>
      <c r="B84" s="35" t="inlineStr">
        <is>
          <t>B0DK5J237N</t>
        </is>
      </c>
      <c r="C84" s="35" t="inlineStr">
        <is>
          <t>Key</t>
        </is>
      </c>
      <c r="D84" s="359" t="n">
        <v>4.5585</v>
      </c>
      <c r="E84" s="66" t="n">
        <v>1004.93</v>
      </c>
      <c r="F84" s="67" t="n">
        <v>91.17</v>
      </c>
      <c r="G84" s="68" t="n">
        <v>207</v>
      </c>
      <c r="H84" s="68" t="n">
        <v>20</v>
      </c>
      <c r="I84" s="68" t="n">
        <v>10</v>
      </c>
      <c r="J84" s="69" t="n">
        <v>4.4</v>
      </c>
      <c r="K84" s="69" t="inlineStr">
        <is>
          <t>https://amazon.com/dp/B0DK5J237N</t>
        </is>
      </c>
      <c r="L84" s="114">
        <f>HYPERLINK(Table2927[[#This Row],[Column1]])</f>
        <v/>
      </c>
    </row>
    <row r="85" ht="16" customHeight="1" s="314">
      <c r="A85" s="35" t="inlineStr">
        <is>
          <t>Openport 2.0 ECU Flash OBD2 Scanner OPENPORT2.0 OBDII Protocols ECU Chip Tunning Tactrix Open Port 2(Normal Quality)</t>
        </is>
      </c>
      <c r="B85" s="35" t="inlineStr">
        <is>
          <t>B0DXBX7X9N</t>
        </is>
      </c>
      <c r="C85" s="35" t="inlineStr">
        <is>
          <t>Other</t>
        </is>
      </c>
      <c r="D85" s="359" t="n">
        <v>79.01000000000001</v>
      </c>
      <c r="E85" s="66" t="n">
        <v>756.7646153846156</v>
      </c>
      <c r="F85" s="67" t="n">
        <v>79.01000000000001</v>
      </c>
      <c r="G85" s="68" t="n">
        <v>7</v>
      </c>
      <c r="H85" s="68" t="n">
        <v>1</v>
      </c>
      <c r="I85" s="68" t="n">
        <v>1</v>
      </c>
      <c r="J85" s="69" t="n">
        <v>5</v>
      </c>
      <c r="K85" s="69" t="inlineStr">
        <is>
          <t>https://amazon.com/dp/B0DXBX7X9N</t>
        </is>
      </c>
      <c r="L85" s="114">
        <f>HYPERLINK(Table2927[[#This Row],[Column1]])</f>
        <v/>
      </c>
    </row>
    <row r="86" ht="16" customHeight="1" s="314">
      <c r="A86" s="35" t="inlineStr">
        <is>
          <t>OBD2 Scanner Code Reader – Diagnostic Tool for Cars and Trucks, Engine Code Reader &amp; Check Engine Light Scanner, Real-Time Data Display, Plug-and-Play OBDII Code Reader</t>
        </is>
      </c>
      <c r="B86" s="35" t="inlineStr">
        <is>
          <t>B0FZKLFBLK</t>
        </is>
      </c>
      <c r="C86" s="35" t="inlineStr">
        <is>
          <t>Handheld</t>
        </is>
      </c>
      <c r="D86" s="359" t="n">
        <v>72.22</v>
      </c>
      <c r="E86" s="66" t="n">
        <v>830.1169230769233</v>
      </c>
      <c r="F86" s="67" t="n">
        <v>72.22</v>
      </c>
      <c r="G86" s="68" t="n">
        <v>4</v>
      </c>
      <c r="H86" s="68" t="n">
        <v>1</v>
      </c>
      <c r="I86" s="68" t="n">
        <v>1</v>
      </c>
      <c r="J86" s="69" t="n">
        <v>5</v>
      </c>
      <c r="K86" s="69" t="inlineStr">
        <is>
          <t>https://amazon.com/dp/B0FZKLFBLK</t>
        </is>
      </c>
      <c r="L86" s="114">
        <f>HYPERLINK(Table2927[[#This Row],[Column1]])</f>
        <v/>
      </c>
    </row>
    <row r="87" ht="16" customHeight="1" s="314">
      <c r="A87" s="35" t="inlineStr">
        <is>
          <t>Cable for PT30 HOS ELD Logbook, Compliant ECM w/DOT-Electronic Logging Device ForMackVOLVO Square Black Heavy Duty OBDII Cable, Part # PTSSOV15</t>
        </is>
      </c>
      <c r="B87" s="35" t="inlineStr">
        <is>
          <t>B0CFNPH9QS</t>
        </is>
      </c>
      <c r="C87" s="35" t="inlineStr">
        <is>
          <t>Handheld</t>
        </is>
      </c>
      <c r="D87" s="359" t="n">
        <v>23.33333333333333</v>
      </c>
      <c r="E87" s="66" t="n">
        <v>370.2</v>
      </c>
      <c r="F87" s="67" t="n">
        <v>70</v>
      </c>
      <c r="G87" s="68" t="n">
        <v>15</v>
      </c>
      <c r="H87" s="68" t="n">
        <v>3</v>
      </c>
      <c r="I87" s="68" t="n">
        <v>2</v>
      </c>
      <c r="J87" s="69" t="n">
        <v>5</v>
      </c>
      <c r="K87" s="69" t="inlineStr">
        <is>
          <t>https://amazon.com/dp/B0CFNPH9QS</t>
        </is>
      </c>
      <c r="L87" s="114">
        <f>HYPERLINK(Table2927[[#This Row],[Column1]])</f>
        <v/>
      </c>
    </row>
    <row r="88" ht="16" customHeight="1" s="314">
      <c r="A88" s="35" t="inlineStr">
        <is>
          <t>YouEn Tech Hydra Edl V2 for Type-C Device</t>
        </is>
      </c>
      <c r="B88" s="35" t="inlineStr">
        <is>
          <t>B0B6N2D6JX</t>
        </is>
      </c>
      <c r="C88" s="35" t="inlineStr">
        <is>
          <t>Other</t>
        </is>
      </c>
      <c r="D88" s="359" t="n">
        <v>13.938</v>
      </c>
      <c r="E88" s="66" t="n">
        <v>392.9076923076923</v>
      </c>
      <c r="F88" s="67" t="n">
        <v>69.69</v>
      </c>
      <c r="G88" s="68" t="n">
        <v>13</v>
      </c>
      <c r="H88" s="68" t="n">
        <v>5</v>
      </c>
      <c r="I88" s="68" t="n">
        <v>2</v>
      </c>
      <c r="J88" s="69" t="n">
        <v>5</v>
      </c>
      <c r="K88" s="69" t="inlineStr">
        <is>
          <t>https://amazon.com/dp/B0B6N2D6JX</t>
        </is>
      </c>
      <c r="L88" s="114">
        <f>HYPERLINK(Table2927[[#This Row],[Column1]])</f>
        <v/>
      </c>
    </row>
    <row r="89" ht="16" customHeight="1" s="314">
      <c r="A89" s="35" t="inlineStr">
        <is>
          <t>OBD2 Breakout Box with 59 inch Extension Cable, OBDII Protocol Detector for Automotive Diagnostic Tool,Digital Voltage for DLC 16 Pin, CAN Tester Box for Car CAN Bus Module Testing on Bench</t>
        </is>
      </c>
      <c r="B89" s="35" t="inlineStr">
        <is>
          <t>B0CPLRQ4VP</t>
        </is>
      </c>
      <c r="C89" s="35" t="inlineStr">
        <is>
          <t>Handheld</t>
        </is>
      </c>
      <c r="D89" s="359" t="n">
        <v>64.97</v>
      </c>
      <c r="E89" s="66" t="n">
        <v>2938.86</v>
      </c>
      <c r="F89" s="67" t="n">
        <v>64.97</v>
      </c>
      <c r="G89" s="68" t="n">
        <v>45</v>
      </c>
      <c r="H89" s="68" t="n">
        <v>1</v>
      </c>
      <c r="I89" s="68" t="n">
        <v>6</v>
      </c>
      <c r="J89" s="69" t="n">
        <v>4.2</v>
      </c>
      <c r="K89" s="69" t="inlineStr">
        <is>
          <t>https://amazon.com/dp/B0CPLRQ4VP</t>
        </is>
      </c>
      <c r="L89" s="114">
        <f>HYPERLINK(Table2927[[#This Row],[Column1]])</f>
        <v/>
      </c>
    </row>
    <row r="90" ht="45" customHeight="1" s="314">
      <c r="A90" s="35" t="inlineStr">
        <is>
          <t>Car OBD2 Scanner Diagnostic Tool for Suzuki Kizashi 2010 2011 2012 2013 2014 2015 2016 2017, Live Data Modes 6/8 Check Engine Fault Code Reader OBDII V539 40000+ Library</t>
        </is>
      </c>
      <c r="B90" s="35" t="inlineStr">
        <is>
          <t>B0GTNDPJY8</t>
        </is>
      </c>
      <c r="C90" s="35" t="inlineStr">
        <is>
          <t>Handheld</t>
        </is>
      </c>
      <c r="D90" s="359" t="n">
        <v>51.99</v>
      </c>
      <c r="E90" s="66" t="n">
        <v>627.8792307692307</v>
      </c>
      <c r="F90" s="67" t="n">
        <v>51.99</v>
      </c>
      <c r="G90" s="68" t="n">
        <v>1</v>
      </c>
      <c r="H90" s="68" t="n">
        <v>1</v>
      </c>
      <c r="I90" s="68" t="n"/>
      <c r="J90" s="69" t="n"/>
      <c r="K90" s="69" t="inlineStr">
        <is>
          <t>https://amazon.com/dp/B0GTNDPJY8</t>
        </is>
      </c>
      <c r="L90" s="114">
        <f>HYPERLINK(Table2927[[#This Row],[Column1]])</f>
        <v/>
      </c>
    </row>
    <row r="91" ht="16" customHeight="1" s="314">
      <c r="A91" s="35" t="inlineStr">
        <is>
          <t>26 Pin OBD Diagnostic Adapter for Tesla Model 3/Y, Enables Direct Connection to Standard 16-Pin OBDII Code Readers &amp; Scanner Tools</t>
        </is>
      </c>
      <c r="B91" s="35" t="inlineStr">
        <is>
          <t>B0FQVDZT73</t>
        </is>
      </c>
      <c r="C91" s="35" t="inlineStr">
        <is>
          <t>Cable/Adapter</t>
        </is>
      </c>
      <c r="D91" s="359" t="n">
        <v>18.525</v>
      </c>
      <c r="E91" s="66" t="n">
        <v>431.5699999999999</v>
      </c>
      <c r="F91" s="67" t="n">
        <v>37.05</v>
      </c>
      <c r="G91" s="68" t="n">
        <v>6</v>
      </c>
      <c r="H91" s="68" t="n">
        <v>2</v>
      </c>
      <c r="I91" s="68" t="n"/>
      <c r="J91" s="69" t="n"/>
      <c r="K91" s="69" t="inlineStr">
        <is>
          <t>https://amazon.com/dp/B0FQVDZT73</t>
        </is>
      </c>
      <c r="L91" s="114">
        <f>HYPERLINK(Table2927[[#This Row],[Column1]])</f>
        <v/>
      </c>
    </row>
    <row r="92" ht="16" customHeight="1" s="314">
      <c r="A92" s="35" t="inlineStr">
        <is>
          <t>FROYUIO MS309 CAN OBD2 Scanner: Car Diagnostic Tool with Check Engine Light Reset, CAN Code Reader, Multi-Language for All OBD2 Vehicles (SAE J1962, EOBD Compliant) (Red)</t>
        </is>
      </c>
      <c r="B92" s="35" t="inlineStr">
        <is>
          <t>B0DZRH98LB</t>
        </is>
      </c>
      <c r="C92" s="35" t="inlineStr">
        <is>
          <t>Handheld</t>
        </is>
      </c>
      <c r="D92" s="359" t="n">
        <v>15.58</v>
      </c>
      <c r="E92" s="66" t="n">
        <v>446.0615384615385</v>
      </c>
      <c r="F92" s="67" t="n">
        <v>31.16</v>
      </c>
      <c r="G92" s="68" t="n">
        <v>21</v>
      </c>
      <c r="H92" s="68" t="n">
        <v>2</v>
      </c>
      <c r="I92" s="68" t="n">
        <v>4</v>
      </c>
      <c r="J92" s="69" t="n">
        <v>4.6</v>
      </c>
      <c r="K92" s="69" t="inlineStr">
        <is>
          <t>https://amazon.com/dp/B0DZRH98LB</t>
        </is>
      </c>
      <c r="L92" s="114">
        <f>HYPERLINK(Table2927[[#This Row],[Column1]])</f>
        <v/>
      </c>
    </row>
    <row r="93" ht="30" customHeight="1" s="314">
      <c r="A93" s="35" t="inlineStr">
        <is>
          <t>OBD2 Scanner Car Diagnostic Tool with 2.8" Color Display, Read &amp; Clear Check Engine Codes, Live Data, I/M Readiness, O2 Sensor Test, Battery Voltage Check for Most 12V OBDII Vehicles</t>
        </is>
      </c>
      <c r="B93" s="35" t="inlineStr">
        <is>
          <t>B0GCS6NMKW</t>
        </is>
      </c>
      <c r="C93" s="35" t="inlineStr">
        <is>
          <t>Handheld</t>
        </is>
      </c>
      <c r="D93" s="359" t="n">
        <v>29.93</v>
      </c>
      <c r="E93" s="66" t="n">
        <v>1043.734615384615</v>
      </c>
      <c r="F93" s="67" t="n">
        <v>29.93</v>
      </c>
      <c r="G93" s="68" t="n">
        <v>19</v>
      </c>
      <c r="H93" s="68" t="n">
        <v>1</v>
      </c>
      <c r="I93" s="68" t="n"/>
      <c r="J93" s="69" t="n"/>
      <c r="K93" s="69" t="inlineStr">
        <is>
          <t>https://amazon.com/dp/B0GCS6NMKW</t>
        </is>
      </c>
      <c r="L93" s="114">
        <f>HYPERLINK(Table2927[[#This Row],[Column1]])</f>
        <v/>
      </c>
    </row>
    <row r="94" ht="16" customHeight="1" s="314">
      <c r="A94" s="35" t="inlineStr">
        <is>
          <t>OBD Advanced OBD2 Bluetooth Scanner, Car Diagnostic Tool with Real-time Data, Engine Fault Code Reader for Android iOS Windows, Vehicle Battery Powered, Pack of 1</t>
        </is>
      </c>
      <c r="B94" s="35" t="inlineStr">
        <is>
          <t>B0GNJ7R1D9</t>
        </is>
      </c>
      <c r="C94" s="35" t="inlineStr">
        <is>
          <t>Handheld</t>
        </is>
      </c>
      <c r="D94" s="359" t="n">
        <v>27.23</v>
      </c>
      <c r="E94" s="66" t="n">
        <v>568.8592307692309</v>
      </c>
      <c r="F94" s="67" t="n">
        <v>27.23</v>
      </c>
      <c r="G94" s="68" t="n">
        <v>15</v>
      </c>
      <c r="H94" s="68" t="n">
        <v>1</v>
      </c>
      <c r="I94" s="68" t="n">
        <v>1</v>
      </c>
      <c r="J94" s="69" t="n">
        <v>5</v>
      </c>
      <c r="K94" s="69" t="inlineStr">
        <is>
          <t>https://amazon.com/dp/B0GNJ7R1D9</t>
        </is>
      </c>
      <c r="L94" s="114">
        <f>HYPERLINK(Table2927[[#This Row],[Column1]])</f>
        <v/>
      </c>
    </row>
    <row r="95" ht="16" customHeight="1" s="314">
      <c r="A95" s="35" t="inlineStr">
        <is>
          <t>2 PCS Car Key ECU Test Coil, Car Induction Card,Automatic Ignition Coil Tester for Checking The Lock Ring, Automotive Key Lock Chip Antenna Tester</t>
        </is>
      </c>
      <c r="B95" s="35" t="inlineStr">
        <is>
          <t>B0F1TKP7YF</t>
        </is>
      </c>
      <c r="C95" s="35" t="inlineStr">
        <is>
          <t>Other</t>
        </is>
      </c>
      <c r="D95" s="359" t="n">
        <v>6.473333333333334</v>
      </c>
      <c r="E95" s="66" t="n">
        <v>599.8623076923077</v>
      </c>
      <c r="F95" s="67" t="n">
        <v>19.42</v>
      </c>
      <c r="G95" s="68" t="n">
        <v>92</v>
      </c>
      <c r="H95" s="68" t="n">
        <v>3</v>
      </c>
      <c r="I95" s="68" t="n">
        <v>1</v>
      </c>
      <c r="J95" s="69" t="n">
        <v>5</v>
      </c>
      <c r="K95" s="69" t="inlineStr">
        <is>
          <t>https://amazon.com/dp/B0F1TKP7YF</t>
        </is>
      </c>
      <c r="L95" s="114">
        <f>HYPERLINK(Table2927[[#This Row],[Column1]])</f>
        <v/>
      </c>
    </row>
    <row r="96" ht="16" customHeight="1" s="314">
      <c r="A96" s="35" t="inlineStr">
        <is>
          <t>Professional OBD2 Scanner AL319 Code Reader, Enhanced Check and Reset Engine Fault Code, Live Data, Freeze Frame, CAN Car Diagnostic Scan Tools for All OBDII Vehicles After 1996, 2023 Upgraded</t>
        </is>
      </c>
      <c r="B96" s="35" t="inlineStr">
        <is>
          <t>B0CPM1CKRW</t>
        </is>
      </c>
      <c r="C96" s="35" t="inlineStr">
        <is>
          <t>Handheld</t>
        </is>
      </c>
      <c r="D96" s="359" t="n">
        <v>15.46</v>
      </c>
      <c r="E96" s="66" t="n">
        <v>46.66</v>
      </c>
      <c r="F96" s="67" t="n">
        <v>15.46</v>
      </c>
      <c r="G96" s="68" t="n">
        <v>3</v>
      </c>
      <c r="H96" s="68" t="n">
        <v>1</v>
      </c>
      <c r="I96" s="68" t="n"/>
      <c r="J96" s="69" t="n"/>
      <c r="K96" s="69" t="inlineStr">
        <is>
          <t>https://amazon.com/dp/B0CPM1CKRW</t>
        </is>
      </c>
      <c r="L96" s="114">
        <f>HYPERLINK(Table2927[[#This Row],[Column1]])</f>
        <v/>
      </c>
    </row>
    <row r="97" ht="16" customHeight="1" s="314">
      <c r="A97" s="35" t="inlineStr">
        <is>
          <t>MS309 Universal OBD2 Scanner – Professional Car Engine Diagnostic Tool</t>
        </is>
      </c>
      <c r="B97" s="35" t="inlineStr">
        <is>
          <t>B0F5JGMR6V</t>
        </is>
      </c>
      <c r="C97" s="35" t="inlineStr">
        <is>
          <t>Handheld</t>
        </is>
      </c>
      <c r="D97" s="359" t="n">
        <v>13.98</v>
      </c>
      <c r="E97" s="66" t="n">
        <v>152.2746153846154</v>
      </c>
      <c r="F97" s="67" t="n">
        <v>13.98</v>
      </c>
      <c r="G97" s="68" t="n">
        <v>10</v>
      </c>
      <c r="H97" s="68" t="n">
        <v>1</v>
      </c>
      <c r="I97" s="68" t="n"/>
      <c r="J97" s="69" t="n"/>
      <c r="K97" s="69" t="inlineStr">
        <is>
          <t>https://amazon.com/dp/B0F5JGMR6V</t>
        </is>
      </c>
      <c r="L97" s="114">
        <f>HYPERLINK(Table2927[[#This Row],[Column1]])</f>
        <v/>
      </c>
    </row>
    <row r="98" ht="16" customHeight="1" s="314">
      <c r="A98" s="35" t="inlineStr">
        <is>
          <t>Diagnostic for DOOSAN uvim Scanner kit Heavy Duty Communication Interface Forklift Excavator Loader Diagnostic Tool (Tool with 2024 Software)</t>
        </is>
      </c>
      <c r="B98" s="35" t="inlineStr">
        <is>
          <t>B0CJTYN26R</t>
        </is>
      </c>
      <c r="C98" s="35" t="inlineStr">
        <is>
          <t>VCI</t>
        </is>
      </c>
      <c r="D98" s="359" t="n">
        <v>895</v>
      </c>
      <c r="E98" s="66" t="n">
        <v>3833.6</v>
      </c>
      <c r="F98" s="67" t="n">
        <v>0</v>
      </c>
      <c r="G98" s="68" t="n">
        <v>5</v>
      </c>
      <c r="H98" s="68" t="n">
        <v>0</v>
      </c>
      <c r="I98" s="68" t="n"/>
      <c r="J98" s="69" t="n"/>
      <c r="K98" s="69" t="inlineStr">
        <is>
          <t>https://amazon.com/dp/B0CJTYN26R</t>
        </is>
      </c>
      <c r="L98" s="114">
        <f>HYPERLINK(Table2927[[#This Row],[Column1]])</f>
        <v/>
      </c>
    </row>
    <row r="99" ht="45" customHeight="1" s="314">
      <c r="A99" s="35" t="inlineStr">
        <is>
          <t>OBD2 Scanner MS309 Automotive Check Engine Code Reader, Check Emission Monitor Status, CAN Diagnostic Scan Tool for All OBDII Protocol Vehicles After 1996…</t>
        </is>
      </c>
      <c r="B99" s="35" t="inlineStr">
        <is>
          <t>B0CPLXCR35</t>
        </is>
      </c>
      <c r="C99" s="35" t="inlineStr">
        <is>
          <t>Handheld</t>
        </is>
      </c>
      <c r="D99" s="359" t="n">
        <v>14.99</v>
      </c>
      <c r="E99" s="66" t="n">
        <v>11.96</v>
      </c>
      <c r="F99" s="67" t="n">
        <v>0</v>
      </c>
      <c r="G99" s="68" t="n">
        <v>1</v>
      </c>
      <c r="H99" s="68" t="n">
        <v>0</v>
      </c>
      <c r="I99" s="68" t="n"/>
      <c r="J99" s="69" t="n"/>
      <c r="K99" s="69" t="inlineStr">
        <is>
          <t>https://amazon.com/dp/B0CPLXCR35</t>
        </is>
      </c>
      <c r="L99" s="114">
        <f>HYPERLINK(Table2927[[#This Row],[Column1]])</f>
        <v/>
      </c>
    </row>
    <row r="100" ht="30" customHeight="1" s="314">
      <c r="A100" s="35" t="inlineStr">
        <is>
          <t>iCar2 ELM327 obd2 Bluetooth Scanner elm 327 V2.1 OBD 2 WiFi icar 2 auto Diagnostic Scanner for Android/PC Code Reader(V2.1)</t>
        </is>
      </c>
      <c r="B100" s="35" t="inlineStr">
        <is>
          <t>B0DXBX9BS3</t>
        </is>
      </c>
      <c r="C100" s="35" t="inlineStr">
        <is>
          <t>Dongle</t>
        </is>
      </c>
      <c r="D100" s="359" t="n">
        <v>18.8</v>
      </c>
      <c r="E100" s="66" t="n">
        <v>0</v>
      </c>
      <c r="F100" s="67" t="n">
        <v>0</v>
      </c>
      <c r="G100" s="68" t="n">
        <v>0</v>
      </c>
      <c r="H100" s="68" t="n">
        <v>0</v>
      </c>
      <c r="I100" s="68" t="n">
        <v>1</v>
      </c>
      <c r="J100" s="69" t="n">
        <v>5</v>
      </c>
      <c r="K100" s="69" t="inlineStr">
        <is>
          <t>https://amazon.com/dp/B0DXBX9BS3</t>
        </is>
      </c>
      <c r="L100" s="114">
        <f>HYPERLINK(Table2927[[#This Row],[Column1]])</f>
        <v/>
      </c>
    </row>
    <row r="101" ht="45" customHeight="1" s="314">
      <c r="A101" s="35" t="inlineStr">
        <is>
          <t>WiFi/BT Elm327 Code Reader Support OBDII Protocol Vehicle iCar 3 Scan for Android/PC(icar3 WiFi red)</t>
        </is>
      </c>
      <c r="B101" s="35" t="inlineStr">
        <is>
          <t>B0DXBZ8335</t>
        </is>
      </c>
      <c r="C101" s="35" t="inlineStr">
        <is>
          <t>Dongle</t>
        </is>
      </c>
      <c r="D101" s="359" t="n">
        <v>49.85</v>
      </c>
      <c r="E101" s="66" t="n">
        <v>0</v>
      </c>
      <c r="F101" s="67" t="n">
        <v>0</v>
      </c>
      <c r="G101" s="68" t="n">
        <v>0</v>
      </c>
      <c r="H101" s="68" t="n">
        <v>0</v>
      </c>
      <c r="I101" s="68" t="n"/>
      <c r="J101" s="69" t="n"/>
      <c r="K101" s="69" t="inlineStr">
        <is>
          <t>https://amazon.com/dp/B0DXBZ8335</t>
        </is>
      </c>
      <c r="L101" s="114">
        <f>HYPERLINK(Table2927[[#This Row],[Column1]])</f>
        <v/>
      </c>
    </row>
    <row r="102" ht="30" customHeight="1" s="314">
      <c r="A102" s="35" t="inlineStr">
        <is>
          <t>Diagnostic Tool uVIM Excavator Forklift Engine Fault Detection OBD Interface DDT CARNICS SCR+DPF+G2 DCU+G2 ECU+G2 Scanner with 2016 Software</t>
        </is>
      </c>
      <c r="B102" s="35" t="inlineStr">
        <is>
          <t>B0CJ6KDC97</t>
        </is>
      </c>
      <c r="C102" s="35" t="inlineStr">
        <is>
          <t>VCI</t>
        </is>
      </c>
      <c r="D102" s="359" t="n">
        <v>340</v>
      </c>
      <c r="E102" s="66" t="n">
        <v>0</v>
      </c>
      <c r="F102" s="67" t="n">
        <v>0</v>
      </c>
      <c r="G102" s="68" t="n">
        <v>0</v>
      </c>
      <c r="H102" s="68" t="n">
        <v>0</v>
      </c>
      <c r="I102" s="68" t="n"/>
      <c r="J102" s="69" t="n"/>
      <c r="K102" s="69" t="inlineStr">
        <is>
          <t>https://amazon.com/dp/B0CJ6KDC97</t>
        </is>
      </c>
      <c r="L102" s="114">
        <f>HYPERLINK(Table2927[[#This Row],[Column1]])</f>
        <v/>
      </c>
    </row>
    <row r="103" ht="45" customHeight="1" s="314">
      <c r="A103" s="35" t="inlineStr">
        <is>
          <t>Dual Female Y Splitter Elbow 16Pin OBD 2 Extender ODB OBD2 Cable 16 Pin Male to Female Flat Noodle OBD2 Extension Cable(60CM Cable)</t>
        </is>
      </c>
      <c r="B103" s="35" t="inlineStr">
        <is>
          <t>B0DZ2MWL2Y</t>
        </is>
      </c>
      <c r="C103" s="35" t="inlineStr">
        <is>
          <t>Cable/Adapter</t>
        </is>
      </c>
      <c r="D103" s="359" t="n">
        <v>16.99</v>
      </c>
      <c r="E103" s="66" t="n">
        <v>0</v>
      </c>
      <c r="F103" s="67" t="n">
        <v>0</v>
      </c>
      <c r="G103" s="68" t="n">
        <v>0</v>
      </c>
      <c r="H103" s="68" t="n">
        <v>0</v>
      </c>
      <c r="I103" s="68" t="n"/>
      <c r="J103" s="69" t="n"/>
      <c r="K103" s="69" t="inlineStr">
        <is>
          <t>https://amazon.com/dp/B0DZ2MWL2Y</t>
        </is>
      </c>
      <c r="L103" s="114">
        <f>HYPERLINK(Table2927[[#This Row],[Column1]])</f>
        <v/>
      </c>
    </row>
    <row r="104" ht="30" customHeight="1" s="314">
      <c r="A104" s="35" t="inlineStr">
        <is>
          <t>ET3 317-7485 Communication Adapter Diagnostic Tool is Suitable for CAT Trucks, excavators and Engines, Equipped with 2023A, 2021B, 2019C Type 6+9+14 pin Cables (ET3 with Laptop)</t>
        </is>
      </c>
      <c r="B104" s="35" t="inlineStr">
        <is>
          <t>B0FH9LWV7R</t>
        </is>
      </c>
      <c r="C104" s="35" t="inlineStr">
        <is>
          <t>VCI</t>
        </is>
      </c>
      <c r="D104" s="359" t="n">
        <v>797</v>
      </c>
      <c r="E104" s="66" t="n">
        <v>0</v>
      </c>
      <c r="F104" s="67" t="n">
        <v>0</v>
      </c>
      <c r="G104" s="68" t="n">
        <v>0</v>
      </c>
      <c r="H104" s="68" t="n">
        <v>0</v>
      </c>
      <c r="I104" s="68" t="n"/>
      <c r="J104" s="69" t="n"/>
      <c r="K104" s="69" t="inlineStr">
        <is>
          <t>https://amazon.com/dp/B0FH9LWV7R</t>
        </is>
      </c>
      <c r="L104" s="114">
        <f>HYPERLINK(Table2927[[#This Row],[Column1]])</f>
        <v/>
      </c>
    </row>
    <row r="105" ht="30" customHeight="1" s="314">
      <c r="A105" s="35" t="inlineStr">
        <is>
          <t>AFM Disabler for GM Vehicles, OBD2 Active Fuel Management Delete Device for V6 V8 Engines, Compatible with Chevy Silverado Tahoe GMC Sierra Yukon Cadillac Escalade 4.3L 5.3L 6.0L 6.2L</t>
        </is>
      </c>
      <c r="B105" s="35" t="inlineStr">
        <is>
          <t>B0GM6LMXQ4</t>
        </is>
      </c>
      <c r="C105" s="35" t="n"/>
      <c r="D105" s="359" t="n">
        <v>68.98999999999999</v>
      </c>
      <c r="E105" s="66" t="n">
        <v>0</v>
      </c>
      <c r="F105" s="67" t="n">
        <v>0</v>
      </c>
      <c r="G105" s="68" t="n">
        <v>0</v>
      </c>
      <c r="H105" s="68" t="n">
        <v>0</v>
      </c>
      <c r="I105" s="68" t="n"/>
      <c r="J105" s="69" t="n"/>
      <c r="K105" s="69" t="inlineStr">
        <is>
          <t>https://amazon.com/dp/B0GM6LMXQ4</t>
        </is>
      </c>
      <c r="L105" s="114">
        <f>HYPERLINK(Table2927[[#This Row],[Column1]])</f>
        <v/>
      </c>
    </row>
    <row r="106" ht="30" customHeight="1" s="314">
      <c r="A106" s="35" t="inlineStr">
        <is>
          <t>26pin to 16pin OBD2 Car Diagnostic Harness Electronic Cable Connector for Tesla Model 3 Model Y After Jan 2019</t>
        </is>
      </c>
      <c r="B106" s="35" t="inlineStr">
        <is>
          <t>B0FMYW834Q</t>
        </is>
      </c>
      <c r="C106" s="35" t="inlineStr">
        <is>
          <t>Cable/Adapter</t>
        </is>
      </c>
      <c r="D106" s="359" t="n">
        <v>15.88</v>
      </c>
      <c r="E106" s="66" t="n">
        <v>0</v>
      </c>
      <c r="F106" s="67" t="n">
        <v>0</v>
      </c>
      <c r="G106" s="68" t="n">
        <v>0</v>
      </c>
      <c r="H106" s="68" t="n">
        <v>0</v>
      </c>
      <c r="I106" s="68" t="n"/>
      <c r="J106" s="69" t="n"/>
      <c r="K106" s="69" t="inlineStr">
        <is>
          <t>https://amazon.com/dp/B0FMYW834Q</t>
        </is>
      </c>
      <c r="L106" s="114">
        <f>HYPERLINK(Table2927[[#This Row],[Column1]])</f>
        <v/>
      </c>
    </row>
    <row r="107" ht="45" customHeight="1" s="314">
      <c r="A107" s="35" t="inlineStr">
        <is>
          <t>DLA+ 2.0 Adapter Kit with New 2025 V3 Software,Diagnostic Tool Scanner for J P- R 0 Diesel Heavy Duty Trucks Fleet Maintenance Tool (DLA 2.0 Tool with Software)</t>
        </is>
      </c>
      <c r="B107" s="35" t="inlineStr">
        <is>
          <t>B0FQCBZC6G</t>
        </is>
      </c>
      <c r="C107" s="35" t="inlineStr">
        <is>
          <t>VCI</t>
        </is>
      </c>
      <c r="D107" s="359" t="n">
        <v>365</v>
      </c>
      <c r="E107" s="66" t="n">
        <v>0</v>
      </c>
      <c r="F107" s="67" t="n">
        <v>0</v>
      </c>
      <c r="G107" s="68" t="n">
        <v>0</v>
      </c>
      <c r="H107" s="68" t="n">
        <v>0</v>
      </c>
      <c r="I107" s="68" t="n"/>
      <c r="J107" s="69" t="n"/>
      <c r="K107" s="69" t="inlineStr">
        <is>
          <t>https://amazon.com/dp/B0FQCBZC6G</t>
        </is>
      </c>
      <c r="L107" s="114">
        <f>HYPERLINK(Table2927[[#This Row],[Column1]])</f>
        <v/>
      </c>
    </row>
    <row r="108" ht="45" customHeight="1" s="314">
      <c r="A108" s="35" t="inlineStr">
        <is>
          <t>Excavator Scanner Diagnostic Service System IDSS Hardware and Software Solution for Diagnosis and Repair for Isuzu E-IDSS Products are unive (E-IDSS with Laptop)</t>
        </is>
      </c>
      <c r="B108" s="35" t="inlineStr">
        <is>
          <t>B0CJC3419Q</t>
        </is>
      </c>
      <c r="C108" s="35" t="inlineStr">
        <is>
          <t>VCI</t>
        </is>
      </c>
      <c r="D108" s="359" t="n">
        <v>1703</v>
      </c>
      <c r="E108" s="66" t="n">
        <v>0</v>
      </c>
      <c r="F108" s="67" t="n">
        <v>0</v>
      </c>
      <c r="G108" s="68" t="n">
        <v>0</v>
      </c>
      <c r="H108" s="68" t="n">
        <v>0</v>
      </c>
      <c r="I108" s="68" t="n"/>
      <c r="J108" s="69" t="n"/>
      <c r="K108" s="69" t="inlineStr">
        <is>
          <t>https://amazon.com/dp/B0CJC3419Q</t>
        </is>
      </c>
      <c r="L108" s="114">
        <f>HYPERLINK(Table2927[[#This Row],[Column1]])</f>
        <v/>
      </c>
    </row>
    <row r="109" ht="30" customHeight="1" s="314">
      <c r="A109" s="35" t="inlineStr">
        <is>
          <t>Generic NEXIQ J1962 Adapter (16-Pin OBD II) - 1 Meter, Black, 493113</t>
        </is>
      </c>
      <c r="B109" s="35" t="inlineStr">
        <is>
          <t>B0CRVW3MQT</t>
        </is>
      </c>
      <c r="C109" s="35" t="inlineStr">
        <is>
          <t>Cable/Adapter</t>
        </is>
      </c>
      <c r="D109" s="359" t="n">
        <v>183.75</v>
      </c>
      <c r="E109" s="66" t="n">
        <v>6052.94</v>
      </c>
      <c r="F109" s="67" t="n">
        <v>0</v>
      </c>
      <c r="G109" s="68" t="n">
        <v>34</v>
      </c>
      <c r="H109" s="68" t="n">
        <v>0</v>
      </c>
      <c r="I109" s="68" t="n">
        <v>4</v>
      </c>
      <c r="J109" s="69" t="n">
        <v>3.6</v>
      </c>
      <c r="K109" s="69" t="inlineStr">
        <is>
          <t>https://amazon.com/dp/B0CRVW3MQT</t>
        </is>
      </c>
      <c r="L109" s="114">
        <f>HYPERLINK(Table2927[[#This Row],[Column1]])</f>
        <v/>
      </c>
    </row>
    <row r="110" ht="45" customHeight="1" s="314">
      <c r="A110" s="35" t="inlineStr">
        <is>
          <t>for Kawasaki Motorcycle OBD2 Adapter, 6 Pin to 16 Pin Diagnostic Cable Fit for Z900/Z1000/ZX10R/ZX14R/H2, Works with OBDII Code Readers</t>
        </is>
      </c>
      <c r="B110" s="35" t="inlineStr">
        <is>
          <t>B0FR4H4YXQ</t>
        </is>
      </c>
      <c r="C110" s="35" t="inlineStr">
        <is>
          <t>Cable/Adapter</t>
        </is>
      </c>
      <c r="D110" s="359" t="n">
        <v>14.99</v>
      </c>
      <c r="E110" s="66" t="n">
        <v>0</v>
      </c>
      <c r="F110" s="67" t="n">
        <v>0</v>
      </c>
      <c r="G110" s="68" t="n">
        <v>0</v>
      </c>
      <c r="H110" s="68" t="n">
        <v>0</v>
      </c>
      <c r="I110" s="68" t="n"/>
      <c r="J110" s="69" t="n"/>
      <c r="K110" s="69" t="inlineStr">
        <is>
          <t>https://amazon.com/dp/B0FR4H4YXQ</t>
        </is>
      </c>
      <c r="L110" s="114">
        <f>HYPERLINK(Table2927[[#This Row],[Column1]])</f>
        <v/>
      </c>
    </row>
    <row r="111" ht="17" customHeight="1" s="314">
      <c r="A111" s="35" t="inlineStr">
        <is>
          <t>for Cummins Inline 7 Data Link Adapter Diesel Truck Diagnostic Tool with Insite Software (Inline 7 with Laptop(9.0 Software))</t>
        </is>
      </c>
      <c r="B111" s="35" t="inlineStr">
        <is>
          <t>B0FMNBZ7KF</t>
        </is>
      </c>
      <c r="C111" s="35" t="inlineStr">
        <is>
          <t>VCI</t>
        </is>
      </c>
      <c r="D111" s="359" t="n">
        <v>699</v>
      </c>
      <c r="E111" s="66" t="n">
        <v>0</v>
      </c>
      <c r="F111" s="67" t="n">
        <v>0</v>
      </c>
      <c r="G111" s="68" t="n">
        <v>0</v>
      </c>
      <c r="H111" s="68" t="n">
        <v>0</v>
      </c>
      <c r="I111" s="68" t="n"/>
      <c r="J111" s="69" t="n"/>
      <c r="K111" s="69" t="inlineStr">
        <is>
          <t>https://amazon.com/dp/B0FMNBZ7KF</t>
        </is>
      </c>
      <c r="L111" s="114">
        <f>HYPERLINK(Table2927[[#This Row],[Column1]])</f>
        <v/>
      </c>
    </row>
    <row r="112" ht="30" customHeight="1" s="314">
      <c r="A112" s="35" t="inlineStr">
        <is>
          <t>ET4 478-0235 for CAT 2025 ET Software and SIS Communication Adapter Diagnostic Tool (ET4 with 2025ET SIS Laptop (CF53))</t>
        </is>
      </c>
      <c r="B112" s="35" t="inlineStr">
        <is>
          <t>B0FWR1T8H4</t>
        </is>
      </c>
      <c r="C112" s="35" t="inlineStr">
        <is>
          <t>VCI</t>
        </is>
      </c>
      <c r="D112" s="359" t="n">
        <v>909</v>
      </c>
      <c r="E112" s="66" t="n">
        <v>1770.03</v>
      </c>
      <c r="F112" s="67" t="n">
        <v>0</v>
      </c>
      <c r="G112" s="68" t="n">
        <v>2</v>
      </c>
      <c r="H112" s="68" t="n">
        <v>0</v>
      </c>
      <c r="I112" s="68" t="n"/>
      <c r="J112" s="69" t="n"/>
      <c r="K112" s="69" t="inlineStr">
        <is>
          <t>https://amazon.com/dp/B0FWR1T8H4</t>
        </is>
      </c>
      <c r="L112" s="114">
        <f>HYPERLINK(Table2927[[#This Row],[Column1]])</f>
        <v/>
      </c>
    </row>
    <row r="113" ht="45" customHeight="1" s="314">
      <c r="A113" s="35" t="inlineStr">
        <is>
          <t>EST Diagnostic Tester 27610402 Communication Adapter 3 for Perkins Diagnosis Tool Heavy Duty Excavator EST 2021B Scanner</t>
        </is>
      </c>
      <c r="B113" s="35" t="inlineStr">
        <is>
          <t>B0CJ6Q61VG</t>
        </is>
      </c>
      <c r="C113" s="35" t="inlineStr">
        <is>
          <t>VCI</t>
        </is>
      </c>
      <c r="D113" s="359" t="n">
        <v>328</v>
      </c>
      <c r="E113" s="66" t="n">
        <v>0</v>
      </c>
      <c r="F113" s="67" t="n">
        <v>0</v>
      </c>
      <c r="G113" s="68" t="n">
        <v>0</v>
      </c>
      <c r="H113" s="68" t="n">
        <v>0</v>
      </c>
      <c r="I113" s="68" t="n"/>
      <c r="J113" s="69" t="n"/>
      <c r="K113" s="69" t="inlineStr">
        <is>
          <t>https://amazon.com/dp/B0CJ6Q61VG</t>
        </is>
      </c>
      <c r="L113" s="114">
        <f>HYPERLINK(Table2927[[#This Row],[Column1]])</f>
        <v/>
      </c>
    </row>
    <row r="114" ht="45" customHeight="1" s="314">
      <c r="A114" s="35" t="inlineStr">
        <is>
          <t>Diagnostic uvim Scanner kit Heavy Duty Communication Interface Forklift Excavator Loader 2023 Software Diagnostic Tool with Laptop</t>
        </is>
      </c>
      <c r="B114" s="35" t="inlineStr">
        <is>
          <t>B0CLCL7JJV</t>
        </is>
      </c>
      <c r="C114" s="35" t="inlineStr">
        <is>
          <t>Tablet</t>
        </is>
      </c>
      <c r="D114" s="359" t="n">
        <v>1410</v>
      </c>
      <c r="E114" s="66" t="n">
        <v>0</v>
      </c>
      <c r="F114" s="67" t="n">
        <v>0</v>
      </c>
      <c r="G114" s="68" t="n">
        <v>0</v>
      </c>
      <c r="H114" s="68" t="n">
        <v>0</v>
      </c>
      <c r="I114" s="68" t="n"/>
      <c r="J114" s="69" t="n"/>
      <c r="K114" s="69" t="inlineStr">
        <is>
          <t>https://amazon.com/dp/B0CLCL7JJV</t>
        </is>
      </c>
      <c r="L114" s="114">
        <f>HYPERLINK(Table2927[[#This Row],[Column1]])</f>
        <v/>
      </c>
    </row>
    <row r="115" ht="45" customHeight="1" s="314">
      <c r="A115" s="35" t="inlineStr">
        <is>
          <t>OBD2 Scanner Car Scan Diagnostic Tool Reset Clear Check Engine Code Reader</t>
        </is>
      </c>
      <c r="B115" s="35" t="inlineStr">
        <is>
          <t>B0FN42LFCM</t>
        </is>
      </c>
      <c r="C115" s="35" t="inlineStr">
        <is>
          <t>Dongle</t>
        </is>
      </c>
      <c r="D115" s="359" t="n">
        <v>14.99</v>
      </c>
      <c r="E115" s="66" t="n">
        <v>0</v>
      </c>
      <c r="F115" s="67" t="n">
        <v>0</v>
      </c>
      <c r="G115" s="68" t="n">
        <v>0</v>
      </c>
      <c r="H115" s="68" t="n">
        <v>0</v>
      </c>
      <c r="I115" s="68" t="n"/>
      <c r="J115" s="69" t="n"/>
      <c r="K115" s="69" t="inlineStr">
        <is>
          <t>https://amazon.com/dp/B0FN42LFCM</t>
        </is>
      </c>
      <c r="L115" s="114">
        <f>HYPERLINK(Table2927[[#This Row],[Column1]])</f>
        <v/>
      </c>
    </row>
    <row r="116" ht="30" customHeight="1" s="314">
      <c r="A116" s="35" t="inlineStr">
        <is>
          <t>Diagnostic for DOOSAN uvim Scanner kit Heavy Duty Communication Interface Forklift Excavator Loader Diagnostic Tool (2023 Software)</t>
        </is>
      </c>
      <c r="B116" s="35" t="inlineStr">
        <is>
          <t>B0CJ6J43GS</t>
        </is>
      </c>
      <c r="C116" s="35" t="inlineStr">
        <is>
          <t>VCI</t>
        </is>
      </c>
      <c r="D116" s="359" t="n">
        <v>895</v>
      </c>
      <c r="E116" s="66" t="n">
        <v>1820.11</v>
      </c>
      <c r="F116" s="67" t="n">
        <v>0</v>
      </c>
      <c r="G116" s="68" t="n">
        <v>2</v>
      </c>
      <c r="H116" s="68" t="n">
        <v>0</v>
      </c>
      <c r="I116" s="68" t="n"/>
      <c r="J116" s="69" t="n"/>
      <c r="K116" s="69" t="inlineStr">
        <is>
          <t>https://amazon.com/dp/B0CJ6J43GS</t>
        </is>
      </c>
      <c r="L116" s="114">
        <f>HYPERLINK(Table2927[[#This Row],[Column1]])</f>
        <v/>
      </c>
    </row>
    <row r="117" ht="17" customHeight="1" s="314">
      <c r="A117" s="35" t="inlineStr">
        <is>
          <t>EST Diagnostic Tester 2761040 27610402 Communication Adapter 3 for Perkins Diagnosis Tool Heavy Duty Excavator EST 2021B Scanner (Adapter)</t>
        </is>
      </c>
      <c r="B117" s="35" t="inlineStr">
        <is>
          <t>B0CJRL7Q4M</t>
        </is>
      </c>
      <c r="C117" s="35" t="inlineStr">
        <is>
          <t>VCI</t>
        </is>
      </c>
      <c r="D117" s="359" t="n">
        <v>328</v>
      </c>
      <c r="E117" s="66" t="n">
        <v>553.3299999999999</v>
      </c>
      <c r="F117" s="67" t="n">
        <v>0</v>
      </c>
      <c r="G117" s="68" t="n">
        <v>2</v>
      </c>
      <c r="H117" s="68" t="n">
        <v>0</v>
      </c>
      <c r="I117" s="68" t="n"/>
      <c r="J117" s="69" t="n"/>
      <c r="K117" s="69" t="inlineStr">
        <is>
          <t>https://amazon.com/dp/B0CJRL7Q4M</t>
        </is>
      </c>
      <c r="L117" s="114">
        <f>HYPERLINK(Table2927[[#This Row],[Column1]])</f>
        <v/>
      </c>
    </row>
    <row r="118" ht="45" customHeight="1" s="314">
      <c r="A118" s="35" t="inlineStr">
        <is>
          <t>2024 G' M MDI2 Multi Diagnostic Interface Scanner EL-52100-AM for DLC Cable Plug 2 WF Interface Scanner Kit with OBD2 USB 2.0 Interface (with WiFi)</t>
        </is>
      </c>
      <c r="B118" s="35" t="inlineStr">
        <is>
          <t>B0FWR143KZ</t>
        </is>
      </c>
      <c r="C118" s="35" t="inlineStr">
        <is>
          <t>Handheld</t>
        </is>
      </c>
      <c r="D118" s="359" t="n">
        <v>399</v>
      </c>
      <c r="E118" s="66" t="n">
        <v>0</v>
      </c>
      <c r="F118" s="67" t="n">
        <v>0</v>
      </c>
      <c r="G118" s="68" t="n">
        <v>0</v>
      </c>
      <c r="H118" s="68" t="n">
        <v>0</v>
      </c>
      <c r="I118" s="68" t="n"/>
      <c r="J118" s="69" t="n"/>
      <c r="K118" s="69" t="inlineStr">
        <is>
          <t>https://amazon.com/dp/B0FWR143KZ</t>
        </is>
      </c>
      <c r="L118" s="114">
        <f>HYPERLINK(Table2927[[#This Row],[Column1]])</f>
        <v/>
      </c>
    </row>
    <row r="119" ht="45" customHeight="1" s="314">
      <c r="A119" s="35" t="inlineStr">
        <is>
          <t>Diagnostic for DOOSAN uvim Scanner kit Heavy Duty Communication Interface Forklift Excavator Loader Diagnostic Tool (2016 Software)</t>
        </is>
      </c>
      <c r="B119" s="35" t="inlineStr">
        <is>
          <t>B0CJ6HL1CS</t>
        </is>
      </c>
      <c r="C119" s="35" t="inlineStr">
        <is>
          <t>VCI</t>
        </is>
      </c>
      <c r="D119" s="359" t="n">
        <v>895</v>
      </c>
      <c r="E119" s="66" t="n">
        <v>897.52</v>
      </c>
      <c r="F119" s="67" t="n">
        <v>0</v>
      </c>
      <c r="G119" s="68" t="n">
        <v>1</v>
      </c>
      <c r="H119" s="68" t="n">
        <v>0</v>
      </c>
      <c r="I119" s="68" t="n"/>
      <c r="J119" s="69" t="n"/>
      <c r="K119" s="69" t="inlineStr">
        <is>
          <t>https://amazon.com/dp/B0CJ6HL1CS</t>
        </is>
      </c>
      <c r="L119" s="114">
        <f>HYPERLINK(Table2927[[#This Row],[Column1]])</f>
        <v/>
      </c>
    </row>
    <row r="120" ht="45" customHeight="1" s="314">
      <c r="A120" s="35" t="inlineStr">
        <is>
          <t>MPDR Software 3.9 for Heavy Duty Diagnostic Tool Tester The Latest Version for Hitachi EX ZX-1 ZX-3G ZX-3 ZX-5 ZX-6 ZX-7 of Excavator</t>
        </is>
      </c>
      <c r="B120" s="35" t="inlineStr">
        <is>
          <t>B0CJV4W22M</t>
        </is>
      </c>
      <c r="C120" s="35" t="inlineStr">
        <is>
          <t>Cable/Adapter</t>
        </is>
      </c>
      <c r="D120" s="359" t="n">
        <v>90</v>
      </c>
      <c r="E120" s="66" t="n">
        <v>0</v>
      </c>
      <c r="F120" s="67" t="n">
        <v>0</v>
      </c>
      <c r="G120" s="68" t="n">
        <v>0</v>
      </c>
      <c r="H120" s="68" t="n">
        <v>0</v>
      </c>
      <c r="I120" s="68" t="n"/>
      <c r="J120" s="69" t="n"/>
      <c r="K120" s="69" t="inlineStr">
        <is>
          <t>https://amazon.com/dp/B0CJV4W22M</t>
        </is>
      </c>
      <c r="L120" s="114">
        <f>HYPERLINK(Table2927[[#This Row],[Column1]])</f>
        <v/>
      </c>
    </row>
    <row r="121" ht="45" customHeight="1" s="314">
      <c r="A121" s="35" t="inlineStr">
        <is>
          <t>for SCA-nia VCI3 Truck Bus Heavy Vehicle Diagnostic Tool,with SDP3 Software</t>
        </is>
      </c>
      <c r="B121" s="35" t="inlineStr">
        <is>
          <t>B0FKT64HD8</t>
        </is>
      </c>
      <c r="C121" s="35" t="inlineStr">
        <is>
          <t>VCI</t>
        </is>
      </c>
      <c r="D121" s="359" t="n">
        <v>137</v>
      </c>
      <c r="E121" s="66" t="n">
        <v>0</v>
      </c>
      <c r="F121" s="67" t="n">
        <v>0</v>
      </c>
      <c r="G121" s="68" t="n">
        <v>0</v>
      </c>
      <c r="H121" s="68" t="n">
        <v>0</v>
      </c>
      <c r="I121" s="68" t="n"/>
      <c r="J121" s="69" t="n"/>
      <c r="K121" s="69" t="inlineStr">
        <is>
          <t>https://amazon.com/dp/B0FKT64HD8</t>
        </is>
      </c>
      <c r="L121" s="114">
        <f>HYPERLINK(Table2927[[#This Row],[Column1]])</f>
        <v/>
      </c>
    </row>
    <row r="122" ht="30" customHeight="1" s="314">
      <c r="A122" s="35" t="inlineStr">
        <is>
          <t>New MB Star C4 Plus DOIP Function Diagnostic Tool 2025 Xentry Software with DOIP Function for MB Software Car Truck Scanner (MB C4 with Laptop)</t>
        </is>
      </c>
      <c r="B122" s="35" t="inlineStr">
        <is>
          <t>B0FJLXMDG8</t>
        </is>
      </c>
      <c r="C122" s="35" t="inlineStr">
        <is>
          <t>VCI</t>
        </is>
      </c>
      <c r="D122" s="359" t="n">
        <v>928</v>
      </c>
      <c r="E122" s="66" t="n">
        <v>3699.65</v>
      </c>
      <c r="F122" s="67" t="n">
        <v>0</v>
      </c>
      <c r="G122" s="68" t="n">
        <v>4</v>
      </c>
      <c r="H122" s="68" t="n">
        <v>0</v>
      </c>
      <c r="I122" s="68" t="n"/>
      <c r="J122" s="69" t="n"/>
      <c r="K122" s="69" t="inlineStr">
        <is>
          <t>https://amazon.com/dp/B0FJLXMDG8</t>
        </is>
      </c>
      <c r="L122" s="114">
        <f>HYPERLINK(Table2927[[#This Row],[Column1]])</f>
        <v/>
      </c>
    </row>
    <row r="123" ht="45" customHeight="1" s="314">
      <c r="A123" s="35" t="inlineStr">
        <is>
          <t>Diagnostic KIT USB-to-CAN for MTU Diasys 2.72 MEDC ADEC Full Kit Diesel Engine Truck Diagnosis Scanner Tool (MTU Tool with Software)</t>
        </is>
      </c>
      <c r="B123" s="35" t="inlineStr">
        <is>
          <t>B0CLHVWY16</t>
        </is>
      </c>
      <c r="C123" s="35" t="inlineStr">
        <is>
          <t>VCI</t>
        </is>
      </c>
      <c r="D123" s="359" t="n">
        <v>1407</v>
      </c>
      <c r="E123" s="66" t="n">
        <v>2641.36</v>
      </c>
      <c r="F123" s="67" t="n">
        <v>0</v>
      </c>
      <c r="G123" s="68" t="n">
        <v>2</v>
      </c>
      <c r="H123" s="68" t="n">
        <v>0</v>
      </c>
      <c r="I123" s="68" t="n"/>
      <c r="J123" s="69" t="n"/>
      <c r="K123" s="69" t="inlineStr">
        <is>
          <t>https://amazon.com/dp/B0CLHVWY16</t>
        </is>
      </c>
      <c r="L123" s="114">
        <f>HYPERLINK(Table2927[[#This Row],[Column1]])</f>
        <v/>
      </c>
    </row>
    <row r="124" ht="30" customHeight="1" s="314">
      <c r="A124" s="35" t="inlineStr">
        <is>
          <t>Diagnostic KIT USB-to-CAN for MTU Diasys 2.72 MEDC ADEC Full Kit Diesel Engine Truck Diagnosis Scanner Tool (Only MTU Tool)</t>
        </is>
      </c>
      <c r="B124" s="35" t="inlineStr">
        <is>
          <t>B0CLHXCBNG</t>
        </is>
      </c>
      <c r="C124" s="35" t="inlineStr">
        <is>
          <t>VCI</t>
        </is>
      </c>
      <c r="D124" s="359" t="n">
        <v>1206</v>
      </c>
      <c r="E124" s="66" t="n">
        <v>6205.56</v>
      </c>
      <c r="F124" s="67" t="n">
        <v>0</v>
      </c>
      <c r="G124" s="68" t="n">
        <v>5</v>
      </c>
      <c r="H124" s="68" t="n">
        <v>0</v>
      </c>
      <c r="I124" s="68" t="n"/>
      <c r="J124" s="69" t="n"/>
      <c r="K124" s="69" t="inlineStr">
        <is>
          <t>https://amazon.com/dp/B0CLHXCBNG</t>
        </is>
      </c>
      <c r="L124" s="114">
        <f>HYPERLINK(Table2927[[#This Row],[Column1]])</f>
        <v/>
      </c>
    </row>
    <row r="125" ht="45" customHeight="1" s="314">
      <c r="A125" s="35" t="inlineStr">
        <is>
          <t>Fits CEN-TECH OBD II Code Reader - Diagnose Your Car’s Engine Problems, Read &amp; Clear Trouble Codes &amp; Check Engine Light, Reads Control Modules &amp; O2 Sensor Data, Data Freeze Frame &amp; Multi-Lingual Menu</t>
        </is>
      </c>
      <c r="B125" s="35" t="inlineStr">
        <is>
          <t>B0DLSY8PM9</t>
        </is>
      </c>
      <c r="C125" s="35" t="inlineStr">
        <is>
          <t>Handheld</t>
        </is>
      </c>
      <c r="D125" s="359" t="n">
        <v>69</v>
      </c>
      <c r="E125" s="66" t="n">
        <v>0</v>
      </c>
      <c r="F125" s="67" t="n">
        <v>0</v>
      </c>
      <c r="G125" s="68" t="n">
        <v>0</v>
      </c>
      <c r="H125" s="68" t="n">
        <v>0</v>
      </c>
      <c r="I125" s="68" t="n"/>
      <c r="J125" s="69" t="n"/>
      <c r="K125" s="69" t="inlineStr">
        <is>
          <t>https://amazon.com/dp/B0DLSY8PM9</t>
        </is>
      </c>
      <c r="L125" s="114">
        <f>HYPERLINK(Table2927[[#This Row],[Column1]])</f>
        <v/>
      </c>
    </row>
    <row r="126" ht="45" customHeight="1" s="314">
      <c r="A126" s="35" t="inlineStr">
        <is>
          <t>Obd2 Code Scanner Professional Car Scanner Diagnostic Tool,Car Engine Fault Code Reader,Applicable to All Cars That Comply with OBD II Protocol</t>
        </is>
      </c>
      <c r="B126" s="35" t="inlineStr">
        <is>
          <t>B0DBTN7CQH</t>
        </is>
      </c>
      <c r="C126" s="35" t="inlineStr">
        <is>
          <t>Handheld</t>
        </is>
      </c>
      <c r="D126" s="359" t="n">
        <v>29.99</v>
      </c>
      <c r="E126" s="66" t="n">
        <v>0</v>
      </c>
      <c r="F126" s="67" t="n">
        <v>0</v>
      </c>
      <c r="G126" s="68" t="n">
        <v>0</v>
      </c>
      <c r="H126" s="68" t="n">
        <v>0</v>
      </c>
      <c r="I126" s="68" t="n"/>
      <c r="J126" s="69" t="n"/>
      <c r="K126" s="69" t="inlineStr">
        <is>
          <t>https://amazon.com/dp/B0DBTN7CQH</t>
        </is>
      </c>
      <c r="L126" s="114">
        <f>HYPERLINK(Table2927[[#This Row],[Column1]])</f>
        <v/>
      </c>
    </row>
    <row r="127" ht="45" customHeight="1" s="314">
      <c r="A127" s="35" t="inlineStr">
        <is>
          <t>THKY OBDII OBD2 Extension Cable, 16 Pin Male to Female Diagnostic Extender, 5ft 150cm 1.5m for Auto Car</t>
        </is>
      </c>
      <c r="B127" s="35" t="inlineStr">
        <is>
          <t>B0CDWT7YVX</t>
        </is>
      </c>
      <c r="C127" s="35" t="inlineStr">
        <is>
          <t>Cable/Adapter</t>
        </is>
      </c>
      <c r="D127" s="359" t="n">
        <v>9.99</v>
      </c>
      <c r="E127" s="66" t="n">
        <v>0</v>
      </c>
      <c r="F127" s="67" t="n">
        <v>0</v>
      </c>
      <c r="G127" s="68" t="n">
        <v>0</v>
      </c>
      <c r="H127" s="68" t="n">
        <v>0</v>
      </c>
      <c r="I127" s="68" t="n"/>
      <c r="J127" s="69" t="n"/>
      <c r="K127" s="69" t="inlineStr">
        <is>
          <t>https://amazon.com/dp/B0CDWT7YVX</t>
        </is>
      </c>
      <c r="L127" s="114">
        <f>HYPERLINK(Table2927[[#This Row],[Column1]])</f>
        <v/>
      </c>
    </row>
    <row r="128" ht="17" customHeight="1" s="314">
      <c r="A128" s="35" t="inlineStr">
        <is>
          <t>OBD2 Adapter Scanner Reader for iOS iPhone and Android Phones OBD2 to Bluetooth OBD 2 ELM 327 Adapter Scanner Diagnostic Scan Tools OBDii ELM327 Interface Code Readers</t>
        </is>
      </c>
      <c r="B128" s="35" t="inlineStr">
        <is>
          <t>B0DY5P6SPD</t>
        </is>
      </c>
      <c r="C128" s="35" t="inlineStr">
        <is>
          <t>Dongle</t>
        </is>
      </c>
      <c r="D128" s="359" t="n">
        <v>10.05692307692308</v>
      </c>
      <c r="E128" s="66" t="n">
        <v>824.9400000000001</v>
      </c>
      <c r="F128" s="67" t="n">
        <v>0</v>
      </c>
      <c r="G128" s="68" t="n">
        <v>85</v>
      </c>
      <c r="H128" s="68" t="n">
        <v>0</v>
      </c>
      <c r="I128" s="68" t="n">
        <v>5</v>
      </c>
      <c r="J128" s="69" t="n">
        <v>3.5</v>
      </c>
      <c r="K128" s="69" t="inlineStr">
        <is>
          <t>https://amazon.com/dp/B0DY5P6SPD</t>
        </is>
      </c>
      <c r="L128" s="114">
        <f>HYPERLINK(Table2927[[#This Row],[Column1]])</f>
        <v/>
      </c>
    </row>
    <row r="129" ht="30" customHeight="1" s="314">
      <c r="A129" s="35" t="inlineStr">
        <is>
          <t>V2.1 OBD Mini ELM327 OBD2 Bluetooth Auto Scanner OBDII 2 Car ELM 327 Tester Diagnostic Tool for Android Windows Symbian（7）</t>
        </is>
      </c>
      <c r="B129" s="35" t="inlineStr">
        <is>
          <t>B0DZ2NS9XL</t>
        </is>
      </c>
      <c r="C129" s="35" t="inlineStr">
        <is>
          <t>Dongle</t>
        </is>
      </c>
      <c r="D129" s="359" t="n">
        <v>14.13</v>
      </c>
      <c r="E129" s="66" t="n">
        <v>44.64</v>
      </c>
      <c r="F129" s="67" t="n">
        <v>0</v>
      </c>
      <c r="G129" s="68" t="n">
        <v>3</v>
      </c>
      <c r="H129" s="68" t="n">
        <v>0</v>
      </c>
      <c r="I129" s="68" t="n"/>
      <c r="J129" s="69" t="n"/>
      <c r="K129" s="69" t="inlineStr">
        <is>
          <t>https://amazon.com/dp/B0DZ2NS9XL</t>
        </is>
      </c>
      <c r="L129" s="114">
        <f>HYPERLINK(Table2927[[#This Row],[Column1]])</f>
        <v/>
      </c>
    </row>
    <row r="130" ht="17" customHeight="1" s="314">
      <c r="A130" s="35" t="inlineStr">
        <is>
          <t>Generic OBD2 Scanner Diagnostic Tool [V520], Reads And Clears Faults,Car Diagnostic Scan Tool OBDII Scanner Live Data with Vehicle I/M readiness-Works for All OBDII Compliant Cars</t>
        </is>
      </c>
      <c r="B130" s="35" t="inlineStr">
        <is>
          <t>B0CTK9GF5Z</t>
        </is>
      </c>
      <c r="C130" s="35" t="inlineStr">
        <is>
          <t>Handheld</t>
        </is>
      </c>
      <c r="D130" s="359" t="n">
        <v>42.88</v>
      </c>
      <c r="E130" s="66" t="n">
        <v>49.6</v>
      </c>
      <c r="F130" s="67" t="n">
        <v>0</v>
      </c>
      <c r="G130" s="68" t="n">
        <v>1</v>
      </c>
      <c r="H130" s="68" t="n">
        <v>0</v>
      </c>
      <c r="I130" s="68" t="n"/>
      <c r="J130" s="69" t="n"/>
      <c r="K130" s="69" t="inlineStr">
        <is>
          <t>https://amazon.com/dp/B0CTK9GF5Z</t>
        </is>
      </c>
      <c r="L130" s="114">
        <f>HYPERLINK(Table2927[[#This Row],[Column1]])</f>
        <v/>
      </c>
    </row>
    <row r="131" ht="45" customHeight="1" s="314">
      <c r="A131" s="35" t="inlineStr">
        <is>
          <t>Generic OBD2 Scanner Professional OBD2 Scanner Diagnostic Tool Car Code Reader Check Engine Fault Code/Live Data/Voltage Enhanced Engine Fault Scanner Fit for Vehicle After 1996 Blue, 14.7x7.7x2.4cm</t>
        </is>
      </c>
      <c r="B131" s="35" t="inlineStr">
        <is>
          <t>B0CY9DX116</t>
        </is>
      </c>
      <c r="C131" s="35" t="inlineStr">
        <is>
          <t>Handheld</t>
        </is>
      </c>
      <c r="D131" s="359" t="n">
        <v>29.29</v>
      </c>
      <c r="E131" s="66" t="n">
        <v>36.47</v>
      </c>
      <c r="F131" s="67" t="n">
        <v>0</v>
      </c>
      <c r="G131" s="68" t="n">
        <v>2</v>
      </c>
      <c r="H131" s="68" t="n">
        <v>0</v>
      </c>
      <c r="I131" s="68" t="n"/>
      <c r="J131" s="69" t="n"/>
      <c r="K131" s="69" t="inlineStr">
        <is>
          <t>https://amazon.com/dp/B0CY9DX116</t>
        </is>
      </c>
      <c r="L131" s="114">
        <f>HYPERLINK(Table2927[[#This Row],[Column1]])</f>
        <v/>
      </c>
    </row>
    <row r="132" ht="45" customHeight="1" s="314">
      <c r="A132" s="35" t="inlineStr">
        <is>
          <t>Openport 2.0 ECU Flash OBD2 Scanner OPENPORT2.0 OBDII Protocols ECU Chip Tunning Tactrix Open Port 2(a Full chip)</t>
        </is>
      </c>
      <c r="B132" s="35" t="inlineStr">
        <is>
          <t>B0DXBXF4R3</t>
        </is>
      </c>
      <c r="C132" s="35" t="inlineStr">
        <is>
          <t>Handheld</t>
        </is>
      </c>
      <c r="D132" s="359" t="n">
        <v>98.86</v>
      </c>
      <c r="E132" s="66" t="n">
        <v>98.86</v>
      </c>
      <c r="F132" s="67" t="n">
        <v>0</v>
      </c>
      <c r="G132" s="68" t="n">
        <v>1</v>
      </c>
      <c r="H132" s="68" t="n">
        <v>0</v>
      </c>
      <c r="I132" s="68" t="n"/>
      <c r="J132" s="69" t="n"/>
      <c r="K132" s="69" t="inlineStr">
        <is>
          <t>https://amazon.com/dp/B0DXBXF4R3</t>
        </is>
      </c>
      <c r="L132" s="114">
        <f>HYPERLINK(Table2927[[#This Row],[Column1]])</f>
        <v/>
      </c>
    </row>
    <row r="133" ht="30" customHeight="1" s="314">
      <c r="A133" s="35" t="inlineStr">
        <is>
          <t>Professional OBD2 Scanner Compatible with Zurich ZR11S Advanced Automotive Diagnostic Scan Tools with ABS SRS Reset &amp; Live Data - Battery Test, Freeze Frame, Multi-Language Support -</t>
        </is>
      </c>
      <c r="B133" s="35" t="inlineStr">
        <is>
          <t>B0F8KS9PVL</t>
        </is>
      </c>
      <c r="C133" s="35" t="inlineStr">
        <is>
          <t>Handheld</t>
        </is>
      </c>
      <c r="D133" s="359" t="n">
        <v>199</v>
      </c>
      <c r="E133" s="66" t="n">
        <v>198.99</v>
      </c>
      <c r="F133" s="67" t="n">
        <v>0</v>
      </c>
      <c r="G133" s="68" t="n">
        <v>1</v>
      </c>
      <c r="H133" s="68" t="n">
        <v>0</v>
      </c>
      <c r="I133" s="68" t="n"/>
      <c r="J133" s="69" t="n"/>
      <c r="K133" s="69" t="inlineStr">
        <is>
          <t>https://amazon.com/dp/B0F8KS9PVL</t>
        </is>
      </c>
      <c r="L133" s="114">
        <f>HYPERLINK(Table2927[[#This Row],[Column1]])</f>
        <v/>
      </c>
    </row>
    <row r="134" ht="30" customHeight="1" s="314">
      <c r="A134" s="35" t="inlineStr">
        <is>
          <t>Nexiq Pocket HD with Complete ABS and HD/LMT DPF Software</t>
        </is>
      </c>
      <c r="B134" s="35" t="inlineStr">
        <is>
          <t>B0CMRTNCNS</t>
        </is>
      </c>
      <c r="C134" s="35" t="inlineStr">
        <is>
          <t>Handheld</t>
        </is>
      </c>
      <c r="D134" s="359" t="n">
        <v>2199</v>
      </c>
      <c r="E134" s="66" t="n">
        <v>14077.29</v>
      </c>
      <c r="F134" s="67" t="n">
        <v>0</v>
      </c>
      <c r="G134" s="68" t="n">
        <v>6</v>
      </c>
      <c r="H134" s="68" t="n">
        <v>0</v>
      </c>
      <c r="I134" s="68" t="n"/>
      <c r="J134" s="69" t="n"/>
      <c r="K134" s="69" t="inlineStr">
        <is>
          <t>https://amazon.com/dp/B0CMRTNCNS</t>
        </is>
      </c>
      <c r="L134" s="114">
        <f>HYPERLINK(Table2927[[#This Row],[Column1]])</f>
        <v/>
      </c>
    </row>
    <row r="135" ht="45" customHeight="1" s="314">
      <c r="A135" s="35" t="inlineStr">
        <is>
          <t>X300M Car A djustment Tool for C Luster C al ibration and OBDII for Exact Correct m ilea-ge Special Before Ordering Contact Us for List</t>
        </is>
      </c>
      <c r="B135" s="35" t="inlineStr">
        <is>
          <t>B0FTFHMBXW</t>
        </is>
      </c>
      <c r="C135" s="35" t="inlineStr">
        <is>
          <t>Handheld</t>
        </is>
      </c>
      <c r="D135" s="359" t="n">
        <v>379</v>
      </c>
      <c r="E135" s="66" t="n">
        <v>6738.38</v>
      </c>
      <c r="F135" s="67" t="n">
        <v>0</v>
      </c>
      <c r="G135" s="68" t="n">
        <v>19</v>
      </c>
      <c r="H135" s="68" t="n">
        <v>0</v>
      </c>
      <c r="I135" s="68" t="n">
        <v>1</v>
      </c>
      <c r="J135" s="69" t="n">
        <v>1</v>
      </c>
      <c r="K135" s="69" t="inlineStr">
        <is>
          <t>https://amazon.com/dp/B0FTFHMBXW</t>
        </is>
      </c>
      <c r="L135" s="114">
        <f>HYPERLINK(Table2927[[#This Row],[Column1]])</f>
        <v/>
      </c>
    </row>
    <row r="136" ht="45" customHeight="1" s="314">
      <c r="A136" s="35" t="inlineStr">
        <is>
          <t>OBD2 Scanner Tool, Professional Car Diagnostic Code Reader, Digital with Live Data Stream, Battery Voltage Test, Yellow</t>
        </is>
      </c>
      <c r="B136" s="35" t="inlineStr">
        <is>
          <t>B0FPXBW4DF</t>
        </is>
      </c>
      <c r="C136" s="35" t="inlineStr">
        <is>
          <t>Handheld</t>
        </is>
      </c>
      <c r="D136" s="359" t="n">
        <v>10.635</v>
      </c>
      <c r="E136" s="66" t="n">
        <v>35.16</v>
      </c>
      <c r="F136" s="67" t="n">
        <v>0</v>
      </c>
      <c r="G136" s="68" t="n">
        <v>3</v>
      </c>
      <c r="H136" s="68" t="n">
        <v>0</v>
      </c>
      <c r="I136" s="68" t="n"/>
      <c r="J136" s="69" t="n"/>
      <c r="K136" s="69" t="inlineStr">
        <is>
          <t>https://amazon.com/dp/B0FPXBW4DF</t>
        </is>
      </c>
      <c r="L136" s="114">
        <f>HYPERLINK(Table2927[[#This Row],[Column1]])</f>
        <v/>
      </c>
    </row>
    <row r="137" ht="45" customHeight="1" s="314">
      <c r="A137" s="35" t="inlineStr">
        <is>
          <t>Professional Car Code Reader, OBD2 Scanner for All 1996 and Newer Cars, Full OBDII Functions Automotive Engine Fault Diagnostic Scanner Tool with Color Screen</t>
        </is>
      </c>
      <c r="B137" s="35" t="inlineStr">
        <is>
          <t>B0F43R6N8J</t>
        </is>
      </c>
      <c r="C137" s="35" t="inlineStr">
        <is>
          <t>Handheld</t>
        </is>
      </c>
      <c r="D137" s="359" t="n">
        <v>18.72</v>
      </c>
      <c r="E137" s="66" t="n">
        <v>265.09</v>
      </c>
      <c r="F137" s="67" t="n">
        <v>0</v>
      </c>
      <c r="G137" s="68" t="n">
        <v>18</v>
      </c>
      <c r="H137" s="68" t="n">
        <v>0</v>
      </c>
      <c r="I137" s="68" t="n"/>
      <c r="J137" s="69" t="n"/>
      <c r="K137" s="69" t="inlineStr">
        <is>
          <t>https://amazon.com/dp/B0F43R6N8J</t>
        </is>
      </c>
      <c r="L137" s="114">
        <f>HYPERLINK(Table2927[[#This Row],[Column1]])</f>
        <v/>
      </c>
    </row>
    <row r="138" ht="45" customHeight="1" s="314">
      <c r="A138" s="35" t="inlineStr">
        <is>
          <t>OBD2 Scanner Professional Car Diagnostic Code Reader, Digital with Live Data Stream, Battery Voltage Test, Red</t>
        </is>
      </c>
      <c r="B138" s="35" t="inlineStr">
        <is>
          <t>B0FP4V8SLT</t>
        </is>
      </c>
      <c r="C138" s="35" t="inlineStr">
        <is>
          <t>Handheld</t>
        </is>
      </c>
      <c r="D138" s="359" t="n">
        <v>9.06</v>
      </c>
      <c r="E138" s="66" t="n">
        <v>18.12</v>
      </c>
      <c r="F138" s="67" t="n">
        <v>0</v>
      </c>
      <c r="G138" s="68" t="n">
        <v>2</v>
      </c>
      <c r="H138" s="68" t="n">
        <v>0</v>
      </c>
      <c r="I138" s="68" t="n"/>
      <c r="J138" s="69" t="n"/>
      <c r="K138" s="69" t="inlineStr">
        <is>
          <t>https://amazon.com/dp/B0FP4V8SLT</t>
        </is>
      </c>
      <c r="L138" s="114">
        <f>HYPERLINK(Table2927[[#This Row],[Column1]])</f>
        <v/>
      </c>
    </row>
    <row r="139" ht="45" customHeight="1" s="314">
      <c r="A139" s="35" t="inlineStr">
        <is>
          <t>Generic Nexiq 12-Pin Adapter for USB-Link 2 &amp; USB-Link 3</t>
        </is>
      </c>
      <c r="B139" s="35" t="inlineStr">
        <is>
          <t>B0CRVTG64N</t>
        </is>
      </c>
      <c r="C139" s="35" t="inlineStr">
        <is>
          <t>Cable/Adapter</t>
        </is>
      </c>
      <c r="D139" s="359" t="n">
        <v>98.48</v>
      </c>
      <c r="E139" s="66" t="n">
        <v>3300.48</v>
      </c>
      <c r="F139" s="67" t="n">
        <v>0</v>
      </c>
      <c r="G139" s="68" t="n">
        <v>35</v>
      </c>
      <c r="H139" s="68" t="n">
        <v>0</v>
      </c>
      <c r="I139" s="68" t="n"/>
      <c r="J139" s="69" t="n"/>
      <c r="K139" s="69" t="inlineStr">
        <is>
          <t>https://amazon.com/dp/B0CRVTG64N</t>
        </is>
      </c>
      <c r="L139" s="114">
        <f>HYPERLINK(Table2927[[#This Row],[Column1]])</f>
        <v/>
      </c>
    </row>
    <row r="140" ht="17" customHeight="1" s="314">
      <c r="A140" s="35" t="inlineStr">
        <is>
          <t>OBD2 Scanner V519, Professional Car Diagnostic Code Reader, Digital with Live Data Stream, Battery Voltage Test, Red and Black</t>
        </is>
      </c>
      <c r="B140" s="35" t="inlineStr">
        <is>
          <t>B0FM3T7R37</t>
        </is>
      </c>
      <c r="C140" s="35" t="inlineStr">
        <is>
          <t>Handheld</t>
        </is>
      </c>
      <c r="D140" s="359" t="n">
        <v>10.10428571428571</v>
      </c>
      <c r="E140" s="66" t="n">
        <v>1166.2</v>
      </c>
      <c r="F140" s="67" t="n">
        <v>0</v>
      </c>
      <c r="G140" s="68" t="n">
        <v>92</v>
      </c>
      <c r="H140" s="68" t="n">
        <v>0</v>
      </c>
      <c r="I140" s="68" t="n">
        <v>3</v>
      </c>
      <c r="J140" s="69" t="n">
        <v>3.9</v>
      </c>
      <c r="K140" s="69" t="inlineStr">
        <is>
          <t>https://amazon.com/dp/B0FM3T7R37</t>
        </is>
      </c>
      <c r="L140" s="114">
        <f>HYPERLINK(Table2927[[#This Row],[Column1]])</f>
        <v/>
      </c>
    </row>
    <row r="141" ht="30" customHeight="1" s="314">
      <c r="A141" s="35" t="inlineStr">
        <is>
          <t>Pacific Track PT30 - Comes with 1 Black Square Light Duty OBDII Cable- Molex to OBD-II Cable (Light-/Medium-Duty) 1.5m, P/N: PTSSOL15</t>
        </is>
      </c>
      <c r="B141" s="35" t="inlineStr">
        <is>
          <t>B0C3826SWW</t>
        </is>
      </c>
      <c r="C141" s="35" t="inlineStr">
        <is>
          <t>Cable/Adapter</t>
        </is>
      </c>
      <c r="D141" s="359" t="n">
        <v>189.99</v>
      </c>
      <c r="E141" s="66" t="n">
        <v>207.38</v>
      </c>
      <c r="F141" s="67" t="n">
        <v>0</v>
      </c>
      <c r="G141" s="68" t="n">
        <v>1</v>
      </c>
      <c r="H141" s="68" t="n">
        <v>0</v>
      </c>
      <c r="I141" s="68" t="n"/>
      <c r="J141" s="69" t="n"/>
      <c r="K141" s="69" t="inlineStr">
        <is>
          <t>https://amazon.com/dp/B0C3826SWW</t>
        </is>
      </c>
      <c r="L141" s="114">
        <f>HYPERLINK(Table2927[[#This Row],[Column1]])</f>
        <v/>
      </c>
    </row>
    <row r="142" ht="30" customHeight="1" s="314">
      <c r="A142" s="35" t="inlineStr">
        <is>
          <t>Nexiq 12-Pin Adapter for Komatsu - USB Link 2 Compatible</t>
        </is>
      </c>
      <c r="B142" s="35" t="inlineStr">
        <is>
          <t>B09R8YV16D</t>
        </is>
      </c>
      <c r="C142" s="35" t="inlineStr">
        <is>
          <t>Handheld</t>
        </is>
      </c>
      <c r="D142" s="359" t="n">
        <v>195.9714285714286</v>
      </c>
      <c r="E142" s="66" t="n">
        <v>25884.27</v>
      </c>
      <c r="F142" s="67" t="n">
        <v>0</v>
      </c>
      <c r="G142" s="68" t="n">
        <v>138</v>
      </c>
      <c r="H142" s="68" t="n">
        <v>0</v>
      </c>
      <c r="I142" s="68" t="n">
        <v>7</v>
      </c>
      <c r="J142" s="69" t="n">
        <v>3.8</v>
      </c>
      <c r="K142" s="69" t="inlineStr">
        <is>
          <t>https://amazon.com/dp/B09R8YV16D</t>
        </is>
      </c>
      <c r="L142" s="114">
        <f>HYPERLINK(Table2927[[#This Row],[Column1]])</f>
        <v/>
      </c>
    </row>
    <row r="143" ht="30" customHeight="1" s="314">
      <c r="A143" s="35" t="inlineStr">
        <is>
          <t>PT30 ELD Device + 16-Pin OBDII (Light Medium Duty) Electronic Logging Device with 16-Pin OBDII Cable</t>
        </is>
      </c>
      <c r="B143" s="35" t="inlineStr">
        <is>
          <t>B0DRSZL595</t>
        </is>
      </c>
      <c r="C143" s="35" t="inlineStr">
        <is>
          <t>Cable/Adapter</t>
        </is>
      </c>
      <c r="D143" s="359" t="n">
        <v>199.204705882353</v>
      </c>
      <c r="E143" s="66" t="n">
        <v>53088.51</v>
      </c>
      <c r="F143" s="67" t="n">
        <v>0</v>
      </c>
      <c r="G143" s="68" t="n">
        <v>296</v>
      </c>
      <c r="H143" s="68" t="n">
        <v>0</v>
      </c>
      <c r="I143" s="68" t="n">
        <v>7</v>
      </c>
      <c r="J143" s="69" t="n">
        <v>4.1</v>
      </c>
      <c r="K143" s="69" t="inlineStr">
        <is>
          <t>https://amazon.com/dp/B0DRSZL595</t>
        </is>
      </c>
      <c r="L143" s="114">
        <f>HYPERLINK(Table2927[[#This Row],[Column1]])</f>
        <v/>
      </c>
    </row>
    <row r="144" ht="45" customHeight="1" s="314">
      <c r="A144" s="35" t="inlineStr">
        <is>
          <t>PT30 ELD Device with 14 Pin Cable RP1226 for Flex ELD, TT ELD, Green ELD, Hero ELD</t>
        </is>
      </c>
      <c r="B144" s="35" t="inlineStr">
        <is>
          <t>B0DZGY8QR9</t>
        </is>
      </c>
      <c r="C144" s="35" t="inlineStr">
        <is>
          <t>Cable/Adapter</t>
        </is>
      </c>
      <c r="D144" s="359" t="n">
        <v>200.9371428571428</v>
      </c>
      <c r="E144" s="66" t="n">
        <v>7600.32</v>
      </c>
      <c r="F144" s="67" t="n">
        <v>0</v>
      </c>
      <c r="G144" s="68" t="n">
        <v>41</v>
      </c>
      <c r="H144" s="68" t="n">
        <v>0</v>
      </c>
      <c r="I144" s="68" t="n"/>
      <c r="J144" s="69" t="n"/>
      <c r="K144" s="69" t="inlineStr">
        <is>
          <t>https://amazon.com/dp/B0DZGY8QR9</t>
        </is>
      </c>
      <c r="L144" s="114">
        <f>HYPERLINK(Table2927[[#This Row],[Column1]])</f>
        <v/>
      </c>
    </row>
    <row r="145" ht="30" customHeight="1" s="314">
      <c r="A145" s="35" t="inlineStr">
        <is>
          <t>OBDII to HDMI Monitor/Tuner/Insight Interface Cable, OBDII to HDMI Monitor Cable Plug for Edge CS2 CTS2 CTS3, Replace#H00008000 - [73.2 inches/186 cm]</t>
        </is>
      </c>
      <c r="B145" s="35" t="inlineStr">
        <is>
          <t>B0FNWNYL5G</t>
        </is>
      </c>
      <c r="C145" s="35" t="inlineStr">
        <is>
          <t>Handheld</t>
        </is>
      </c>
      <c r="D145" s="359" t="n">
        <v>13.83</v>
      </c>
      <c r="E145" s="66" t="n">
        <v>70.44</v>
      </c>
      <c r="F145" s="67" t="n">
        <v>0</v>
      </c>
      <c r="G145" s="68" t="n">
        <v>5</v>
      </c>
      <c r="H145" s="68" t="n">
        <v>0</v>
      </c>
      <c r="I145" s="68" t="n">
        <v>1</v>
      </c>
      <c r="J145" s="69" t="n">
        <v>4</v>
      </c>
      <c r="K145" s="69" t="inlineStr">
        <is>
          <t>https://amazon.com/dp/B0FNWNYL5G</t>
        </is>
      </c>
      <c r="L145" s="114">
        <f>HYPERLINK(Table2927[[#This Row],[Column1]])</f>
        <v/>
      </c>
    </row>
    <row r="146" ht="30" customHeight="1" s="314">
      <c r="A146" s="35" t="inlineStr">
        <is>
          <t>NEXIQ Locking 9-Pin CAT Engines Cable for USB- Link 2 &amp; 3</t>
        </is>
      </c>
      <c r="B146" s="35" t="inlineStr">
        <is>
          <t>B0CRVXXBDV</t>
        </is>
      </c>
      <c r="C146" s="35" t="inlineStr">
        <is>
          <t>Cable/Adapter</t>
        </is>
      </c>
      <c r="D146" s="359" t="n">
        <v>172.1975</v>
      </c>
      <c r="E146" s="66" t="n">
        <v>13861.22</v>
      </c>
      <c r="F146" s="67" t="n">
        <v>0</v>
      </c>
      <c r="G146" s="68" t="n">
        <v>80</v>
      </c>
      <c r="H146" s="68" t="n">
        <v>0</v>
      </c>
      <c r="I146" s="68" t="n">
        <v>2</v>
      </c>
      <c r="J146" s="69" t="n">
        <v>5</v>
      </c>
      <c r="K146" s="69" t="inlineStr">
        <is>
          <t>https://amazon.com/dp/B0CRVXXBDV</t>
        </is>
      </c>
      <c r="L146" s="114">
        <f>HYPERLINK(Table2927[[#This Row],[Column1]])</f>
        <v/>
      </c>
    </row>
    <row r="147" ht="45" customHeight="1" s="314">
      <c r="A147" s="35" t="inlineStr">
        <is>
          <t>Generic NEXIQ J1962 Adapter - 16-Pin OBD 2-1 Meter, Black</t>
        </is>
      </c>
      <c r="B147" s="35" t="inlineStr">
        <is>
          <t>B0CRVWCFFD</t>
        </is>
      </c>
      <c r="C147" s="35" t="inlineStr">
        <is>
          <t>Cable/Adapter</t>
        </is>
      </c>
      <c r="D147" s="359" t="n">
        <v>169.442</v>
      </c>
      <c r="E147" s="66" t="n">
        <v>7261.040000000002</v>
      </c>
      <c r="F147" s="67" t="n">
        <v>0</v>
      </c>
      <c r="G147" s="68" t="n">
        <v>44</v>
      </c>
      <c r="H147" s="68" t="n">
        <v>0</v>
      </c>
      <c r="I147" s="68" t="n">
        <v>2</v>
      </c>
      <c r="J147" s="69" t="n">
        <v>3.6</v>
      </c>
      <c r="K147" s="69" t="inlineStr">
        <is>
          <t>https://amazon.com/dp/B0CRVWCFFD</t>
        </is>
      </c>
      <c r="L147" s="114">
        <f>HYPERLINK(Table2927[[#This Row],[Column1]])</f>
        <v/>
      </c>
    </row>
    <row r="148" ht="17" customHeight="1" s="314">
      <c r="A148" s="35" t="inlineStr">
        <is>
          <t>OBD2 WiFi Scanner for iPhone iOS Android Windows Car Code Reader Enhanced Auto Diagnostic Scan Tool Odb2 OBDII Adapter Check Engine Light Live Data Reset Vehicle Performance Test</t>
        </is>
      </c>
      <c r="B148" s="35" t="inlineStr">
        <is>
          <t>B0FCNLM45F</t>
        </is>
      </c>
      <c r="C148" s="35" t="inlineStr">
        <is>
          <t>Dongle</t>
        </is>
      </c>
      <c r="D148" s="359" t="n">
        <v>9.472105263157896</v>
      </c>
      <c r="E148" s="66" t="n">
        <v>3707.3</v>
      </c>
      <c r="F148" s="67" t="n">
        <v>0</v>
      </c>
      <c r="G148" s="68" t="n">
        <v>373</v>
      </c>
      <c r="H148" s="68" t="n">
        <v>0</v>
      </c>
      <c r="I148" s="68" t="n">
        <v>17</v>
      </c>
      <c r="J148" s="69" t="n">
        <v>3.3</v>
      </c>
      <c r="K148" s="69" t="inlineStr">
        <is>
          <t>https://amazon.com/dp/B0FCNLM45F</t>
        </is>
      </c>
      <c r="L148" s="114">
        <f>HYPERLINK(Table2927[[#This Row],[Column1]])</f>
        <v/>
      </c>
    </row>
    <row r="149" ht="30" customHeight="1" s="314">
      <c r="A149" s="35" t="inlineStr">
        <is>
          <t>Diagnostic Tool for DOOSAN uVIM Excavator Forklift Engine Fault Detection OBD Interface DDT CARNICS SCR+DPF+G2 ECU+G2 DCU+G2 2023 Software Scanner</t>
        </is>
      </c>
      <c r="B149" s="35" t="inlineStr">
        <is>
          <t>B0CJV676KM</t>
        </is>
      </c>
      <c r="C149" s="35" t="inlineStr">
        <is>
          <t>VCI</t>
        </is>
      </c>
      <c r="D149" s="359" t="n">
        <v>345</v>
      </c>
      <c r="E149" s="66" t="n">
        <v>0</v>
      </c>
      <c r="F149" s="67" t="n">
        <v>0</v>
      </c>
      <c r="G149" s="68" t="n">
        <v>0</v>
      </c>
      <c r="H149" s="68" t="n">
        <v>0</v>
      </c>
      <c r="I149" s="68" t="n"/>
      <c r="J149" s="69" t="n"/>
      <c r="K149" s="69" t="inlineStr">
        <is>
          <t>https://amazon.com/dp/B0CJV676KM</t>
        </is>
      </c>
      <c r="L149" s="114">
        <f>HYPERLINK(Table2927[[#This Row],[Column1]])</f>
        <v/>
      </c>
    </row>
    <row r="150" ht="30" customHeight="1" s="314">
      <c r="A150" s="35" t="inlineStr">
        <is>
          <t>PT30+Cable for Log Book HOS, DriverLog - Ships Fast-Buy America-Bundle Deal - Panel Cables for Heavy-Duty Volvo - White</t>
        </is>
      </c>
      <c r="B150" s="35" t="inlineStr">
        <is>
          <t>B0CQ419JQ9</t>
        </is>
      </c>
      <c r="C150" s="35" t="inlineStr">
        <is>
          <t>Other</t>
        </is>
      </c>
      <c r="D150" s="359" t="n">
        <v>189.99</v>
      </c>
      <c r="E150" s="66" t="n">
        <v>0</v>
      </c>
      <c r="F150" s="67" t="n">
        <v>0</v>
      </c>
      <c r="G150" s="68" t="n">
        <v>0</v>
      </c>
      <c r="H150" s="68" t="n">
        <v>0</v>
      </c>
      <c r="I150" s="68" t="n"/>
      <c r="J150" s="69" t="n"/>
      <c r="K150" s="69" t="inlineStr">
        <is>
          <t>https://amazon.com/dp/B0CQ419JQ9</t>
        </is>
      </c>
      <c r="L150" s="114">
        <f>HYPERLINK(Table2927[[#This Row],[Column1]])</f>
        <v/>
      </c>
    </row>
    <row r="151" ht="45" customHeight="1" s="314">
      <c r="A151" s="35" t="inlineStr">
        <is>
          <t>478-0235 538-5051 317-7485 ET4 Communication Adapter 2019C 2023A Heavy Duty Diagnostic Tool Tester for Caterpillar CAT Truck Excavator (with Tablet)</t>
        </is>
      </c>
      <c r="B151" s="35" t="inlineStr">
        <is>
          <t>B0CJX1XS84</t>
        </is>
      </c>
      <c r="C151" s="35" t="inlineStr">
        <is>
          <t>VCI</t>
        </is>
      </c>
      <c r="D151" s="359" t="n">
        <v>720</v>
      </c>
      <c r="E151" s="66" t="n">
        <v>0</v>
      </c>
      <c r="F151" s="67" t="n">
        <v>0</v>
      </c>
      <c r="G151" s="68" t="n">
        <v>0</v>
      </c>
      <c r="H151" s="68" t="n">
        <v>0</v>
      </c>
      <c r="I151" s="68" t="n">
        <v>2</v>
      </c>
      <c r="J151" s="69" t="n">
        <v>2.9</v>
      </c>
      <c r="K151" s="69" t="inlineStr">
        <is>
          <t>https://amazon.com/dp/B0CJX1XS84</t>
        </is>
      </c>
      <c r="L151" s="114">
        <f>HYPERLINK(Table2927[[#This Row],[Column1]])</f>
        <v/>
      </c>
    </row>
    <row r="152" ht="30" customHeight="1" s="314">
      <c r="A152" s="35" t="inlineStr">
        <is>
          <t>478-0235 538-5051 317-7485 ET4 Communication Adapter 2019C 2021B Heavy Duty Diagnostic Tool Tester for Caterpillar CAT Truck Excavator (Adapter)</t>
        </is>
      </c>
      <c r="B152" s="35" t="inlineStr">
        <is>
          <t>B0CJTW6VJB</t>
        </is>
      </c>
      <c r="C152" s="35" t="inlineStr">
        <is>
          <t>VCI</t>
        </is>
      </c>
      <c r="D152" s="359" t="n">
        <v>285</v>
      </c>
      <c r="E152" s="66" t="n">
        <v>253.62</v>
      </c>
      <c r="F152" s="67" t="n">
        <v>0</v>
      </c>
      <c r="G152" s="68" t="n">
        <v>1</v>
      </c>
      <c r="H152" s="68" t="n">
        <v>0</v>
      </c>
      <c r="I152" s="68" t="n">
        <v>2</v>
      </c>
      <c r="J152" s="69" t="n">
        <v>2.9</v>
      </c>
      <c r="K152" s="69" t="inlineStr">
        <is>
          <t>https://amazon.com/dp/B0CJTW6VJB</t>
        </is>
      </c>
      <c r="L152" s="114">
        <f>HYPERLINK(Table2927[[#This Row],[Column1]])</f>
        <v/>
      </c>
    </row>
    <row r="153" ht="45" customHeight="1" s="314">
      <c r="A153" s="35" t="inlineStr">
        <is>
          <t>Automatic MCU 51 Microcontroller Downloader Auto Programmer / 3.3V 5V Universal/Dual Voltage USB to TTL Download Cable</t>
        </is>
      </c>
      <c r="B153" s="35" t="inlineStr">
        <is>
          <t>B0CPCZ2WZD</t>
        </is>
      </c>
      <c r="C153" s="35" t="inlineStr">
        <is>
          <t>Handheld</t>
        </is>
      </c>
      <c r="D153" s="359" t="n">
        <v>8.289999999999999</v>
      </c>
      <c r="E153" s="66" t="n">
        <v>8.279999999999999</v>
      </c>
      <c r="F153" s="67" t="n">
        <v>0</v>
      </c>
      <c r="G153" s="68" t="n">
        <v>1</v>
      </c>
      <c r="H153" s="68" t="n">
        <v>0</v>
      </c>
      <c r="I153" s="68" t="n"/>
      <c r="J153" s="69" t="n"/>
      <c r="K153" s="69" t="inlineStr">
        <is>
          <t>https://amazon.com/dp/B0CPCZ2WZD</t>
        </is>
      </c>
      <c r="L153" s="114">
        <f>HYPERLINK(Table2927[[#This Row],[Column1]])</f>
        <v/>
      </c>
    </row>
    <row r="154" ht="45" customHeight="1" s="314">
      <c r="A154" s="35" t="inlineStr">
        <is>
          <t>MPDR Software 3.9 for Heavy Duty Diagnostic Tool Tester The Latest Version for Hitachi EX ZX-1 ZX-3 ZX-3G ZX-5 ZX-6 ZX-7 of Excavator</t>
        </is>
      </c>
      <c r="B154" s="35" t="inlineStr">
        <is>
          <t>B0CJ6F62P9</t>
        </is>
      </c>
      <c r="C154" s="35" t="inlineStr">
        <is>
          <t>VCI</t>
        </is>
      </c>
      <c r="D154" s="359" t="n">
        <v>90</v>
      </c>
      <c r="E154" s="66" t="n">
        <v>91.42</v>
      </c>
      <c r="F154" s="67" t="n">
        <v>0</v>
      </c>
      <c r="G154" s="68" t="n">
        <v>1</v>
      </c>
      <c r="H154" s="68" t="n">
        <v>0</v>
      </c>
      <c r="I154" s="68" t="n"/>
      <c r="J154" s="69" t="n"/>
      <c r="K154" s="69" t="inlineStr">
        <is>
          <t>https://amazon.com/dp/B0CJ6F62P9</t>
        </is>
      </c>
      <c r="L154" s="114">
        <f>HYPERLINK(Table2927[[#This Row],[Column1]])</f>
        <v/>
      </c>
    </row>
    <row r="155" ht="30" customHeight="1" s="314">
      <c r="A155" s="35" t="inlineStr">
        <is>
          <t>Generic Diagnostic Port Adapter Cable OBD-II CAN for Tesla Model S/X 2012 - September 2015</t>
        </is>
      </c>
      <c r="B155" s="35" t="inlineStr">
        <is>
          <t>B0C6YNS37B</t>
        </is>
      </c>
      <c r="C155" s="35" t="inlineStr">
        <is>
          <t>Cable/Adapter</t>
        </is>
      </c>
      <c r="D155" s="359" t="n">
        <v>34.95</v>
      </c>
      <c r="E155" s="66" t="n">
        <v>35.53</v>
      </c>
      <c r="F155" s="67" t="n">
        <v>0</v>
      </c>
      <c r="G155" s="68" t="n">
        <v>1</v>
      </c>
      <c r="H155" s="68" t="n">
        <v>0</v>
      </c>
      <c r="I155" s="68" t="n">
        <v>1</v>
      </c>
      <c r="J155" s="69" t="n">
        <v>4</v>
      </c>
      <c r="K155" s="69" t="inlineStr">
        <is>
          <t>https://amazon.com/dp/B0C6YNS37B</t>
        </is>
      </c>
      <c r="L155" s="114">
        <f>HYPERLINK(Table2927[[#This Row],[Column1]])</f>
        <v/>
      </c>
    </row>
    <row r="156" ht="45" customHeight="1" s="314">
      <c r="A156" s="35" t="inlineStr">
        <is>
          <t>for Nexiq 3 121054 USB Link 3 Wired Edition,Universal Truck Excavator Diagnostic Scanner Repair for Heavy Duty Diesel Engine Code Reader Tool (Nexiq3 Laptop with All Software)</t>
        </is>
      </c>
      <c r="B156" s="35" t="inlineStr">
        <is>
          <t>B0FNR29DJB</t>
        </is>
      </c>
      <c r="C156" s="35" t="inlineStr">
        <is>
          <t>VCI</t>
        </is>
      </c>
      <c r="D156" s="359" t="n">
        <v>1499</v>
      </c>
      <c r="E156" s="66" t="n">
        <v>0</v>
      </c>
      <c r="F156" s="67" t="n">
        <v>0</v>
      </c>
      <c r="G156" s="68" t="n">
        <v>0</v>
      </c>
      <c r="H156" s="68" t="n">
        <v>0</v>
      </c>
      <c r="I156" s="68" t="n"/>
      <c r="J156" s="69" t="n"/>
      <c r="K156" s="69" t="inlineStr">
        <is>
          <t>https://amazon.com/dp/B0FNR29DJB</t>
        </is>
      </c>
      <c r="L156" s="114">
        <f>HYPERLINK(Table2927[[#This Row],[Column1]])</f>
        <v/>
      </c>
    </row>
    <row r="157" ht="45" customHeight="1" s="314">
      <c r="A157" s="35" t="inlineStr">
        <is>
          <t>VTech OBD2 Bluetooth Scanner Car Diagnostic Tool, Auto Code Reader with Real-time Data, Engine Fault Check for Android iOS Windows, 2-Pack Value Bundle</t>
        </is>
      </c>
      <c r="B157" s="35" t="inlineStr">
        <is>
          <t>B0GMDGH1CB</t>
        </is>
      </c>
      <c r="C157" s="35" t="inlineStr">
        <is>
          <t>Handheld</t>
        </is>
      </c>
      <c r="D157" s="359" t="n">
        <v>25.94</v>
      </c>
      <c r="E157" s="66" t="n">
        <v>91.73999999999999</v>
      </c>
      <c r="F157" s="67" t="n">
        <v>0</v>
      </c>
      <c r="G157" s="68" t="n">
        <v>4</v>
      </c>
      <c r="H157" s="68" t="n">
        <v>0</v>
      </c>
      <c r="I157" s="68" t="n"/>
      <c r="J157" s="69" t="n"/>
      <c r="K157" s="69" t="inlineStr">
        <is>
          <t>https://amazon.com/dp/B0GMDGH1CB</t>
        </is>
      </c>
      <c r="L157" s="114">
        <f>HYPERLINK(Table2927[[#This Row],[Column1]])</f>
        <v/>
      </c>
    </row>
    <row r="158" ht="45" customHeight="1" s="314">
      <c r="A158" s="35" t="inlineStr">
        <is>
          <t>OBD2 Scanner MaxiScan MS309 Car Check Engine Code Reader, Check Emission Monitor Status, CAN Diagnostic Scan Tool for All OBD II Protocol Vehicles After 1996</t>
        </is>
      </c>
      <c r="B158" s="35" t="inlineStr">
        <is>
          <t>B0CPLZ7CC5</t>
        </is>
      </c>
      <c r="C158" s="35" t="inlineStr">
        <is>
          <t>Handheld</t>
        </is>
      </c>
      <c r="D158" s="359" t="n">
        <v>14.99</v>
      </c>
      <c r="E158" s="66" t="n">
        <v>110.41</v>
      </c>
      <c r="F158" s="67" t="n">
        <v>0</v>
      </c>
      <c r="G158" s="68" t="n">
        <v>7</v>
      </c>
      <c r="H158" s="68" t="n">
        <v>0</v>
      </c>
      <c r="I158" s="68" t="n">
        <v>2</v>
      </c>
      <c r="J158" s="69" t="n">
        <v>4.6</v>
      </c>
      <c r="K158" s="69" t="inlineStr">
        <is>
          <t>https://amazon.com/dp/B0CPLZ7CC5</t>
        </is>
      </c>
      <c r="L158" s="114">
        <f>HYPERLINK(Table2927[[#This Row],[Column1]])</f>
        <v/>
      </c>
    </row>
    <row r="159" ht="45" customHeight="1" s="314">
      <c r="A159" s="35" t="inlineStr">
        <is>
          <t>Waterproof Motorcycle OBD2 Diagnosis Connector Set - 6 Pin Male Plug and Female Socket with Cable for Hong-da Yamha</t>
        </is>
      </c>
      <c r="B159" s="35" t="inlineStr">
        <is>
          <t>B0D67B8HJB</t>
        </is>
      </c>
      <c r="C159" s="35" t="inlineStr">
        <is>
          <t>Cable/Adapter</t>
        </is>
      </c>
      <c r="D159" s="359" t="n">
        <v>10.99</v>
      </c>
      <c r="E159" s="66" t="n">
        <v>70.20999999999999</v>
      </c>
      <c r="F159" s="67" t="n">
        <v>0</v>
      </c>
      <c r="G159" s="68" t="n">
        <v>6</v>
      </c>
      <c r="H159" s="68" t="n">
        <v>0</v>
      </c>
      <c r="I159" s="68" t="n"/>
      <c r="J159" s="69" t="n"/>
      <c r="K159" s="69" t="inlineStr">
        <is>
          <t>https://amazon.com/dp/B0D67B8HJB</t>
        </is>
      </c>
      <c r="L159" s="114">
        <f>HYPERLINK(Table2927[[#This Row],[Column1]])</f>
        <v/>
      </c>
    </row>
    <row r="160" ht="30" customHeight="1" s="314">
      <c r="A160" s="35" t="inlineStr">
        <is>
          <t>VCM3 Diagnostic Tool Vehicle Diagnostic Scanner with Drivers Communication VCM 3 Module 3 with Software Installed (VCM3)</t>
        </is>
      </c>
      <c r="B160" s="35" t="inlineStr">
        <is>
          <t>B0FWR24SH7</t>
        </is>
      </c>
      <c r="C160" s="35" t="inlineStr">
        <is>
          <t>VCI</t>
        </is>
      </c>
      <c r="D160" s="359" t="n">
        <v>845</v>
      </c>
      <c r="E160" s="66" t="n">
        <v>0</v>
      </c>
      <c r="F160" s="67" t="n">
        <v>0</v>
      </c>
      <c r="G160" s="68" t="n">
        <v>0</v>
      </c>
      <c r="H160" s="68" t="n">
        <v>0</v>
      </c>
      <c r="I160" s="68" t="n"/>
      <c r="J160" s="69" t="n"/>
      <c r="K160" s="69" t="inlineStr">
        <is>
          <t>https://amazon.com/dp/B0FWR24SH7</t>
        </is>
      </c>
      <c r="L160" s="114">
        <f>HYPERLINK(Table2927[[#This Row],[Column1]])</f>
        <v/>
      </c>
    </row>
    <row r="161" ht="45" customHeight="1" s="314">
      <c r="A161" s="35" t="inlineStr">
        <is>
          <t>for Deutz Diagnostic Scanner Tool for Deutz DeCOM SerDia Software Support CAN K/L-Line for Deutz DECOM Controllers Diagnosis kit with 4.0 Dongle Software</t>
        </is>
      </c>
      <c r="B161" s="35" t="inlineStr">
        <is>
          <t>B0CJ6JDW4Z</t>
        </is>
      </c>
      <c r="C161" s="35" t="inlineStr">
        <is>
          <t>VCI</t>
        </is>
      </c>
      <c r="D161" s="359" t="n">
        <v>1430</v>
      </c>
      <c r="E161" s="66" t="n">
        <v>15031.41</v>
      </c>
      <c r="F161" s="67" t="n">
        <v>0</v>
      </c>
      <c r="G161" s="68" t="n">
        <v>10</v>
      </c>
      <c r="H161" s="68" t="n">
        <v>0</v>
      </c>
      <c r="I161" s="68" t="n"/>
      <c r="J161" s="69" t="n"/>
      <c r="K161" s="69" t="inlineStr">
        <is>
          <t>https://amazon.com/dp/B0CJ6JDW4Z</t>
        </is>
      </c>
      <c r="L161" s="114">
        <f>HYPERLINK(Table2927[[#This Row],[Column1]])</f>
        <v/>
      </c>
    </row>
    <row r="162" ht="45" customHeight="1" s="314">
      <c r="A162" s="35" t="inlineStr">
        <is>
          <t>Multi-Function LED BDM Frame Holder ECU Read/Write Station with 4 Probe pens for BDM100 Kess KTAG</t>
        </is>
      </c>
      <c r="B162" s="35" t="inlineStr">
        <is>
          <t>B0DH1KLHB8</t>
        </is>
      </c>
      <c r="C162" s="35" t="inlineStr">
        <is>
          <t>Other</t>
        </is>
      </c>
      <c r="D162" s="359" t="n">
        <v>49.99</v>
      </c>
      <c r="E162" s="66" t="n">
        <v>605.6099999999999</v>
      </c>
      <c r="F162" s="67" t="n">
        <v>0</v>
      </c>
      <c r="G162" s="68" t="n">
        <v>12</v>
      </c>
      <c r="H162" s="68" t="n">
        <v>0</v>
      </c>
      <c r="I162" s="68" t="n">
        <v>1</v>
      </c>
      <c r="J162" s="69" t="n">
        <v>5</v>
      </c>
      <c r="K162" s="69" t="inlineStr">
        <is>
          <t>https://amazon.com/dp/B0DH1KLHB8</t>
        </is>
      </c>
      <c r="L162" s="114">
        <f>HYPERLINK(Table2927[[#This Row],[Column1]])</f>
        <v/>
      </c>
    </row>
    <row r="163" ht="30" customHeight="1" s="314">
      <c r="A163" s="35" t="inlineStr">
        <is>
          <t>Scanner Diagnostic Tool Service System IDSS Hardware and Software Solution for Truck Diagnosis and Repair for Isuzu G-IDSS Products are unive (G-IDSS with Laptop)</t>
        </is>
      </c>
      <c r="B163" s="35" t="inlineStr">
        <is>
          <t>B0CLGSCRKN</t>
        </is>
      </c>
      <c r="C163" s="35" t="inlineStr">
        <is>
          <t>VCI</t>
        </is>
      </c>
      <c r="D163" s="359" t="n">
        <v>1782</v>
      </c>
      <c r="E163" s="66" t="n">
        <v>4662.71</v>
      </c>
      <c r="F163" s="67" t="n">
        <v>0</v>
      </c>
      <c r="G163" s="68" t="n">
        <v>3</v>
      </c>
      <c r="H163" s="68" t="n">
        <v>0</v>
      </c>
      <c r="I163" s="68" t="n"/>
      <c r="J163" s="69" t="n"/>
      <c r="K163" s="69" t="inlineStr">
        <is>
          <t>https://amazon.com/dp/B0CLGSCRKN</t>
        </is>
      </c>
      <c r="L163" s="114">
        <f>HYPERLINK(Table2927[[#This Row],[Column1]])</f>
        <v/>
      </c>
    </row>
    <row r="164" ht="45" customHeight="1" s="314">
      <c r="A164" s="35" t="inlineStr">
        <is>
          <t>OBD2 Scanner Code Reader – Plug-in Car Diagnostic Tool for Check Engine Light – Compatible with Most 1996 &amp; Newer Cars, Trucks &amp; SUVs – Easy-to-Use OBD II Reader for DIY Mechanics</t>
        </is>
      </c>
      <c r="B164" s="35" t="inlineStr">
        <is>
          <t>B0CVKZNZPJ</t>
        </is>
      </c>
      <c r="C164" s="35" t="inlineStr">
        <is>
          <t>Handheld</t>
        </is>
      </c>
      <c r="D164" s="359" t="n">
        <v>49.95</v>
      </c>
      <c r="E164" s="66" t="n">
        <v>1323.26</v>
      </c>
      <c r="F164" s="67" t="n">
        <v>0</v>
      </c>
      <c r="G164" s="68" t="n">
        <v>35</v>
      </c>
      <c r="H164" s="68" t="n">
        <v>0</v>
      </c>
      <c r="I164" s="68" t="n">
        <v>45</v>
      </c>
      <c r="J164" s="69" t="n">
        <v>4.5</v>
      </c>
      <c r="K164" s="69" t="inlineStr">
        <is>
          <t>https://amazon.com/dp/B0CVKZNZPJ</t>
        </is>
      </c>
      <c r="L164" s="114">
        <f>HYPERLINK(Table2927[[#This Row],[Column1]])</f>
        <v/>
      </c>
    </row>
    <row r="165" ht="17" customHeight="1" s="314">
      <c r="A165" s="35" t="inlineStr">
        <is>
          <t>SDP3 2.50.1 for SCA-nia VCI-3 VCI3 Scanner WiFi Wireless SCAN Trucks Heavy Duty Diagnostic Tool</t>
        </is>
      </c>
      <c r="B165" s="35" t="inlineStr">
        <is>
          <t>B0CJ6JKXT1</t>
        </is>
      </c>
      <c r="C165" s="35" t="inlineStr">
        <is>
          <t>VCI</t>
        </is>
      </c>
      <c r="D165" s="359" t="n">
        <v>115</v>
      </c>
      <c r="E165" s="66" t="n">
        <v>886.51</v>
      </c>
      <c r="F165" s="67" t="n">
        <v>0</v>
      </c>
      <c r="G165" s="68" t="n">
        <v>7</v>
      </c>
      <c r="H165" s="68" t="n">
        <v>0</v>
      </c>
      <c r="I165" s="68" t="n"/>
      <c r="J165" s="69" t="n"/>
      <c r="K165" s="69" t="inlineStr">
        <is>
          <t>https://amazon.com/dp/B0CJ6JKXT1</t>
        </is>
      </c>
      <c r="L165" s="114">
        <f>HYPERLINK(Table2927[[#This Row],[Column1]])</f>
        <v/>
      </c>
    </row>
    <row r="166" ht="45" customHeight="1" s="314">
      <c r="A166" s="35" t="inlineStr">
        <is>
          <t>for Nexiq 3 121054 USB Link 3 Wired Edition,Universal Truck Excavator Diagnostic Scanner Repair for Heavy Duty Diesel Engine Code Reader Tool (Nexiq 3)</t>
        </is>
      </c>
      <c r="B166" s="35" t="inlineStr">
        <is>
          <t>B0FNR1N6TM</t>
        </is>
      </c>
      <c r="C166" s="35" t="inlineStr">
        <is>
          <t>VCI</t>
        </is>
      </c>
      <c r="D166" s="359" t="n">
        <v>658</v>
      </c>
      <c r="E166" s="66" t="n">
        <v>2609.97</v>
      </c>
      <c r="F166" s="67" t="n">
        <v>0</v>
      </c>
      <c r="G166" s="68" t="n">
        <v>5</v>
      </c>
      <c r="H166" s="68" t="n">
        <v>0</v>
      </c>
      <c r="I166" s="68" t="n"/>
      <c r="J166" s="69" t="n"/>
      <c r="K166" s="69" t="inlineStr">
        <is>
          <t>https://amazon.com/dp/B0FNR1N6TM</t>
        </is>
      </c>
      <c r="L166" s="114">
        <f>HYPERLINK(Table2927[[#This Row],[Column1]])</f>
        <v/>
      </c>
    </row>
    <row r="167" ht="45" customHeight="1" s="314">
      <c r="A167" s="35" t="inlineStr">
        <is>
          <t>PT30+Cable Bundle-ELD Geosavi Buy America (PT30+Orange &amp; Gray Cable ForVolvoTrucks)</t>
        </is>
      </c>
      <c r="B167" s="35" t="inlineStr">
        <is>
          <t>B0CTTWQWXK</t>
        </is>
      </c>
      <c r="C167" s="35" t="inlineStr">
        <is>
          <t>Other</t>
        </is>
      </c>
      <c r="D167" s="359" t="n">
        <v>189.99</v>
      </c>
      <c r="E167" s="66" t="n">
        <v>1176.56</v>
      </c>
      <c r="F167" s="67" t="n">
        <v>0</v>
      </c>
      <c r="G167" s="68" t="n">
        <v>6</v>
      </c>
      <c r="H167" s="68" t="n">
        <v>0</v>
      </c>
      <c r="I167" s="68" t="n"/>
      <c r="J167" s="69" t="n"/>
      <c r="K167" s="69" t="inlineStr">
        <is>
          <t>https://amazon.com/dp/B0CTTWQWXK</t>
        </is>
      </c>
      <c r="L167" s="114">
        <f>HYPERLINK(Table2927[[#This Row],[Column1]])</f>
        <v/>
      </c>
    </row>
    <row r="168" ht="30" customHeight="1" s="314">
      <c r="A168" s="35" t="inlineStr">
        <is>
          <t>LCD Screen for Autel MaxiCOM MX808 DS808 MP808 MK808 MK808TS MK808</t>
        </is>
      </c>
      <c r="B168" s="35" t="inlineStr">
        <is>
          <t>B0DSHVB5CH</t>
        </is>
      </c>
      <c r="C168" s="35" t="inlineStr">
        <is>
          <t>Tablet</t>
        </is>
      </c>
      <c r="D168" s="359" t="n">
        <v>58.9</v>
      </c>
      <c r="E168" s="66" t="n">
        <v>197.6</v>
      </c>
      <c r="F168" s="67" t="n">
        <v>0</v>
      </c>
      <c r="G168" s="68" t="n">
        <v>3</v>
      </c>
      <c r="H168" s="68" t="n">
        <v>0</v>
      </c>
      <c r="I168" s="68" t="n"/>
      <c r="J168" s="69" t="n"/>
      <c r="K168" s="69" t="inlineStr">
        <is>
          <t>https://amazon.com/dp/B0DSHVB5CH</t>
        </is>
      </c>
      <c r="L168" s="114">
        <f>HYPERLINK(Table2927[[#This Row],[Column1]])</f>
        <v/>
      </c>
    </row>
    <row r="169" ht="45" customHeight="1" s="314">
      <c r="A169" s="35" t="inlineStr">
        <is>
          <t>CAR Diagnostic Scanner G-SCAN Zenith Z5: Basic KIT 12, 24 vl Automotive Diagnosis Best Asian Vehicle Coverage Nissan, Hyundai, and Kia</t>
        </is>
      </c>
      <c r="B169" s="35" t="inlineStr">
        <is>
          <t>B0CZ7K5VGB</t>
        </is>
      </c>
      <c r="C169" s="35" t="inlineStr">
        <is>
          <t>Handheld</t>
        </is>
      </c>
      <c r="D169" s="359" t="n">
        <v>1590</v>
      </c>
      <c r="E169" s="66" t="n">
        <v>4170</v>
      </c>
      <c r="F169" s="67" t="n">
        <v>0</v>
      </c>
      <c r="G169" s="68" t="n">
        <v>3</v>
      </c>
      <c r="H169" s="68" t="n">
        <v>0</v>
      </c>
      <c r="I169" s="68" t="n"/>
      <c r="J169" s="69" t="n"/>
      <c r="K169" s="69" t="inlineStr">
        <is>
          <t>https://amazon.com/dp/B0CZ7K5VGB</t>
        </is>
      </c>
      <c r="L169" s="114">
        <f>HYPERLINK(Table2927[[#This Row],[Column1]])</f>
        <v/>
      </c>
    </row>
    <row r="170" ht="45" customHeight="1" s="314">
      <c r="A170" s="35" t="inlineStr">
        <is>
          <t>88894000 for Vocom II Communications Unit Adapter - Diagnostic Tool with Software for Trucks, Excavators, Buses and Yachts (Tool with Laptop CF53)</t>
        </is>
      </c>
      <c r="B170" s="35" t="inlineStr">
        <is>
          <t>B0FH4RW9GG</t>
        </is>
      </c>
      <c r="C170" s="35" t="inlineStr">
        <is>
          <t>VCI</t>
        </is>
      </c>
      <c r="D170" s="359" t="n">
        <v>920</v>
      </c>
      <c r="E170" s="66" t="n">
        <v>950.99</v>
      </c>
      <c r="F170" s="67" t="n">
        <v>0</v>
      </c>
      <c r="G170" s="68" t="n">
        <v>1</v>
      </c>
      <c r="H170" s="68" t="n">
        <v>0</v>
      </c>
      <c r="I170" s="68" t="n"/>
      <c r="J170" s="69" t="n"/>
      <c r="K170" s="69" t="inlineStr">
        <is>
          <t>https://amazon.com/dp/B0FH4RW9GG</t>
        </is>
      </c>
      <c r="L170" s="114">
        <f>HYPERLINK(Table2927[[#This Row],[Column1]])</f>
        <v/>
      </c>
    </row>
    <row r="171" ht="45" customHeight="1" s="314">
      <c r="A171" s="35" t="inlineStr">
        <is>
          <t>317-7485 for Caterpillar ET3 Communication Adapter Diagnostic Tool Truck Excavator Engine with 2019C 6+9+14pin Cable</t>
        </is>
      </c>
      <c r="B171" s="35" t="inlineStr">
        <is>
          <t>B0CJ6JS9M1</t>
        </is>
      </c>
      <c r="C171" s="35" t="inlineStr">
        <is>
          <t>VCI</t>
        </is>
      </c>
      <c r="D171" s="359" t="n">
        <v>260</v>
      </c>
      <c r="E171" s="66" t="n">
        <v>1786.74</v>
      </c>
      <c r="F171" s="67" t="n">
        <v>0</v>
      </c>
      <c r="G171" s="68" t="n">
        <v>7</v>
      </c>
      <c r="H171" s="68" t="n">
        <v>0</v>
      </c>
      <c r="I171" s="68" t="n">
        <v>3</v>
      </c>
      <c r="J171" s="69" t="n">
        <v>2.2</v>
      </c>
      <c r="K171" s="69" t="inlineStr">
        <is>
          <t>https://amazon.com/dp/B0CJ6JS9M1</t>
        </is>
      </c>
      <c r="L171" s="114">
        <f>HYPERLINK(Table2927[[#This Row],[Column1]])</f>
        <v/>
      </c>
    </row>
    <row r="172" ht="45" customHeight="1" s="314">
      <c r="A172" s="35" t="inlineStr">
        <is>
          <t>EOKING OBD2 Scanner Diagnostic Tool, Check Engine Code Reader OBD2 Scanner with Reset 65,000+DTCs Auto Check Engine Light Fixd Car Scan OBD/EOBD Reset &amp; I/M for All OBDII Vehicles Since 1996 &amp; Newer</t>
        </is>
      </c>
      <c r="B172" s="35" t="inlineStr">
        <is>
          <t>B0D8TF3XR6</t>
        </is>
      </c>
      <c r="C172" s="35" t="inlineStr">
        <is>
          <t>Handheld</t>
        </is>
      </c>
      <c r="D172" s="359" t="n">
        <v>49.99</v>
      </c>
      <c r="E172" s="66" t="n">
        <v>933.48</v>
      </c>
      <c r="F172" s="67" t="n">
        <v>0</v>
      </c>
      <c r="G172" s="68" t="n">
        <v>29</v>
      </c>
      <c r="H172" s="68" t="n">
        <v>0</v>
      </c>
      <c r="I172" s="68" t="n">
        <v>71</v>
      </c>
      <c r="J172" s="69" t="n">
        <v>3.9</v>
      </c>
      <c r="K172" s="69" t="inlineStr">
        <is>
          <t>https://amazon.com/dp/B0D8TF3XR6</t>
        </is>
      </c>
      <c r="L172" s="114">
        <f>HYPERLINK(Table2927[[#This Row],[Column1]])</f>
        <v/>
      </c>
    </row>
    <row r="173" ht="30" customHeight="1" s="314">
      <c r="A173" s="35" t="inlineStr">
        <is>
          <t>478-0235 538-5051 317-7485 ET4 Communication Adapter 3 2023A 2021B 2019C for Caterpillar Adapter 3 Heavy Duty Truck Diagnostic Tool (with Laptop)</t>
        </is>
      </c>
      <c r="B173" s="35" t="inlineStr">
        <is>
          <t>B0CJ6JK5Q4</t>
        </is>
      </c>
      <c r="C173" s="35" t="inlineStr">
        <is>
          <t>VCI</t>
        </is>
      </c>
      <c r="D173" s="359" t="n">
        <v>800</v>
      </c>
      <c r="E173" s="66" t="n">
        <v>5124.71</v>
      </c>
      <c r="F173" s="67" t="n">
        <v>0</v>
      </c>
      <c r="G173" s="68" t="n">
        <v>7</v>
      </c>
      <c r="H173" s="68" t="n">
        <v>0</v>
      </c>
      <c r="I173" s="68" t="n">
        <v>4</v>
      </c>
      <c r="J173" s="69" t="n">
        <v>3.8</v>
      </c>
      <c r="K173" s="69" t="inlineStr">
        <is>
          <t>https://amazon.com/dp/B0CJ6JK5Q4</t>
        </is>
      </c>
      <c r="L173" s="114">
        <f>HYPERLINK(Table2927[[#This Row],[Column1]])</f>
        <v/>
      </c>
    </row>
    <row r="174" ht="45" customHeight="1" s="314">
      <c r="A174" s="35" t="inlineStr">
        <is>
          <t>Diagnostic for DOOSAN uvim Scanner kit Heavy Duty Communication Interface Forklift Excavator Loader Diagnostic Tool (2016 Software)</t>
        </is>
      </c>
      <c r="B174" s="35" t="inlineStr">
        <is>
          <t>B0CJTWYTVB</t>
        </is>
      </c>
      <c r="C174" s="35" t="inlineStr">
        <is>
          <t>VCI</t>
        </is>
      </c>
      <c r="D174" s="359" t="n">
        <v>880</v>
      </c>
      <c r="E174" s="66" t="n">
        <v>12320.74</v>
      </c>
      <c r="F174" s="67" t="n">
        <v>0</v>
      </c>
      <c r="G174" s="68" t="n">
        <v>15</v>
      </c>
      <c r="H174" s="68" t="n">
        <v>0</v>
      </c>
      <c r="I174" s="68" t="n"/>
      <c r="J174" s="69" t="n"/>
      <c r="K174" s="69" t="inlineStr">
        <is>
          <t>https://amazon.com/dp/B0CJTWYTVB</t>
        </is>
      </c>
      <c r="L174" s="114">
        <f>HYPERLINK(Table2927[[#This Row],[Column1]])</f>
        <v/>
      </c>
    </row>
    <row r="175" ht="45" customHeight="1" s="314">
      <c r="A175" s="35" t="inlineStr">
        <is>
          <t>V750 OBDII Auto Scanner Diagnostic Tool for 12V Cars, Check Engine Light Fault Code Reader, CAN EOBD Scanner for 1996+ Vehicles Scan Tool</t>
        </is>
      </c>
      <c r="B175" s="35" t="inlineStr">
        <is>
          <t>B0GWFJDBN3</t>
        </is>
      </c>
      <c r="C175" s="35" t="inlineStr">
        <is>
          <t>Handheld</t>
        </is>
      </c>
      <c r="D175" s="359" t="n">
        <v>17.99</v>
      </c>
      <c r="E175" s="66" t="n">
        <v>0</v>
      </c>
      <c r="F175" s="67" t="n">
        <v>0</v>
      </c>
      <c r="G175" s="68" t="n">
        <v>0</v>
      </c>
      <c r="H175" s="68" t="n">
        <v>0</v>
      </c>
      <c r="I175" s="68" t="n"/>
      <c r="J175" s="69" t="n"/>
      <c r="K175" s="69" t="inlineStr">
        <is>
          <t>https://amazon.com/dp/B0GWFJDBN3</t>
        </is>
      </c>
      <c r="L175" s="114">
        <f>HYPERLINK(Table2927[[#This Row],[Column1]])</f>
        <v/>
      </c>
    </row>
    <row r="176" ht="30" customHeight="1" s="314">
      <c r="A176" s="35" t="inlineStr">
        <is>
          <t>NEXIQ USB Link 3 Wired Bundle with J560 PLC Adapter</t>
        </is>
      </c>
      <c r="B176" s="35" t="inlineStr">
        <is>
          <t>B0D684VLV2</t>
        </is>
      </c>
      <c r="C176" s="35" t="inlineStr">
        <is>
          <t>VCI</t>
        </is>
      </c>
      <c r="D176" s="359" t="n">
        <v>1075</v>
      </c>
      <c r="E176" s="66" t="n">
        <v>9326.380000000001</v>
      </c>
      <c r="F176" s="67" t="n">
        <v>0</v>
      </c>
      <c r="G176" s="68" t="n">
        <v>10</v>
      </c>
      <c r="H176" s="68" t="n">
        <v>0</v>
      </c>
      <c r="I176" s="68" t="n"/>
      <c r="J176" s="69" t="n"/>
      <c r="K176" s="69" t="inlineStr">
        <is>
          <t>https://amazon.com/dp/B0D684VLV2</t>
        </is>
      </c>
      <c r="L176" s="114">
        <f>HYPERLINK(Table2927[[#This Row],[Column1]])</f>
        <v/>
      </c>
    </row>
    <row r="177" ht="17" customHeight="1" s="314">
      <c r="A177" s="35" t="inlineStr">
        <is>
          <t>Diagnostic Cable Fit for Paccar MX13 EPA17 ACM,for Heavy Duty/Commercial Vehicles,Engine Diagnose Issues Wiring Harness</t>
        </is>
      </c>
      <c r="B177" s="35" t="inlineStr">
        <is>
          <t>B0G1LLDH6C</t>
        </is>
      </c>
      <c r="C177" s="35" t="inlineStr">
        <is>
          <t>Cable/Adapter</t>
        </is>
      </c>
      <c r="D177" s="359" t="n">
        <v>59.99</v>
      </c>
      <c r="E177" s="66" t="n">
        <v>854.09</v>
      </c>
      <c r="F177" s="67" t="n">
        <v>0</v>
      </c>
      <c r="G177" s="68" t="n">
        <v>10</v>
      </c>
      <c r="H177" s="68" t="n">
        <v>0</v>
      </c>
      <c r="I177" s="68" t="n">
        <v>1</v>
      </c>
      <c r="J177" s="69" t="n">
        <v>1</v>
      </c>
      <c r="K177" s="69" t="inlineStr">
        <is>
          <t>https://amazon.com/dp/B0G1LLDH6C</t>
        </is>
      </c>
      <c r="L177" s="114">
        <f>HYPERLINK(Table2927[[#This Row],[Column1]])</f>
        <v/>
      </c>
    </row>
    <row r="178" ht="30" customHeight="1" s="314">
      <c r="A178" s="35" t="inlineStr">
        <is>
          <t>DC24K Bluetooth OBD2 Scanner Diagnostic Tool 24V for iOS &amp; Android | Car Code Reader &amp; Engine Light Reset | Wireless Car Computer Diagnostic | OBDII Scanner for All Vehicles (RED)</t>
        </is>
      </c>
      <c r="B178" s="35" t="inlineStr">
        <is>
          <t>B0F8H9MCNW</t>
        </is>
      </c>
      <c r="C178" s="35" t="inlineStr">
        <is>
          <t>Dongle</t>
        </is>
      </c>
      <c r="D178" s="359" t="n">
        <v>34.99</v>
      </c>
      <c r="E178" s="66" t="n">
        <v>545.89</v>
      </c>
      <c r="F178" s="67" t="n">
        <v>0</v>
      </c>
      <c r="G178" s="68" t="n">
        <v>17</v>
      </c>
      <c r="H178" s="68" t="n">
        <v>0</v>
      </c>
      <c r="I178" s="68" t="n">
        <v>3</v>
      </c>
      <c r="J178" s="69" t="n">
        <v>3.4</v>
      </c>
      <c r="K178" s="69" t="inlineStr">
        <is>
          <t>https://amazon.com/dp/B0F8H9MCNW</t>
        </is>
      </c>
      <c r="L178" s="114">
        <f>HYPERLINK(Table2927[[#This Row],[Column1]])</f>
        <v/>
      </c>
    </row>
    <row r="179" ht="45" customHeight="1" s="314">
      <c r="A179" s="35" t="inlineStr">
        <is>
          <t>DC24K Bluetooth OBD2 Scanner Diagnostic Tool 24V for iOS &amp; Android | Car Code Reader &amp; Engine Light Reset | Wireless Car Computer Diagnostic | OBDII Scanner for All Vehicles (Black)</t>
        </is>
      </c>
      <c r="B179" s="35" t="inlineStr">
        <is>
          <t>B0F8HHHCB4</t>
        </is>
      </c>
      <c r="C179" s="35" t="inlineStr">
        <is>
          <t>Dongle</t>
        </is>
      </c>
      <c r="D179" s="359" t="n">
        <v>34.99</v>
      </c>
      <c r="E179" s="66" t="n">
        <v>543.96</v>
      </c>
      <c r="F179" s="67" t="n">
        <v>0</v>
      </c>
      <c r="G179" s="68" t="n">
        <v>17</v>
      </c>
      <c r="H179" s="68" t="n">
        <v>0</v>
      </c>
      <c r="I179" s="68" t="n">
        <v>3</v>
      </c>
      <c r="J179" s="69" t="n">
        <v>3.4</v>
      </c>
      <c r="K179" s="69" t="inlineStr">
        <is>
          <t>https://amazon.com/dp/B0F8HHHCB4</t>
        </is>
      </c>
      <c r="L179" s="114">
        <f>HYPERLINK(Table2927[[#This Row],[Column1]])</f>
        <v/>
      </c>
    </row>
    <row r="180" ht="45" customHeight="1" s="314">
      <c r="A180" s="35" t="inlineStr">
        <is>
          <t>DC24K Bluetooth OBD2 Scanner Diagnostic Tool 24V for iOS &amp; Android | Car Code Reader &amp; Engine Light Reset | Wireless Car Computer Diagnostic | OBDII Scanner for All Vehicles (Green)</t>
        </is>
      </c>
      <c r="B180" s="35" t="inlineStr">
        <is>
          <t>B0F8HFRDHR</t>
        </is>
      </c>
      <c r="C180" s="35" t="inlineStr">
        <is>
          <t>Dongle</t>
        </is>
      </c>
      <c r="D180" s="359" t="n">
        <v>34.99</v>
      </c>
      <c r="E180" s="66" t="n">
        <v>545.3500000000001</v>
      </c>
      <c r="F180" s="67" t="n">
        <v>0</v>
      </c>
      <c r="G180" s="68" t="n">
        <v>16</v>
      </c>
      <c r="H180" s="68" t="n">
        <v>0</v>
      </c>
      <c r="I180" s="68" t="n">
        <v>3</v>
      </c>
      <c r="J180" s="69" t="n">
        <v>3.4</v>
      </c>
      <c r="K180" s="69" t="inlineStr">
        <is>
          <t>https://amazon.com/dp/B0F8HFRDHR</t>
        </is>
      </c>
      <c r="L180" s="114">
        <f>HYPERLINK(Table2927[[#This Row],[Column1]])</f>
        <v/>
      </c>
    </row>
    <row r="181" ht="45" customHeight="1" s="314">
      <c r="A181" s="35" t="inlineStr">
        <is>
          <t>for Z-TEK FTDI chip USB Connector for Wintrac Thermo King Diagnostic Tool with V5.7 Software Diagnostic Cable Auto Scanner</t>
        </is>
      </c>
      <c r="B181" s="35" t="inlineStr">
        <is>
          <t>B0CJHK9F2Y</t>
        </is>
      </c>
      <c r="C181" s="35" t="inlineStr">
        <is>
          <t>Cable/Adapter</t>
        </is>
      </c>
      <c r="D181" s="359" t="n">
        <v>264</v>
      </c>
      <c r="E181" s="66" t="n">
        <v>2757.63</v>
      </c>
      <c r="F181" s="67" t="n">
        <v>0</v>
      </c>
      <c r="G181" s="68" t="n">
        <v>11</v>
      </c>
      <c r="H181" s="68" t="n">
        <v>0</v>
      </c>
      <c r="I181" s="68" t="n"/>
      <c r="J181" s="69" t="n"/>
      <c r="K181" s="69" t="inlineStr">
        <is>
          <t>https://amazon.com/dp/B0CJHK9F2Y</t>
        </is>
      </c>
      <c r="L181" s="114">
        <f>HYPERLINK(Table2927[[#This Row],[Column1]])</f>
        <v/>
      </c>
    </row>
    <row r="182" ht="45" customHeight="1" s="314">
      <c r="A182" s="35" t="inlineStr">
        <is>
          <t>OBD2 Scanner Diagnostic Tool - Professional Car Code Reader, Check Engine Code Reader with Real-Time Data, Freeze Frame, I/M Readiness for All OBDII Protocol Cars Since 1996 (MS 309)</t>
        </is>
      </c>
      <c r="B182" s="35" t="inlineStr">
        <is>
          <t>B0DLW7YST8</t>
        </is>
      </c>
      <c r="C182" s="35" t="inlineStr">
        <is>
          <t>Handheld</t>
        </is>
      </c>
      <c r="D182" s="359" t="n">
        <v>14.99</v>
      </c>
      <c r="E182" s="66" t="n">
        <v>88.12</v>
      </c>
      <c r="F182" s="67" t="n">
        <v>0</v>
      </c>
      <c r="G182" s="68" t="n">
        <v>6</v>
      </c>
      <c r="H182" s="68" t="n">
        <v>0</v>
      </c>
      <c r="I182" s="68" t="n">
        <v>1</v>
      </c>
      <c r="J182" s="69" t="n">
        <v>5</v>
      </c>
      <c r="K182" s="69" t="inlineStr">
        <is>
          <t>https://amazon.com/dp/B0DLW7YST8</t>
        </is>
      </c>
      <c r="L182" s="114">
        <f>HYPERLINK(Table2927[[#This Row],[Column1]])</f>
        <v/>
      </c>
    </row>
    <row r="183" ht="45" customHeight="1" s="314">
      <c r="A183" s="35" t="inlineStr">
        <is>
          <t>OBD2 USB KKL COM 409.1 Interface V-AG 409.1 with FT232RL Chip</t>
        </is>
      </c>
      <c r="B183" s="35" t="inlineStr">
        <is>
          <t>B0D6GVTD8S</t>
        </is>
      </c>
      <c r="C183" s="35" t="inlineStr">
        <is>
          <t>Cable/Adapter</t>
        </is>
      </c>
      <c r="D183" s="359" t="n">
        <v>14.99</v>
      </c>
      <c r="E183" s="66" t="n">
        <v>1005.84</v>
      </c>
      <c r="F183" s="67" t="n">
        <v>0</v>
      </c>
      <c r="G183" s="68" t="n">
        <v>62</v>
      </c>
      <c r="H183" s="68" t="n">
        <v>0</v>
      </c>
      <c r="I183" s="68" t="n">
        <v>7</v>
      </c>
      <c r="J183" s="69" t="n">
        <v>4.1</v>
      </c>
      <c r="K183" s="69" t="inlineStr">
        <is>
          <t>https://amazon.com/dp/B0D6GVTD8S</t>
        </is>
      </c>
      <c r="L183" s="114">
        <f>HYPERLINK(Table2927[[#This Row],[Column1]])</f>
        <v/>
      </c>
    </row>
    <row r="184" ht="30" customHeight="1" s="314">
      <c r="A184" s="35" t="inlineStr">
        <is>
          <t>for MTU Diagnostic Kit USB-to-CAN Diasys 2.72 MEDC ADEC Full Kit Diesel Engine Truck Diagnosis Scanner Tool (Only MTU Tool)</t>
        </is>
      </c>
      <c r="B184" s="35" t="inlineStr">
        <is>
          <t>B0CLHY5XFK</t>
        </is>
      </c>
      <c r="C184" s="35" t="inlineStr">
        <is>
          <t>VCI</t>
        </is>
      </c>
      <c r="D184" s="359" t="n">
        <v>1206</v>
      </c>
      <c r="E184" s="66" t="n">
        <v>9122.08</v>
      </c>
      <c r="F184" s="67" t="n">
        <v>0</v>
      </c>
      <c r="G184" s="68" t="n">
        <v>8</v>
      </c>
      <c r="H184" s="68" t="n">
        <v>0</v>
      </c>
      <c r="I184" s="68" t="n"/>
      <c r="J184" s="69" t="n"/>
      <c r="K184" s="69" t="inlineStr">
        <is>
          <t>https://amazon.com/dp/B0CLHY5XFK</t>
        </is>
      </c>
      <c r="L184" s="114">
        <f>HYPERLINK(Table2927[[#This Row],[Column1]])</f>
        <v/>
      </c>
    </row>
    <row r="185" ht="17" customHeight="1" s="314">
      <c r="A185" s="35" t="inlineStr">
        <is>
          <t>for Z-TEK FTDI chip USB Connector for Wintrac Thermo King Diagnostic Tool with V5.7 Software Diagnostic Cable Auto Scanner</t>
        </is>
      </c>
      <c r="B185" s="35" t="inlineStr">
        <is>
          <t>B0CLCYX7VG</t>
        </is>
      </c>
      <c r="C185" s="35" t="inlineStr">
        <is>
          <t>Cable/Adapter</t>
        </is>
      </c>
      <c r="D185" s="359" t="n">
        <v>264</v>
      </c>
      <c r="E185" s="66" t="n">
        <v>975.4299999999999</v>
      </c>
      <c r="F185" s="67" t="n">
        <v>0</v>
      </c>
      <c r="G185" s="68" t="n">
        <v>4</v>
      </c>
      <c r="H185" s="68" t="n">
        <v>0</v>
      </c>
      <c r="I185" s="68" t="n">
        <v>1</v>
      </c>
      <c r="J185" s="69" t="n">
        <v>1</v>
      </c>
      <c r="K185" s="69" t="inlineStr">
        <is>
          <t>https://amazon.com/dp/B0CLCYX7VG</t>
        </is>
      </c>
      <c r="L185" s="114">
        <f>HYPERLINK(Table2927[[#This Row],[Column1]])</f>
        <v/>
      </c>
    </row>
    <row r="186" ht="17" customHeight="1" s="314">
      <c r="A186" s="35" t="inlineStr">
        <is>
          <t>MPDR Software 3.33 Heavy Duty Diagnostic Tool Tester for Hitachi Software ZX-1 ZX-3 ZX-3G ZX-5 ZX-6 ZX-7 Version Software</t>
        </is>
      </c>
      <c r="B186" s="35" t="inlineStr">
        <is>
          <t>B0CJ6JGYD9</t>
        </is>
      </c>
      <c r="C186" s="35" t="inlineStr">
        <is>
          <t>VCI</t>
        </is>
      </c>
      <c r="D186" s="359" t="n">
        <v>189</v>
      </c>
      <c r="E186" s="66" t="n">
        <v>541.29</v>
      </c>
      <c r="F186" s="67" t="n">
        <v>0</v>
      </c>
      <c r="G186" s="68" t="n">
        <v>3</v>
      </c>
      <c r="H186" s="68" t="n">
        <v>0</v>
      </c>
      <c r="I186" s="68" t="n"/>
      <c r="J186" s="69" t="n"/>
      <c r="K186" s="69" t="inlineStr">
        <is>
          <t>https://amazon.com/dp/B0CJ6JGYD9</t>
        </is>
      </c>
      <c r="L186" s="114">
        <f>HYPERLINK(Table2927[[#This Row],[Column1]])</f>
        <v/>
      </c>
    </row>
    <row r="187" ht="45" customHeight="1" s="314">
      <c r="A187" s="35" t="inlineStr">
        <is>
          <t>Heavy Duty Cable Diagnostic Tool Tester MPDR Software 3.9 The Latest Version for EX Dr Full Range of Excavator</t>
        </is>
      </c>
      <c r="B187" s="35" t="inlineStr">
        <is>
          <t>B0CHF8557B</t>
        </is>
      </c>
      <c r="C187" s="35" t="inlineStr">
        <is>
          <t>Cable/Adapter</t>
        </is>
      </c>
      <c r="D187" s="359" t="n">
        <v>171.6</v>
      </c>
      <c r="E187" s="66" t="n">
        <v>0</v>
      </c>
      <c r="F187" s="67" t="n">
        <v>0</v>
      </c>
      <c r="G187" s="68" t="n">
        <v>0</v>
      </c>
      <c r="H187" s="68" t="n">
        <v>0</v>
      </c>
      <c r="I187" s="68" t="n"/>
      <c r="J187" s="69" t="n"/>
      <c r="K187" s="69" t="inlineStr">
        <is>
          <t>https://amazon.com/dp/B0CHF8557B</t>
        </is>
      </c>
      <c r="L187" s="114">
        <f>HYPERLINK(Table2927[[#This Row],[Column1]])</f>
        <v/>
      </c>
    </row>
    <row r="188" ht="45" customHeight="1" s="314">
      <c r="A188" s="35" t="inlineStr">
        <is>
          <t>Car OBD2 Scanner, Diagnostic Error Finder, Fault Code Detection and Real-Time Data Stream, Compatible with All OBD II Protocol Vehicles from 1996+</t>
        </is>
      </c>
      <c r="B188" s="35" t="inlineStr">
        <is>
          <t>B0G4QSCH81</t>
        </is>
      </c>
      <c r="C188" s="35" t="inlineStr">
        <is>
          <t>Handheld</t>
        </is>
      </c>
      <c r="D188" s="359" t="n">
        <v>39.9</v>
      </c>
      <c r="E188" s="66" t="n">
        <v>58.21</v>
      </c>
      <c r="F188" s="67" t="n">
        <v>0</v>
      </c>
      <c r="G188" s="68" t="n">
        <v>1</v>
      </c>
      <c r="H188" s="68" t="n">
        <v>0</v>
      </c>
      <c r="I188" s="68" t="n"/>
      <c r="J188" s="69" t="n"/>
      <c r="K188" s="69" t="inlineStr">
        <is>
          <t>https://amazon.com/dp/B0G4QSCH81</t>
        </is>
      </c>
      <c r="L188" s="114">
        <f>HYPERLINK(Table2927[[#This Row],[Column1]])</f>
        <v/>
      </c>
    </row>
    <row r="189" ht="45" customHeight="1" s="314">
      <c r="A189" s="35" t="inlineStr">
        <is>
          <t>MS310 Automobile Diagnostic Instrument Car Engine Fault Code Reader CAN Tool OBD II Scanner LCD OBD2/EOBD for All OBD2 Vehicles Since 1996&amp;Newer</t>
        </is>
      </c>
      <c r="B189" s="35" t="inlineStr">
        <is>
          <t>B0DFH2V1V5</t>
        </is>
      </c>
      <c r="C189" s="35" t="inlineStr">
        <is>
          <t>Handheld</t>
        </is>
      </c>
      <c r="D189" s="359" t="n">
        <v>29.99</v>
      </c>
      <c r="E189" s="66" t="n">
        <v>61.43</v>
      </c>
      <c r="F189" s="67" t="n">
        <v>0</v>
      </c>
      <c r="G189" s="68" t="n">
        <v>2</v>
      </c>
      <c r="H189" s="68" t="n">
        <v>0</v>
      </c>
      <c r="I189" s="68" t="n"/>
      <c r="J189" s="69" t="n"/>
      <c r="K189" s="69" t="inlineStr">
        <is>
          <t>https://amazon.com/dp/B0DFH2V1V5</t>
        </is>
      </c>
      <c r="L189" s="114">
        <f>HYPERLINK(Table2927[[#This Row],[Column1]])</f>
        <v/>
      </c>
    </row>
    <row r="190" ht="45" customHeight="1" s="314">
      <c r="A190" s="35" t="inlineStr">
        <is>
          <t>HPT MPVI4 Diagnostic Code Reader Scanner and Tool</t>
        </is>
      </c>
      <c r="B190" s="35" t="inlineStr">
        <is>
          <t>B0GWCVGPKN</t>
        </is>
      </c>
      <c r="C190" s="35" t="inlineStr">
        <is>
          <t>Dongle</t>
        </is>
      </c>
      <c r="D190" s="359" t="n">
        <v>399.99</v>
      </c>
      <c r="E190" s="66" t="n">
        <v>0</v>
      </c>
      <c r="F190" s="67" t="n">
        <v>0</v>
      </c>
      <c r="G190" s="68" t="n">
        <v>0</v>
      </c>
      <c r="H190" s="68" t="n">
        <v>0</v>
      </c>
      <c r="I190" s="68" t="n"/>
      <c r="J190" s="69" t="n"/>
      <c r="K190" s="69" t="inlineStr">
        <is>
          <t>https://amazon.com/dp/B0GWCVGPKN</t>
        </is>
      </c>
      <c r="L190" s="114">
        <f>HYPERLINK(Table2927[[#This Row],[Column1]])</f>
        <v/>
      </c>
    </row>
    <row r="191" ht="30" customHeight="1" s="314">
      <c r="A191" s="35" t="inlineStr">
        <is>
          <t>VN-CI 6154A Diagnostic Scanner for VW/Audi/Skoda/Seat Vehicles, Compatible with origianl ODIS Driver and Software.</t>
        </is>
      </c>
      <c r="B191" s="35" t="inlineStr">
        <is>
          <t>B0FX3SQSSG</t>
        </is>
      </c>
      <c r="C191" s="35" t="inlineStr">
        <is>
          <t>Cable/Adapter</t>
        </is>
      </c>
      <c r="D191" s="359" t="n">
        <v>215</v>
      </c>
      <c r="E191" s="66" t="n">
        <v>388.34</v>
      </c>
      <c r="F191" s="67" t="n">
        <v>0</v>
      </c>
      <c r="G191" s="68" t="n">
        <v>2</v>
      </c>
      <c r="H191" s="68" t="n">
        <v>0</v>
      </c>
      <c r="I191" s="68" t="n"/>
      <c r="J191" s="69" t="n"/>
      <c r="K191" s="69" t="inlineStr">
        <is>
          <t>https://amazon.com/dp/B0FX3SQSSG</t>
        </is>
      </c>
      <c r="L191" s="114">
        <f>HYPERLINK(Table2927[[#This Row],[Column1]])</f>
        <v/>
      </c>
    </row>
    <row r="192" ht="45" customHeight="1" s="314">
      <c r="A192" s="35" t="inlineStr">
        <is>
          <t>V100 Professional OBD2 Scanner, Car Diagnostic Code Reader, Red, LCD Display, Multi-Protocol Support, Compatible with Vehicles After 1996, 9 Languages (Black)</t>
        </is>
      </c>
      <c r="B192" s="35" t="inlineStr">
        <is>
          <t>B0FGQ9ZFCV</t>
        </is>
      </c>
      <c r="C192" s="35" t="inlineStr">
        <is>
          <t>Handheld</t>
        </is>
      </c>
      <c r="D192" s="359" t="n">
        <v>19.9</v>
      </c>
      <c r="E192" s="66" t="n">
        <v>20.96</v>
      </c>
      <c r="F192" s="67" t="n">
        <v>0</v>
      </c>
      <c r="G192" s="68" t="n">
        <v>2</v>
      </c>
      <c r="H192" s="68" t="n">
        <v>0</v>
      </c>
      <c r="I192" s="68" t="n"/>
      <c r="J192" s="69" t="n"/>
      <c r="K192" s="69" t="inlineStr">
        <is>
          <t>https://amazon.com/dp/B0FGQ9ZFCV</t>
        </is>
      </c>
      <c r="L192" s="114">
        <f>HYPERLINK(Table2927[[#This Row],[Column1]])</f>
        <v/>
      </c>
    </row>
    <row r="193" ht="45" customHeight="1" s="314">
      <c r="A193" s="35" t="inlineStr">
        <is>
          <t>V100 Professional OBD2 Scanner, Car Diagnostic Code Reader, Red, LCD Display, Multi-Protocol Support, Compatible with Vehicles After 1996, 9 Languages (Red)</t>
        </is>
      </c>
      <c r="B193" s="35" t="inlineStr">
        <is>
          <t>B0FGPY6BPN</t>
        </is>
      </c>
      <c r="C193" s="35" t="inlineStr">
        <is>
          <t>Handheld</t>
        </is>
      </c>
      <c r="D193" s="359" t="n">
        <v>19.89</v>
      </c>
      <c r="E193" s="66" t="n">
        <v>20.63</v>
      </c>
      <c r="F193" s="67" t="n">
        <v>0</v>
      </c>
      <c r="G193" s="68" t="n">
        <v>2</v>
      </c>
      <c r="H193" s="68" t="n">
        <v>0</v>
      </c>
      <c r="I193" s="68" t="n"/>
      <c r="J193" s="69" t="n"/>
      <c r="K193" s="69" t="inlineStr">
        <is>
          <t>https://amazon.com/dp/B0FGPY6BPN</t>
        </is>
      </c>
      <c r="L193" s="114">
        <f>HYPERLINK(Table2927[[#This Row],[Column1]])</f>
        <v/>
      </c>
    </row>
    <row r="194" ht="30" customHeight="1" s="314">
      <c r="A194" s="35" t="inlineStr">
        <is>
          <t>Diagnostic OBD-II Port Adapter Service Cable OBD2 for Tesla Model 3 2017-2018</t>
        </is>
      </c>
      <c r="B194" s="35" t="inlineStr">
        <is>
          <t>B0C6YNHLFB</t>
        </is>
      </c>
      <c r="C194" s="35" t="inlineStr">
        <is>
          <t>Handheld</t>
        </is>
      </c>
      <c r="D194" s="359" t="n">
        <v>44.95</v>
      </c>
      <c r="E194" s="66" t="n">
        <v>172.94</v>
      </c>
      <c r="F194" s="67" t="n">
        <v>0</v>
      </c>
      <c r="G194" s="68" t="n">
        <v>6</v>
      </c>
      <c r="H194" s="68" t="n">
        <v>0</v>
      </c>
      <c r="I194" s="68" t="n">
        <v>2</v>
      </c>
      <c r="J194" s="69" t="n">
        <v>3.5</v>
      </c>
      <c r="K194" s="69" t="inlineStr">
        <is>
          <t>https://amazon.com/dp/B0C6YNHLFB</t>
        </is>
      </c>
      <c r="L194" s="114">
        <f>HYPERLINK(Table2927[[#This Row],[Column1]])</f>
        <v/>
      </c>
    </row>
    <row r="195" ht="30" customHeight="1" s="314">
      <c r="A195" s="35" t="inlineStr">
        <is>
          <t>for Isuzu IDSS Diagnostic Tool Kit E-IDSS for Isuzu Vehicles Excavator Diagnostic Scanner Tool with Program (for excavators)</t>
        </is>
      </c>
      <c r="B195" s="35" t="inlineStr">
        <is>
          <t>B0CJ6PHM9X</t>
        </is>
      </c>
      <c r="C195" s="35" t="inlineStr">
        <is>
          <t>VCI</t>
        </is>
      </c>
      <c r="D195" s="359" t="n">
        <v>485.89</v>
      </c>
      <c r="E195" s="66" t="n">
        <v>1482.16</v>
      </c>
      <c r="F195" s="67" t="n">
        <v>0</v>
      </c>
      <c r="G195" s="68" t="n">
        <v>3</v>
      </c>
      <c r="H195" s="68" t="n">
        <v>0</v>
      </c>
      <c r="I195" s="68" t="n"/>
      <c r="J195" s="69" t="n"/>
      <c r="K195" s="69" t="inlineStr">
        <is>
          <t>https://amazon.com/dp/B0CJ6PHM9X</t>
        </is>
      </c>
      <c r="L195" s="114">
        <f>HYPERLINK(Table2927[[#This Row],[Column1]])</f>
        <v/>
      </c>
    </row>
    <row r="196" ht="30" customHeight="1" s="314">
      <c r="A196" s="35" t="inlineStr">
        <is>
          <t>for MTU Diagnostic Kit USB-to-CAN Diasys 2.72 MEDC ADEC Full Kit Diesel Engine Truck Diagnosis Scanner Tool (MTU Tool with Software)</t>
        </is>
      </c>
      <c r="B196" s="35" t="inlineStr">
        <is>
          <t>B0CLHZY179</t>
        </is>
      </c>
      <c r="C196" s="35" t="inlineStr">
        <is>
          <t>VCI</t>
        </is>
      </c>
      <c r="D196" s="359" t="n">
        <v>1407</v>
      </c>
      <c r="E196" s="66" t="n">
        <v>2896.53</v>
      </c>
      <c r="F196" s="67" t="n">
        <v>0</v>
      </c>
      <c r="G196" s="68" t="n">
        <v>2</v>
      </c>
      <c r="H196" s="68" t="n">
        <v>0</v>
      </c>
      <c r="I196" s="68" t="n"/>
      <c r="J196" s="69" t="n"/>
      <c r="K196" s="69" t="inlineStr">
        <is>
          <t>https://amazon.com/dp/B0CLHZY179</t>
        </is>
      </c>
      <c r="L196" s="114">
        <f>HYPERLINK(Table2927[[#This Row],[Column1]])</f>
        <v/>
      </c>
    </row>
    <row r="197" ht="45" customHeight="1" s="314">
      <c r="A197" s="35" t="inlineStr">
        <is>
          <t>for Isuzu IDSS Diagnostic Tool Kit G-IDSS E-IDSS for Isuzu Vehicles Excavator Diagnostic Scanner Tool with Program (for Trucks)</t>
        </is>
      </c>
      <c r="B197" s="35" t="inlineStr">
        <is>
          <t>B0CJRMR5HP</t>
        </is>
      </c>
      <c r="C197" s="35" t="inlineStr">
        <is>
          <t>VCI</t>
        </is>
      </c>
      <c r="D197" s="359" t="n">
        <v>428</v>
      </c>
      <c r="E197" s="66" t="n">
        <v>2052.01</v>
      </c>
      <c r="F197" s="67" t="n">
        <v>0</v>
      </c>
      <c r="G197" s="68" t="n">
        <v>5</v>
      </c>
      <c r="H197" s="68" t="n">
        <v>0</v>
      </c>
      <c r="I197" s="68" t="n"/>
      <c r="J197" s="69" t="n"/>
      <c r="K197" s="69" t="inlineStr">
        <is>
          <t>https://amazon.com/dp/B0CJRMR5HP</t>
        </is>
      </c>
      <c r="L197" s="114">
        <f>HYPERLINK(Table2927[[#This Row],[Column1]])</f>
        <v/>
      </c>
    </row>
    <row r="198" ht="30" customHeight="1" s="314">
      <c r="A198" s="35" t="inlineStr">
        <is>
          <t>ET-4 478-0235 538-5051 Diagnostic Adapter Tool for Cat Heavy Equipment, Truck Excavator CAT ET4 Diagnostic Tool (ET4 with Software v2025A) (Tool with Software,Small)</t>
        </is>
      </c>
      <c r="B198" s="35" t="inlineStr">
        <is>
          <t>B0FHDMZDM6</t>
        </is>
      </c>
      <c r="C198" s="35" t="inlineStr">
        <is>
          <t>VCI</t>
        </is>
      </c>
      <c r="D198" s="359" t="n">
        <v>337</v>
      </c>
      <c r="E198" s="66" t="n">
        <v>0</v>
      </c>
      <c r="F198" s="67" t="n">
        <v>0</v>
      </c>
      <c r="G198" s="68" t="n">
        <v>0</v>
      </c>
      <c r="H198" s="68" t="n">
        <v>0</v>
      </c>
      <c r="I198" s="68" t="n"/>
      <c r="J198" s="69" t="n"/>
      <c r="K198" s="69" t="inlineStr">
        <is>
          <t>https://amazon.com/dp/B0FHDMZDM6</t>
        </is>
      </c>
      <c r="L198" s="114">
        <f>HYPERLINK(Table2927[[#This Row],[Column1]])</f>
        <v/>
      </c>
    </row>
    <row r="199" ht="30" customHeight="1" s="314">
      <c r="A199" s="35" t="inlineStr">
        <is>
          <t>ET-4 478-0235 538-5051 Diagnostic Adapter Tool for Cat Heavy Equipment, Truck Excavator CAT ET4 Diagnostic Tool (ET4 with Software v2025A) (Tool with 53 Laptop,Small)</t>
        </is>
      </c>
      <c r="B199" s="35" t="inlineStr">
        <is>
          <t>B0FHD7J611</t>
        </is>
      </c>
      <c r="C199" s="35" t="inlineStr">
        <is>
          <t>VCI</t>
        </is>
      </c>
      <c r="D199" s="359" t="n">
        <v>977</v>
      </c>
      <c r="E199" s="66" t="n">
        <v>0</v>
      </c>
      <c r="F199" s="67" t="n">
        <v>0</v>
      </c>
      <c r="G199" s="68" t="n">
        <v>0</v>
      </c>
      <c r="H199" s="68" t="n">
        <v>0</v>
      </c>
      <c r="I199" s="68" t="n"/>
      <c r="J199" s="69" t="n"/>
      <c r="K199" s="69" t="inlineStr">
        <is>
          <t>https://amazon.com/dp/B0FHD7J611</t>
        </is>
      </c>
      <c r="L199" s="114">
        <f>HYPERLINK(Table2927[[#This Row],[Column1]])</f>
        <v/>
      </c>
    </row>
    <row r="200" ht="60" customHeight="1" s="314">
      <c r="A200" s="35" t="inlineStr">
        <is>
          <t>OBD2 Scanner MS309 Automotive Check Engine Code Reader, Check Emission Monitor Status, CAN Diagnostic Scan Tool for All OBDII Protocol Vehicles After 1996</t>
        </is>
      </c>
      <c r="B200" s="35" t="inlineStr">
        <is>
          <t>B0D1YNQNWZ</t>
        </is>
      </c>
      <c r="C200" s="35" t="inlineStr">
        <is>
          <t>Handheld</t>
        </is>
      </c>
      <c r="D200" s="359" t="n">
        <v>14.99</v>
      </c>
      <c r="E200" s="66" t="n">
        <v>28.54</v>
      </c>
      <c r="F200" s="67" t="n">
        <v>0</v>
      </c>
      <c r="G200" s="68" t="n">
        <v>2</v>
      </c>
      <c r="H200" s="68" t="n">
        <v>0</v>
      </c>
      <c r="I200" s="68" t="n"/>
      <c r="J200" s="69" t="n"/>
      <c r="K200" s="69" t="inlineStr">
        <is>
          <t>https://amazon.com/dp/B0D1YNQNWZ</t>
        </is>
      </c>
      <c r="L200" s="114">
        <f>HYPERLINK(Table2927[[#This Row],[Column1]])</f>
        <v/>
      </c>
    </row>
    <row r="201" ht="30" customHeight="1" s="314">
      <c r="A201" s="35" t="inlineStr">
        <is>
          <t>DDEC Marine Adapter (Locking) for NEXIQ USB Link 2 &amp; 3</t>
        </is>
      </c>
      <c r="B201" s="35" t="inlineStr">
        <is>
          <t>B0CRWLRQQ9</t>
        </is>
      </c>
      <c r="C201" s="35" t="inlineStr">
        <is>
          <t>Cable/Adapter</t>
        </is>
      </c>
      <c r="D201" s="359" t="n">
        <v>178.95</v>
      </c>
      <c r="E201" s="66" t="n">
        <v>345.98</v>
      </c>
      <c r="F201" s="67" t="n">
        <v>0</v>
      </c>
      <c r="G201" s="68" t="n">
        <v>2</v>
      </c>
      <c r="H201" s="68" t="n">
        <v>0</v>
      </c>
      <c r="I201" s="68" t="n"/>
      <c r="J201" s="69" t="n"/>
      <c r="K201" s="69" t="inlineStr">
        <is>
          <t>https://amazon.com/dp/B0CRWLRQQ9</t>
        </is>
      </c>
      <c r="L201" s="114">
        <f>HYPERLINK(Table2927[[#This Row],[Column1]])</f>
        <v/>
      </c>
    </row>
    <row r="202" ht="30" customHeight="1" s="314">
      <c r="A202" s="35" t="inlineStr">
        <is>
          <t>for Kobelco Engine Failure Diagnostic Tool for Hino Excavator Scaner Detector 09993-E9070 Data Link Communication</t>
        </is>
      </c>
      <c r="B202" s="35" t="inlineStr">
        <is>
          <t>B0CLD4QGH2</t>
        </is>
      </c>
      <c r="C202" s="35" t="inlineStr">
        <is>
          <t>VCI</t>
        </is>
      </c>
      <c r="D202" s="359" t="n">
        <v>288</v>
      </c>
      <c r="E202" s="66" t="n">
        <v>1678.03</v>
      </c>
      <c r="F202" s="67" t="n">
        <v>0</v>
      </c>
      <c r="G202" s="68" t="n">
        <v>6</v>
      </c>
      <c r="H202" s="68" t="n">
        <v>0</v>
      </c>
      <c r="I202" s="68" t="n"/>
      <c r="J202" s="69" t="n"/>
      <c r="K202" s="69" t="inlineStr">
        <is>
          <t>https://amazon.com/dp/B0CLD4QGH2</t>
        </is>
      </c>
      <c r="L202" s="114">
        <f>HYPERLINK(Table2927[[#This Row],[Column1]])</f>
        <v/>
      </c>
    </row>
    <row r="203" ht="60" customHeight="1" s="314">
      <c r="A203" s="35" t="inlineStr">
        <is>
          <t>478-0235 538-5051 317-7485 ET4 Communication Adapter 2023A Heavy Duty Diagnostic Tester Tool for Caterpillar Truck Excavator Scanner</t>
        </is>
      </c>
      <c r="B203" s="35" t="inlineStr">
        <is>
          <t>B0CJ6GMTGV</t>
        </is>
      </c>
      <c r="C203" s="35" t="inlineStr">
        <is>
          <t>VCI</t>
        </is>
      </c>
      <c r="D203" s="359" t="n">
        <v>340</v>
      </c>
      <c r="E203" s="66" t="n">
        <v>1026.77</v>
      </c>
      <c r="F203" s="67" t="n">
        <v>0</v>
      </c>
      <c r="G203" s="68" t="n">
        <v>3</v>
      </c>
      <c r="H203" s="68" t="n">
        <v>0</v>
      </c>
      <c r="I203" s="68" t="n"/>
      <c r="J203" s="69" t="n"/>
      <c r="K203" s="69" t="inlineStr">
        <is>
          <t>https://amazon.com/dp/B0CJ6GMTGV</t>
        </is>
      </c>
      <c r="L203" s="114">
        <f>HYPERLINK(Table2927[[#This Row],[Column1]])</f>
        <v/>
      </c>
    </row>
    <row r="204" ht="30" customHeight="1" s="314">
      <c r="A204" s="35" t="inlineStr">
        <is>
          <t>OBD Code Reader Automotive OBD2 Scanner Car Check Engine Fault Diagnostic Tool</t>
        </is>
      </c>
      <c r="B204" s="35" t="inlineStr">
        <is>
          <t>B0CPLYXDBH</t>
        </is>
      </c>
      <c r="C204" s="35" t="inlineStr">
        <is>
          <t>Handheld</t>
        </is>
      </c>
      <c r="D204" s="359" t="n">
        <v>14.99</v>
      </c>
      <c r="E204" s="66" t="n">
        <v>0</v>
      </c>
      <c r="F204" s="67" t="n">
        <v>0</v>
      </c>
      <c r="G204" s="68" t="n">
        <v>0</v>
      </c>
      <c r="H204" s="68" t="n">
        <v>0</v>
      </c>
      <c r="I204" s="68" t="n"/>
      <c r="J204" s="69" t="n"/>
      <c r="K204" s="69" t="inlineStr">
        <is>
          <t>https://amazon.com/dp/B0CPLYXDBH</t>
        </is>
      </c>
      <c r="L204" s="114">
        <f>HYPERLINK(Table2927[[#This Row],[Column1]])</f>
        <v/>
      </c>
    </row>
    <row r="205" ht="30" customHeight="1" s="314">
      <c r="A205" s="35" t="inlineStr">
        <is>
          <t>Code Reader, Check Engine Code Reader,Your Ultimate Road-Trip Assistant, Enabling Swift Vehicle Diagnostics,for OM123，OBDMATE,OBDII,OBD2,EOBD+CAN,Highly Portable&amp;Reliable,Scanner for Car (Orange)</t>
        </is>
      </c>
      <c r="B205" s="35" t="inlineStr">
        <is>
          <t>B0CCCV38MM</t>
        </is>
      </c>
      <c r="C205" s="35" t="inlineStr">
        <is>
          <t>Handheld</t>
        </is>
      </c>
      <c r="D205" s="359" t="n">
        <v>49.88</v>
      </c>
      <c r="E205" s="66" t="n">
        <v>208.13</v>
      </c>
      <c r="F205" s="67" t="n">
        <v>0</v>
      </c>
      <c r="G205" s="68" t="n">
        <v>4</v>
      </c>
      <c r="H205" s="68" t="n">
        <v>0</v>
      </c>
      <c r="I205" s="68" t="n"/>
      <c r="J205" s="69" t="n"/>
      <c r="K205" s="69" t="inlineStr">
        <is>
          <t>https://amazon.com/dp/B0CCCV38MM</t>
        </is>
      </c>
      <c r="L205" s="114">
        <f>HYPERLINK(Table2927[[#This Row],[Column1]])</f>
        <v/>
      </c>
    </row>
    <row r="206" ht="30" customHeight="1" s="314">
      <c r="A206" s="35" t="inlineStr">
        <is>
          <t>FOXWELL NT530 for Dodge - All Systems, All Maintenance Service - Bidirectional Diagnostic Scan Tool OBD2 Scanner Automotive Code Reader ABS Bleed SRS Airbag SAS TPMS TPS EPB Oil Reset CKP</t>
        </is>
      </c>
      <c r="B206" s="35" t="inlineStr">
        <is>
          <t>B0C2DBCPQ5</t>
        </is>
      </c>
      <c r="C206" s="35" t="inlineStr">
        <is>
          <t>Handheld</t>
        </is>
      </c>
      <c r="D206" s="359" t="n">
        <v>169.95</v>
      </c>
      <c r="E206" s="66" t="n">
        <v>1198.44</v>
      </c>
      <c r="F206" s="67" t="n">
        <v>0</v>
      </c>
      <c r="G206" s="68" t="n">
        <v>8</v>
      </c>
      <c r="H206" s="68" t="n">
        <v>0</v>
      </c>
      <c r="I206" s="68" t="n"/>
      <c r="J206" s="69" t="n"/>
      <c r="K206" s="69" t="inlineStr">
        <is>
          <t>https://amazon.com/dp/B0C2DBCPQ5</t>
        </is>
      </c>
      <c r="L206" s="114">
        <f>HYPERLINK(Table2927[[#This Row],[Column1]])</f>
        <v/>
      </c>
    </row>
    <row r="207" ht="45" customHeight="1" s="314">
      <c r="A207" s="35" t="inlineStr">
        <is>
          <t>for Isuzu IDSS Diagnostic Tool Kit G-IDSS E-IDSS for Isuzu Vehicles Excavator Diagnostic Scanner Tool with Program (for excavators)</t>
        </is>
      </c>
      <c r="B207" s="35" t="inlineStr">
        <is>
          <t>B0CJRNCP8R</t>
        </is>
      </c>
      <c r="C207" s="35" t="inlineStr">
        <is>
          <t>VCI</t>
        </is>
      </c>
      <c r="D207" s="359" t="n">
        <v>485.89</v>
      </c>
      <c r="E207" s="66" t="n">
        <v>311.11</v>
      </c>
      <c r="F207" s="67" t="n">
        <v>0</v>
      </c>
      <c r="G207" s="68" t="n">
        <v>1</v>
      </c>
      <c r="H207" s="68" t="n">
        <v>0</v>
      </c>
      <c r="I207" s="68" t="n"/>
      <c r="J207" s="69" t="n"/>
      <c r="K207" s="69" t="inlineStr">
        <is>
          <t>https://amazon.com/dp/B0CJRNCP8R</t>
        </is>
      </c>
      <c r="L207" s="114">
        <f>HYPERLINK(Table2927[[#This Row],[Column1]])</f>
        <v/>
      </c>
    </row>
    <row r="208" ht="45" customHeight="1" s="314">
      <c r="A208" s="35" t="inlineStr">
        <is>
          <t>for AK90+ AK90 Auto Key Programmer for EWS Version V3.19 AK90 Key Maker for Programming Tool</t>
        </is>
      </c>
      <c r="B208" s="35" t="inlineStr">
        <is>
          <t>B0FC6M4J5H</t>
        </is>
      </c>
      <c r="C208" s="35" t="inlineStr">
        <is>
          <t>Handheld</t>
        </is>
      </c>
      <c r="D208" s="359" t="n">
        <v>39</v>
      </c>
      <c r="E208" s="66" t="n">
        <v>1202.38</v>
      </c>
      <c r="F208" s="67" t="n">
        <v>0</v>
      </c>
      <c r="G208" s="68" t="n">
        <v>31</v>
      </c>
      <c r="H208" s="68" t="n">
        <v>0</v>
      </c>
      <c r="I208" s="68" t="n">
        <v>5</v>
      </c>
      <c r="J208" s="69" t="n">
        <v>2.7</v>
      </c>
      <c r="K208" s="69" t="inlineStr">
        <is>
          <t>https://amazon.com/dp/B0FC6M4J5H</t>
        </is>
      </c>
      <c r="L208" s="114">
        <f>HYPERLINK(Table2927[[#This Row],[Column1]])</f>
        <v/>
      </c>
    </row>
    <row r="209" ht="45" customHeight="1" s="314">
      <c r="A209" s="35" t="inlineStr">
        <is>
          <t>for Isuzu IDSS Diagnostic Tool Kit G-IDSS for Isuzu Vehicles Excavator Diagnostic Scanner Tool with Program (for Trucks)</t>
        </is>
      </c>
      <c r="B209" s="35" t="inlineStr">
        <is>
          <t>B0CJ6QLJHW</t>
        </is>
      </c>
      <c r="C209" s="35" t="inlineStr">
        <is>
          <t>VCI</t>
        </is>
      </c>
      <c r="D209" s="359" t="n">
        <v>428</v>
      </c>
      <c r="E209" s="66" t="n">
        <v>0</v>
      </c>
      <c r="F209" s="67" t="n">
        <v>0</v>
      </c>
      <c r="G209" s="68" t="n">
        <v>0</v>
      </c>
      <c r="H209" s="68" t="n">
        <v>0</v>
      </c>
      <c r="I209" s="68" t="n"/>
      <c r="J209" s="69" t="n"/>
      <c r="K209" s="69" t="inlineStr">
        <is>
          <t>https://amazon.com/dp/B0CJ6QLJHW</t>
        </is>
      </c>
      <c r="L209" s="114">
        <f>HYPERLINK(Table2927[[#This Row],[Column1]])</f>
        <v/>
      </c>
    </row>
    <row r="210" ht="30" customHeight="1" s="314">
      <c r="A210" s="35" t="n"/>
      <c r="B210" s="35" t="n"/>
      <c r="C210" s="35" t="n"/>
      <c r="D210" s="359" t="n"/>
      <c r="E210" s="66" t="n"/>
      <c r="F210" s="67" t="n"/>
      <c r="G210" s="68" t="n"/>
      <c r="H210" s="68" t="n"/>
      <c r="I210" s="68" t="n"/>
      <c r="J210" s="69" t="n"/>
      <c r="K210" s="69" t="n"/>
      <c r="L210" s="114">
        <f>HYPERLINK(Table2927[[#This Row],[Column1]])</f>
        <v/>
      </c>
    </row>
    <row r="211" ht="45" customHeight="1" s="314">
      <c r="A211" s="35" t="n"/>
      <c r="B211" s="35" t="n"/>
      <c r="C211" s="35" t="n"/>
      <c r="D211" s="359" t="n"/>
      <c r="E211" s="66" t="n"/>
      <c r="F211" s="67" t="n"/>
      <c r="G211" s="68" t="n"/>
      <c r="H211" s="68" t="n"/>
      <c r="I211" s="68" t="n"/>
      <c r="J211" s="69" t="n"/>
      <c r="K211" s="69" t="n"/>
      <c r="L211" s="114">
        <f>HYPERLINK(Table2927[[#This Row],[Column1]])</f>
        <v/>
      </c>
    </row>
    <row r="212" ht="30" customHeight="1" s="314">
      <c r="A212" s="35" t="n"/>
      <c r="B212" s="35" t="n"/>
      <c r="C212" s="35" t="n"/>
      <c r="D212" s="359" t="n"/>
      <c r="E212" s="66" t="n"/>
      <c r="F212" s="67" t="n"/>
      <c r="G212" s="68" t="n"/>
      <c r="H212" s="68" t="n"/>
      <c r="I212" s="68" t="n"/>
      <c r="J212" s="69" t="n"/>
      <c r="K212" s="69" t="n"/>
      <c r="L212" s="114">
        <f>HYPERLINK(Table2927[[#This Row],[Column1]])</f>
        <v/>
      </c>
    </row>
    <row r="213" ht="30" customHeight="1" s="314">
      <c r="A213" s="35" t="n"/>
      <c r="B213" s="35" t="n"/>
      <c r="C213" s="35" t="n"/>
      <c r="D213" s="359" t="n"/>
      <c r="E213" s="66" t="n"/>
      <c r="F213" s="67" t="n"/>
      <c r="G213" s="68" t="n"/>
      <c r="H213" s="68" t="n"/>
      <c r="I213" s="68" t="n"/>
      <c r="J213" s="69" t="n"/>
      <c r="K213" s="69" t="n"/>
      <c r="L213" s="114">
        <f>HYPERLINK(Table2927[[#This Row],[Column1]])</f>
        <v/>
      </c>
    </row>
    <row r="214" ht="17" customHeight="1" s="314">
      <c r="A214" s="41" t="inlineStr">
        <is>
          <t>Total</t>
        </is>
      </c>
      <c r="B214" s="41" t="n"/>
      <c r="C214" s="365" t="n"/>
      <c r="E214" s="122">
        <f>SUM(E9:E213)</f>
        <v/>
      </c>
      <c r="F214" s="122">
        <f>SUM(F9:F213)</f>
        <v/>
      </c>
      <c r="G214" s="123" t="n"/>
      <c r="H214" s="123" t="n"/>
      <c r="I214" s="128" t="n"/>
      <c r="J214" s="41" t="n"/>
    </row>
    <row r="215">
      <c r="A215" s="35" t="n"/>
      <c r="B215" s="35" t="n"/>
      <c r="C215" s="359" t="n"/>
      <c r="D215" s="66" t="n"/>
      <c r="E215" s="66" t="n"/>
      <c r="F215" s="68" t="n"/>
      <c r="G215" s="68" t="n"/>
      <c r="H215" s="68" t="n"/>
      <c r="I215" s="69" t="n"/>
      <c r="J215" s="35" t="n"/>
    </row>
    <row r="216">
      <c r="A216" s="35" t="n"/>
      <c r="B216" s="35" t="n"/>
      <c r="C216" s="359" t="n"/>
      <c r="D216" s="66" t="n"/>
      <c r="E216" s="66" t="n"/>
      <c r="F216" s="68" t="n"/>
      <c r="G216" s="68" t="n"/>
      <c r="H216" s="68" t="n"/>
      <c r="I216" s="69" t="n"/>
      <c r="J216" s="35" t="n"/>
    </row>
    <row r="217">
      <c r="A217" s="307" t="inlineStr">
        <is>
          <t>Rank by Units</t>
        </is>
      </c>
    </row>
    <row r="218" ht="17" customHeight="1" s="314">
      <c r="A218" s="46" t="inlineStr">
        <is>
          <t>Product Name</t>
        </is>
      </c>
      <c r="B218" s="47" t="inlineStr">
        <is>
          <t>ASIN</t>
        </is>
      </c>
      <c r="C218" s="47" t="inlineStr">
        <is>
          <t>Type</t>
        </is>
      </c>
      <c r="D218" s="345" t="inlineStr">
        <is>
          <t>Avg Price</t>
        </is>
      </c>
      <c r="E218" s="49" t="inlineStr">
        <is>
          <t>Estimated 12mo Revenue</t>
        </is>
      </c>
      <c r="F218" s="47" t="inlineStr">
        <is>
          <t>Monthly Rev</t>
        </is>
      </c>
      <c r="G218" s="51" t="inlineStr">
        <is>
          <t>Estimated 12mo Units</t>
        </is>
      </c>
      <c r="H218" s="54" t="inlineStr">
        <is>
          <t>Monthly Units</t>
        </is>
      </c>
      <c r="I218" s="51" t="inlineStr">
        <is>
          <t># of Reviews</t>
        </is>
      </c>
      <c r="J218" s="52" t="inlineStr">
        <is>
          <t xml:space="preserve">Tool Rating </t>
        </is>
      </c>
      <c r="K218" s="52" t="inlineStr">
        <is>
          <t>Column1</t>
        </is>
      </c>
      <c r="L218" s="346" t="inlineStr">
        <is>
          <t>Link</t>
        </is>
      </c>
    </row>
    <row r="219" ht="17" customHeight="1" s="314">
      <c r="A219" s="35" t="inlineStr">
        <is>
          <t>HPT MPVI4 Diagnostic Code Reader Scanner and Tool</t>
        </is>
      </c>
      <c r="B219" s="35" t="inlineStr">
        <is>
          <t>B0FZ26RBDC</t>
        </is>
      </c>
      <c r="C219" s="35" t="inlineStr">
        <is>
          <t>Dongle</t>
        </is>
      </c>
      <c r="D219" s="359" t="n">
        <v>399.9256140350877</v>
      </c>
      <c r="E219" s="66" t="n">
        <v>2847107.959999999</v>
      </c>
      <c r="F219" s="66" t="n">
        <v>273549.12</v>
      </c>
      <c r="G219" s="68" t="n">
        <v>2699</v>
      </c>
      <c r="H219" s="70" t="n">
        <v>684</v>
      </c>
      <c r="I219" s="68" t="n">
        <v>139</v>
      </c>
      <c r="J219" s="69" t="n">
        <v>4.8</v>
      </c>
      <c r="K219" s="69" t="inlineStr">
        <is>
          <t>https://amazon.com/dp/B0FZ26RBDC</t>
        </is>
      </c>
      <c r="L219" s="114">
        <f>HYPERLINK(Table3054[[#This Row],[Column1]])</f>
        <v/>
      </c>
    </row>
    <row r="220" ht="17" customHeight="1" s="314">
      <c r="A220" s="35" t="inlineStr">
        <is>
          <t>HPT MPVI4 Diagnostic Code Reader Scanner and Tool</t>
        </is>
      </c>
      <c r="B220" s="35" t="inlineStr">
        <is>
          <t>B0FY7MYBX7</t>
        </is>
      </c>
      <c r="C220" s="35" t="inlineStr">
        <is>
          <t>Dongle</t>
        </is>
      </c>
      <c r="D220" s="359" t="n">
        <v>400.4040771349862</v>
      </c>
      <c r="E220" s="66" t="n">
        <v>1578101.223076923</v>
      </c>
      <c r="F220" s="66" t="n">
        <v>145346.68</v>
      </c>
      <c r="G220" s="68" t="n">
        <v>1597</v>
      </c>
      <c r="H220" s="70" t="n">
        <v>363</v>
      </c>
      <c r="I220" s="68" t="n">
        <v>31</v>
      </c>
      <c r="J220" s="69" t="n">
        <v>4.8</v>
      </c>
      <c r="K220" s="69" t="inlineStr">
        <is>
          <t>https://amazon.com/dp/B0FY7MYBX7</t>
        </is>
      </c>
      <c r="L220" s="114">
        <f>HYPERLINK(Table3054[[#This Row],[Column1]])</f>
        <v/>
      </c>
    </row>
    <row r="221" ht="30" customHeight="1" s="314">
      <c r="A221" s="35" t="inlineStr">
        <is>
          <t>V500 OBD2 Scanner Diagnostic Tool, Professional Code Reader with Live Data Stream, DTC Lookup, I/M Readiness, O2 Sensor Test, EVAP System Test, Vehicle Info Display</t>
        </is>
      </c>
      <c r="B221" s="35" t="inlineStr">
        <is>
          <t>B0GMJWZVVK</t>
        </is>
      </c>
      <c r="C221" s="35" t="inlineStr">
        <is>
          <t>Handheld</t>
        </is>
      </c>
      <c r="D221" s="359" t="n">
        <v>25.34763803680982</v>
      </c>
      <c r="E221" s="66" t="n">
        <v>93429.56153846155</v>
      </c>
      <c r="F221" s="66" t="n">
        <v>8263.33</v>
      </c>
      <c r="G221" s="68" t="n">
        <v>385</v>
      </c>
      <c r="H221" s="70" t="n">
        <v>326</v>
      </c>
      <c r="I221" s="68" t="n">
        <v>3</v>
      </c>
      <c r="J221" s="69" t="n">
        <v>5</v>
      </c>
      <c r="K221" s="69" t="inlineStr">
        <is>
          <t>https://amazon.com/dp/B0GMJWZVVK</t>
        </is>
      </c>
      <c r="L221" s="114">
        <f>HYPERLINK(Table3054[[#This Row],[Column1]])</f>
        <v/>
      </c>
    </row>
    <row r="222" ht="45" customHeight="1" s="314">
      <c r="A222" s="35" t="inlineStr">
        <is>
          <t>FOXWELL NT530 Plus for BMW - All Systems, All Maintenance Service - Bidirectional Diagnostic Tool OBD2 Scanner Automotive Code Reader ABS Bleed SRS Airbag SAS TPMS TPS EPB Oil Reset CKP</t>
        </is>
      </c>
      <c r="B222" s="35" t="inlineStr">
        <is>
          <t>B0BZDWC5J5</t>
        </is>
      </c>
      <c r="C222" s="35" t="inlineStr">
        <is>
          <t>Handheld</t>
        </is>
      </c>
      <c r="D222" s="359" t="n">
        <v>169.979702970297</v>
      </c>
      <c r="E222" s="66" t="n">
        <v>123435.8</v>
      </c>
      <c r="F222" s="66" t="n">
        <v>34335.9</v>
      </c>
      <c r="G222" s="68" t="n">
        <v>727</v>
      </c>
      <c r="H222" s="70" t="n">
        <v>202</v>
      </c>
      <c r="I222" s="68" t="n">
        <v>23</v>
      </c>
      <c r="J222" s="69" t="n">
        <v>4.2</v>
      </c>
      <c r="K222" s="69" t="inlineStr">
        <is>
          <t>https://amazon.com/dp/B0BZDWC5J5</t>
        </is>
      </c>
      <c r="L222" s="114">
        <f>HYPERLINK(Table3054[[#This Row],[Column1]])</f>
        <v/>
      </c>
    </row>
    <row r="223" ht="45" customHeight="1" s="314">
      <c r="A223" s="35" t="inlineStr">
        <is>
          <t>6 Pin to 16 Pin OBD2 Adapter Cable for BRP &amp; CAN-AM, Motorcycle Diagnostic Tool Connector Fits for CAN-AM Spyder, ATV, UTV and BRP Moto Bike</t>
        </is>
      </c>
      <c r="B223" s="35" t="inlineStr">
        <is>
          <t>B0FQNXVNLL</t>
        </is>
      </c>
      <c r="C223" s="35" t="inlineStr">
        <is>
          <t>Cable/Adapter</t>
        </is>
      </c>
      <c r="D223" s="359" t="n">
        <v>9.482139303482588</v>
      </c>
      <c r="E223" s="66" t="n">
        <v>18056.85076923077</v>
      </c>
      <c r="F223" s="66" t="n">
        <v>1905.91</v>
      </c>
      <c r="G223" s="68" t="n">
        <v>554</v>
      </c>
      <c r="H223" s="70" t="n">
        <v>201</v>
      </c>
      <c r="I223" s="68" t="n">
        <v>16</v>
      </c>
      <c r="J223" s="69" t="n">
        <v>3.4</v>
      </c>
      <c r="K223" s="69" t="inlineStr">
        <is>
          <t>https://amazon.com/dp/B0FQNXVNLL</t>
        </is>
      </c>
      <c r="L223" s="114">
        <f>HYPERLINK(Table3054[[#This Row],[Column1]])</f>
        <v/>
      </c>
    </row>
    <row r="224" ht="30" customHeight="1" s="314">
      <c r="A224" s="35" t="inlineStr">
        <is>
          <t>TEMEDA- PT 30 ELD - Electronic Logging Device + Cable - HOS &amp; FMCSA Compliant - Easy to Install - New (PT30+Green 9 Pin Round Cable)</t>
        </is>
      </c>
      <c r="B224" s="35" t="inlineStr">
        <is>
          <t>B0CVR2LWNX</t>
        </is>
      </c>
      <c r="C224" s="35" t="inlineStr">
        <is>
          <t>Other</t>
        </is>
      </c>
      <c r="D224" s="359" t="n">
        <v>190.1238</v>
      </c>
      <c r="E224" s="66" t="n">
        <v>255473.16</v>
      </c>
      <c r="F224" s="66" t="n">
        <v>38024.76</v>
      </c>
      <c r="G224" s="68" t="n">
        <v>1357</v>
      </c>
      <c r="H224" s="70" t="n">
        <v>200</v>
      </c>
      <c r="I224" s="68" t="n">
        <v>41</v>
      </c>
      <c r="J224" s="69" t="n">
        <v>4.7</v>
      </c>
      <c r="K224" s="69" t="inlineStr">
        <is>
          <t>https://amazon.com/dp/B0CVR2LWNX</t>
        </is>
      </c>
      <c r="L224" s="114">
        <f>HYPERLINK(Table3054[[#This Row],[Column1]])</f>
        <v/>
      </c>
    </row>
    <row r="225" ht="30" customHeight="1" s="314">
      <c r="A225" s="35" t="inlineStr">
        <is>
          <t>OBD2 to USB Cable Diagnostic Tool OBD2 Code Reader Scanner USB Interface OBD to USB Adapter OBD2 Connector OBDII Scan Automotive for GM Chevy Ford Toyota Honda Car SUV Pickup for Laptop</t>
        </is>
      </c>
      <c r="B225" s="35" t="inlineStr">
        <is>
          <t>B0GL42JYN7</t>
        </is>
      </c>
      <c r="C225" s="35" t="inlineStr">
        <is>
          <t>Cable/Adapter</t>
        </is>
      </c>
      <c r="D225" s="359" t="n">
        <v>13.71792</v>
      </c>
      <c r="E225" s="66" t="n">
        <v>19125.94615384616</v>
      </c>
      <c r="F225" s="66" t="n">
        <v>1714.74</v>
      </c>
      <c r="G225" s="68" t="n">
        <v>125</v>
      </c>
      <c r="H225" s="70" t="n">
        <v>125</v>
      </c>
      <c r="I225" s="68" t="n">
        <v>1</v>
      </c>
      <c r="J225" s="69" t="n">
        <v>5</v>
      </c>
      <c r="K225" s="69" t="inlineStr">
        <is>
          <t>https://amazon.com/dp/B0GL42JYN7</t>
        </is>
      </c>
      <c r="L225" s="114">
        <f>HYPERLINK(Table3054[[#This Row],[Column1]])</f>
        <v/>
      </c>
    </row>
    <row r="226" ht="45" customHeight="1" s="314">
      <c r="A226" s="35" t="inlineStr">
        <is>
          <t>Generic H00008000 Interface Cable for Edge CS2 CTS2 CTS3 Cord, OBDII to HDMI Monitor/Tuner/Insight</t>
        </is>
      </c>
      <c r="B226" s="35" t="inlineStr">
        <is>
          <t>B0B2MMYSK7</t>
        </is>
      </c>
      <c r="C226" s="35" t="inlineStr">
        <is>
          <t>Handheld</t>
        </is>
      </c>
      <c r="D226" s="359" t="n">
        <v>23.15268292682927</v>
      </c>
      <c r="E226" s="66" t="n">
        <v>32521.11</v>
      </c>
      <c r="F226" s="66" t="n">
        <v>2847.78</v>
      </c>
      <c r="G226" s="68" t="n">
        <v>1466</v>
      </c>
      <c r="H226" s="70" t="n">
        <v>123</v>
      </c>
      <c r="I226" s="68" t="n">
        <v>71</v>
      </c>
      <c r="J226" s="69" t="n">
        <v>4.6</v>
      </c>
      <c r="K226" s="69" t="inlineStr">
        <is>
          <t>https://amazon.com/dp/B0B2MMYSK7</t>
        </is>
      </c>
      <c r="L226" s="114">
        <f>HYPERLINK(Table3054[[#This Row],[Column1]])</f>
        <v/>
      </c>
    </row>
    <row r="227" ht="45" customHeight="1" s="314">
      <c r="A227" s="35" t="inlineStr">
        <is>
          <t>FOXWELL NT530 for Porsche - All Systems, All Maintenance Service - Bidirectional Diagnostic Scan Tool OBD2 Scanner Automotive Code Reader ABS Bleed SRS Airbag SAS TPMS TPS EPB Oil Reset CKP</t>
        </is>
      </c>
      <c r="B227" s="35" t="inlineStr">
        <is>
          <t>B0C3J1V5N8</t>
        </is>
      </c>
      <c r="C227" s="35" t="inlineStr">
        <is>
          <t>Handheld</t>
        </is>
      </c>
      <c r="D227" s="359" t="n">
        <v>170.397476635514</v>
      </c>
      <c r="E227" s="66" t="n">
        <v>173868.88</v>
      </c>
      <c r="F227" s="66" t="n">
        <v>18232.53</v>
      </c>
      <c r="G227" s="68" t="n">
        <v>1024</v>
      </c>
      <c r="H227" s="70" t="n">
        <v>107</v>
      </c>
      <c r="I227" s="68" t="n">
        <v>70</v>
      </c>
      <c r="J227" s="69" t="n">
        <v>4</v>
      </c>
      <c r="K227" s="69" t="inlineStr">
        <is>
          <t>https://amazon.com/dp/B0C3J1V5N8</t>
        </is>
      </c>
      <c r="L227" s="114">
        <f>HYPERLINK(Table3054[[#This Row],[Column1]])</f>
        <v/>
      </c>
    </row>
    <row r="228" ht="45" customHeight="1" s="314">
      <c r="A228" s="35" t="inlineStr">
        <is>
          <t>OBDII Motorcycle Adapter Cable - 16 Pin to 8 Pin Polaris Connector for Diagnostic Code Reader Scanner, Fits RZR, Ranger, Slingshot, Sportsman ATV</t>
        </is>
      </c>
      <c r="B228" s="35" t="inlineStr">
        <is>
          <t>B0FQP1L2NG</t>
        </is>
      </c>
      <c r="C228" s="35" t="inlineStr">
        <is>
          <t>Cable/Adapter</t>
        </is>
      </c>
      <c r="D228" s="359" t="n">
        <v>10.4339603960396</v>
      </c>
      <c r="E228" s="66" t="n">
        <v>13420.24923076923</v>
      </c>
      <c r="F228" s="66" t="n">
        <v>1053.83</v>
      </c>
      <c r="G228" s="68" t="n">
        <v>576</v>
      </c>
      <c r="H228" s="70" t="n">
        <v>101</v>
      </c>
      <c r="I228" s="68" t="n">
        <v>9</v>
      </c>
      <c r="J228" s="69" t="n">
        <v>3.8</v>
      </c>
      <c r="K228" s="69" t="inlineStr">
        <is>
          <t>https://amazon.com/dp/B0FQP1L2NG</t>
        </is>
      </c>
      <c r="L228" s="114">
        <f>HYPERLINK(Table3054[[#This Row],[Column1]])</f>
        <v/>
      </c>
    </row>
    <row r="229" ht="17" customHeight="1" s="314">
      <c r="A229" s="35" t="inlineStr">
        <is>
          <t>FOXWELL NT530 for BMW - All Systems, All Maintenance Service - Bidirectional Diagnostic Scan Tool OBD2 Scanner Automotive Code Reader ABS Bleed SRS Airbag SAS TPMS TPS EPB Oil Reset CKP</t>
        </is>
      </c>
      <c r="B229" s="35" t="inlineStr">
        <is>
          <t>B0C3J1QFX4</t>
        </is>
      </c>
      <c r="C229" s="35" t="inlineStr">
        <is>
          <t>Handheld</t>
        </is>
      </c>
      <c r="D229" s="359" t="n">
        <v>170.4728712871287</v>
      </c>
      <c r="E229" s="66" t="n">
        <v>215947.82</v>
      </c>
      <c r="F229" s="66" t="n">
        <v>17217.76</v>
      </c>
      <c r="G229" s="68" t="n">
        <v>1270</v>
      </c>
      <c r="H229" s="70" t="n">
        <v>101</v>
      </c>
      <c r="I229" s="68" t="n">
        <v>78</v>
      </c>
      <c r="J229" s="69" t="n">
        <v>4.3</v>
      </c>
      <c r="K229" s="69" t="inlineStr">
        <is>
          <t>https://amazon.com/dp/B0C3J1QFX4</t>
        </is>
      </c>
      <c r="L229" s="114">
        <f>HYPERLINK(Table3054[[#This Row],[Column1]])</f>
        <v/>
      </c>
    </row>
    <row r="230" ht="45" customHeight="1" s="314">
      <c r="A230" s="35" t="inlineStr">
        <is>
          <t>OBD2 Adapter for Harleyy, 2-in-1 [4 Pin + 6 Pin] to 16 Pin Motorcycle Diagnostic Cable, Professional Scanner Tool Connector for Softail, Sportster Models</t>
        </is>
      </c>
      <c r="B230" s="35" t="inlineStr">
        <is>
          <t>B0FR4VC5L5</t>
        </is>
      </c>
      <c r="C230" s="35" t="inlineStr">
        <is>
          <t>Cable/Adapter</t>
        </is>
      </c>
      <c r="D230" s="359" t="n">
        <v>11.48068965517241</v>
      </c>
      <c r="E230" s="66" t="n">
        <v>8307.233846153847</v>
      </c>
      <c r="F230" s="66" t="n">
        <v>998.8200000000001</v>
      </c>
      <c r="G230" s="68" t="n">
        <v>148</v>
      </c>
      <c r="H230" s="70" t="n">
        <v>87</v>
      </c>
      <c r="I230" s="68" t="n">
        <v>4</v>
      </c>
      <c r="J230" s="69" t="n">
        <v>4.3</v>
      </c>
      <c r="K230" s="69" t="inlineStr">
        <is>
          <t>https://amazon.com/dp/B0FR4VC5L5</t>
        </is>
      </c>
      <c r="L230" s="114">
        <f>HYPERLINK(Table3054[[#This Row],[Column1]])</f>
        <v/>
      </c>
    </row>
    <row r="231" ht="30" customHeight="1" s="314">
      <c r="A231" s="35" t="inlineStr">
        <is>
          <t>NEXIQ Universal J560 PLC Adapter – Enhanced ABS Diagnostic Tool for Heavy-Duty Vehicles</t>
        </is>
      </c>
      <c r="B231" s="35" t="inlineStr">
        <is>
          <t>B07F9XPZ6W</t>
        </is>
      </c>
      <c r="C231" s="35" t="inlineStr">
        <is>
          <t>Cable/Adapter</t>
        </is>
      </c>
      <c r="D231" s="359" t="n">
        <v>349.1241935483871</v>
      </c>
      <c r="E231" s="66" t="n">
        <v>313635.3061538461</v>
      </c>
      <c r="F231" s="66" t="n">
        <v>21645.7</v>
      </c>
      <c r="G231" s="68" t="n">
        <v>866</v>
      </c>
      <c r="H231" s="70" t="n">
        <v>62</v>
      </c>
      <c r="I231" s="68" t="n">
        <v>34</v>
      </c>
      <c r="J231" s="69" t="n">
        <v>4.8</v>
      </c>
      <c r="K231" s="69" t="inlineStr">
        <is>
          <t>https://amazon.com/dp/B07F9XPZ6W</t>
        </is>
      </c>
      <c r="L231" s="114">
        <f>HYPERLINK(Table3054[[#This Row],[Column1]])</f>
        <v/>
      </c>
    </row>
    <row r="232" ht="45" customHeight="1" s="314">
      <c r="A232" s="35" t="inlineStr">
        <is>
          <t>FOXWELL NT530 for Honda Acura - All Systems, All Maintenance Service - Bidirectional Diagnostic Scan Tool OBD2 Scanner Automotive Code Reader ABS Bleed SRS Airbag SAS TPMS TPS EPB Oil Reset CKP</t>
        </is>
      </c>
      <c r="B232" s="35" t="inlineStr">
        <is>
          <t>B0C2DBJYCD</t>
        </is>
      </c>
      <c r="C232" s="35" t="inlineStr">
        <is>
          <t>Handheld</t>
        </is>
      </c>
      <c r="D232" s="359" t="n">
        <v>170.7471111111111</v>
      </c>
      <c r="E232" s="66" t="n">
        <v>58997.04000000001</v>
      </c>
      <c r="F232" s="66" t="n">
        <v>7683.62</v>
      </c>
      <c r="G232" s="68" t="n">
        <v>348</v>
      </c>
      <c r="H232" s="70" t="n">
        <v>45</v>
      </c>
      <c r="I232" s="68" t="n">
        <v>46</v>
      </c>
      <c r="J232" s="69" t="n">
        <v>4</v>
      </c>
      <c r="K232" s="69" t="inlineStr">
        <is>
          <t>https://amazon.com/dp/B0C2DBJYCD</t>
        </is>
      </c>
      <c r="L232" s="114">
        <f>HYPERLINK(Table3054[[#This Row],[Column1]])</f>
        <v/>
      </c>
    </row>
    <row r="233" ht="60" customHeight="1" s="314">
      <c r="A233" s="35" t="inlineStr">
        <is>
          <t>MPVI4 Professional Automotive Diagnostic Scanner Tool, High-Speed Data Logging, Multi-Vehicle Programming Compatibility 0 Credits (MPVI4-00, 0 Credits)</t>
        </is>
      </c>
      <c r="B233" s="35" t="inlineStr">
        <is>
          <t>B0FYQN779L</t>
        </is>
      </c>
      <c r="C233" s="35" t="inlineStr">
        <is>
          <t>Dongle</t>
        </is>
      </c>
      <c r="D233" s="359" t="n">
        <v>403.9316279069768</v>
      </c>
      <c r="E233" s="66" t="n">
        <v>202052.6076923077</v>
      </c>
      <c r="F233" s="66" t="n">
        <v>17369.06</v>
      </c>
      <c r="G233" s="68" t="n">
        <v>184</v>
      </c>
      <c r="H233" s="70" t="n">
        <v>43</v>
      </c>
      <c r="I233" s="68" t="n">
        <v>5</v>
      </c>
      <c r="J233" s="69" t="n">
        <v>4</v>
      </c>
      <c r="K233" s="69" t="inlineStr">
        <is>
          <t>https://amazon.com/dp/B0FYQN779L</t>
        </is>
      </c>
      <c r="L233" s="114">
        <f>HYPERLINK(Table3054[[#This Row],[Column1]])</f>
        <v/>
      </c>
    </row>
    <row r="234" ht="30" customHeight="1" s="314">
      <c r="A234" s="35" t="inlineStr">
        <is>
          <t>FOXWELL NT530 for GM Chevrolet - All Systems, All Maintenance Service - Bidirectional Diagnostic Tool - OBD2 Scanner - Code Reader ABS Bleed SRS Airbag SAS TPMS TPS EPB Oil</t>
        </is>
      </c>
      <c r="B234" s="35" t="inlineStr">
        <is>
          <t>B0C46TXHWG</t>
        </is>
      </c>
      <c r="C234" s="35" t="inlineStr">
        <is>
          <t>Handheld</t>
        </is>
      </c>
      <c r="D234" s="359" t="n">
        <v>167.9218421052632</v>
      </c>
      <c r="E234" s="66" t="n">
        <v>68843.95000000001</v>
      </c>
      <c r="F234" s="66" t="n">
        <v>6381.03</v>
      </c>
      <c r="G234" s="68" t="n">
        <v>406</v>
      </c>
      <c r="H234" s="70" t="n">
        <v>38</v>
      </c>
      <c r="I234" s="68" t="n">
        <v>32</v>
      </c>
      <c r="J234" s="69" t="n">
        <v>4.3</v>
      </c>
      <c r="K234" s="69" t="inlineStr">
        <is>
          <t>https://amazon.com/dp/B0C46TXHWG</t>
        </is>
      </c>
      <c r="L234" s="114">
        <f>HYPERLINK(Table3054[[#This Row],[Column1]])</f>
        <v/>
      </c>
    </row>
    <row r="235" ht="45" customHeight="1" s="314">
      <c r="A235" s="35" t="inlineStr">
        <is>
          <t>PT30+Cable Bundle-ELD Geosavi Buy America (PT30+Light Duty OBDII Square Cable)</t>
        </is>
      </c>
      <c r="B235" s="35" t="inlineStr">
        <is>
          <t>B0CTTXT5S5</t>
        </is>
      </c>
      <c r="C235" s="35" t="inlineStr">
        <is>
          <t>VCI</t>
        </is>
      </c>
      <c r="D235" s="359" t="n">
        <v>187.6217647058824</v>
      </c>
      <c r="E235" s="66" t="n">
        <v>33450.52</v>
      </c>
      <c r="F235" s="66" t="n">
        <v>6379.14</v>
      </c>
      <c r="G235" s="68" t="n">
        <v>180</v>
      </c>
      <c r="H235" s="70" t="n">
        <v>34</v>
      </c>
      <c r="I235" s="68" t="n">
        <v>5</v>
      </c>
      <c r="J235" s="69" t="n">
        <v>5</v>
      </c>
      <c r="K235" s="69" t="inlineStr">
        <is>
          <t>https://amazon.com/dp/B0CTTXT5S5</t>
        </is>
      </c>
      <c r="L235" s="114">
        <f>HYPERLINK(Table3054[[#This Row],[Column1]])</f>
        <v/>
      </c>
    </row>
    <row r="236" ht="45" customHeight="1" s="314">
      <c r="A236" s="35" t="inlineStr">
        <is>
          <t>Generic NEXIQ 9-Pin Deutsch Adapter (1-Meter) for USB-Link 2 &amp; 3, black</t>
        </is>
      </c>
      <c r="B236" s="35" t="inlineStr">
        <is>
          <t>B0CRVX1JLN</t>
        </is>
      </c>
      <c r="C236" s="35" t="inlineStr">
        <is>
          <t>Cable/Adapter</t>
        </is>
      </c>
      <c r="D236" s="359" t="n">
        <v>175.5145454545454</v>
      </c>
      <c r="E236" s="66" t="n">
        <v>85794.46307692307</v>
      </c>
      <c r="F236" s="66" t="n">
        <v>5791.98</v>
      </c>
      <c r="G236" s="68" t="n">
        <v>459</v>
      </c>
      <c r="H236" s="70" t="n">
        <v>33</v>
      </c>
      <c r="I236" s="68" t="n">
        <v>11</v>
      </c>
      <c r="J236" s="69" t="n">
        <v>4</v>
      </c>
      <c r="K236" s="69" t="inlineStr">
        <is>
          <t>https://amazon.com/dp/B0CRVX1JLN</t>
        </is>
      </c>
      <c r="L236" s="114">
        <f>HYPERLINK(Table3054[[#This Row],[Column1]])</f>
        <v/>
      </c>
    </row>
    <row r="237" ht="30" customHeight="1" s="314">
      <c r="A237" s="35" t="inlineStr">
        <is>
          <t>FOXWELL NT530 for Toyota, Lexus, Scion - All Systems, All Maintenance Service - Bidirectional Diagnostic Scan Tool OBD2 Scanner Automotive Code Reader ABS Bleed SRS Airbag SAS TPMS TPS EPB Oil Reset</t>
        </is>
      </c>
      <c r="B237" s="35" t="inlineStr">
        <is>
          <t>B0CZ7DVCN7</t>
        </is>
      </c>
      <c r="C237" s="35" t="inlineStr">
        <is>
          <t>Handheld</t>
        </is>
      </c>
      <c r="D237" s="359" t="n">
        <v>168.6396875</v>
      </c>
      <c r="E237" s="66" t="n">
        <v>38925.98</v>
      </c>
      <c r="F237" s="66" t="n">
        <v>5396.47</v>
      </c>
      <c r="G237" s="68" t="n">
        <v>230</v>
      </c>
      <c r="H237" s="70" t="n">
        <v>32</v>
      </c>
      <c r="I237" s="68" t="n">
        <v>11</v>
      </c>
      <c r="J237" s="69" t="n">
        <v>4.4</v>
      </c>
      <c r="K237" s="69" t="inlineStr">
        <is>
          <t>https://amazon.com/dp/B0CZ7DVCN7</t>
        </is>
      </c>
      <c r="L237" s="114">
        <f>HYPERLINK(Table3054[[#This Row],[Column1]])</f>
        <v/>
      </c>
    </row>
    <row r="238" ht="45" customHeight="1" s="314">
      <c r="A238" s="35" t="inlineStr">
        <is>
          <t>FOXWELL NT530 for Dodge Jeep Chrysler All Systems, All Maintenance Service - Bidirectional Diagnostic Scan Tool OBD2 Scanner Automotive Code Reader ABS Bleed SRS Airbag SAS TPMS TPS EPB Oil Reset CKP</t>
        </is>
      </c>
      <c r="B238" s="35" t="inlineStr">
        <is>
          <t>B0C2D87BM8</t>
        </is>
      </c>
      <c r="C238" s="35" t="inlineStr">
        <is>
          <t>Handheld</t>
        </is>
      </c>
      <c r="D238" s="359" t="n">
        <v>172.0504347826087</v>
      </c>
      <c r="E238" s="66" t="n">
        <v>35836.18000000001</v>
      </c>
      <c r="F238" s="66" t="n">
        <v>3957.16</v>
      </c>
      <c r="G238" s="68" t="n">
        <v>213</v>
      </c>
      <c r="H238" s="70" t="n">
        <v>23</v>
      </c>
      <c r="I238" s="68" t="n">
        <v>28</v>
      </c>
      <c r="J238" s="69" t="n">
        <v>4</v>
      </c>
      <c r="K238" s="69" t="inlineStr">
        <is>
          <t>https://amazon.com/dp/B0C2D87BM8</t>
        </is>
      </c>
      <c r="L238" s="114">
        <f>HYPERLINK(Table3054[[#This Row],[Column1]])</f>
        <v/>
      </c>
    </row>
    <row r="239" ht="30" customHeight="1" s="314">
      <c r="A239" s="35" t="inlineStr">
        <is>
          <t>FOXWELL NT530 for Kia and Hyundai - All Systems, All Maintenance Service - Bidirectional Diagnostic Scan Tool OBD2 Scanner Automotive Code Reader ABS Bleed SRS Airbag SAS TPMS TPS EPB Oil Reset CKP</t>
        </is>
      </c>
      <c r="B239" s="35" t="inlineStr">
        <is>
          <t>B0C2DDGKYK</t>
        </is>
      </c>
      <c r="C239" s="35" t="inlineStr">
        <is>
          <t>Handheld</t>
        </is>
      </c>
      <c r="D239" s="359" t="n">
        <v>169.902380952381</v>
      </c>
      <c r="E239" s="66" t="n">
        <v>49839.77</v>
      </c>
      <c r="F239" s="66" t="n">
        <v>3567.95</v>
      </c>
      <c r="G239" s="68" t="n">
        <v>294</v>
      </c>
      <c r="H239" s="70" t="n">
        <v>21</v>
      </c>
      <c r="I239" s="68" t="n">
        <v>39</v>
      </c>
      <c r="J239" s="69" t="n">
        <v>3.8</v>
      </c>
      <c r="K239" s="69" t="inlineStr">
        <is>
          <t>https://amazon.com/dp/B0C2DDGKYK</t>
        </is>
      </c>
      <c r="L239" s="114">
        <f>HYPERLINK(Table3054[[#This Row],[Column1]])</f>
        <v/>
      </c>
    </row>
    <row r="240" ht="45" customHeight="1" s="314">
      <c r="A240" s="35" t="inlineStr">
        <is>
          <t>FOXWELL NT530 for Mercedes Benz 38 Pin - All Systems, All Maintenance Service - Bidirectional Diagnostic Scan Tool OBD2 Scanner Automotive Code Reader ABS Bleed SRS Airbag SAS TPMS TPS EPB Oil Reset</t>
        </is>
      </c>
      <c r="B240" s="35" t="inlineStr">
        <is>
          <t>B0C3HXTNLL</t>
        </is>
      </c>
      <c r="C240" s="35" t="inlineStr">
        <is>
          <t>Handheld</t>
        </is>
      </c>
      <c r="D240" s="359" t="n">
        <v>201.3405</v>
      </c>
      <c r="E240" s="66" t="n">
        <v>22329.97</v>
      </c>
      <c r="F240" s="66" t="n">
        <v>4026.81</v>
      </c>
      <c r="G240" s="68" t="n">
        <v>112</v>
      </c>
      <c r="H240" s="70" t="n">
        <v>20</v>
      </c>
      <c r="I240" s="68" t="n">
        <v>19</v>
      </c>
      <c r="J240" s="69" t="n">
        <v>3.8</v>
      </c>
      <c r="K240" s="69" t="inlineStr">
        <is>
          <t>https://amazon.com/dp/B0C3HXTNLL</t>
        </is>
      </c>
      <c r="L240" s="114">
        <f>HYPERLINK(Table3054[[#This Row],[Column1]])</f>
        <v/>
      </c>
    </row>
    <row r="241" ht="45" customHeight="1" s="314">
      <c r="A241" s="35" t="inlineStr">
        <is>
          <t>Car Key ECU Test Coil, Car Induction Card,Automatic Ignition Coil Tester for Checking The Lock Ring, Automotive Key Lock Chip Antenna Tester</t>
        </is>
      </c>
      <c r="B241" s="35" t="inlineStr">
        <is>
          <t>B0DK5J237N</t>
        </is>
      </c>
      <c r="C241" s="35" t="inlineStr">
        <is>
          <t>Key</t>
        </is>
      </c>
      <c r="D241" s="359" t="n">
        <v>4.5585</v>
      </c>
      <c r="E241" s="66" t="n">
        <v>1004.93</v>
      </c>
      <c r="F241" s="66" t="n">
        <v>91.17</v>
      </c>
      <c r="G241" s="68" t="n">
        <v>207</v>
      </c>
      <c r="H241" s="70" t="n">
        <v>20</v>
      </c>
      <c r="I241" s="68" t="n">
        <v>10</v>
      </c>
      <c r="J241" s="69" t="n">
        <v>4.4</v>
      </c>
      <c r="K241" s="69" t="inlineStr">
        <is>
          <t>https://amazon.com/dp/B0DK5J237N</t>
        </is>
      </c>
      <c r="L241" s="114">
        <f>HYPERLINK(Table3054[[#This Row],[Column1]])</f>
        <v/>
      </c>
    </row>
    <row r="242" ht="17" customHeight="1" s="314">
      <c r="A242" s="35" t="inlineStr">
        <is>
          <t>Radar OBD Hardwire Kit for Dash Cam, Millimeter-Wave Motion Detection, Plug &amp; Play OBD Power Cable with Parking Mode, Low Voltage Protection</t>
        </is>
      </c>
      <c r="B242" s="35" t="inlineStr">
        <is>
          <t>B0GBW4F7BL</t>
        </is>
      </c>
      <c r="C242" s="35" t="inlineStr">
        <is>
          <t>Cable/Adapter</t>
        </is>
      </c>
      <c r="D242" s="359" t="n">
        <v>15.21157894736842</v>
      </c>
      <c r="E242" s="66" t="n">
        <v>3253.634615384616</v>
      </c>
      <c r="F242" s="66" t="n">
        <v>289.02</v>
      </c>
      <c r="G242" s="68" t="n">
        <v>21</v>
      </c>
      <c r="H242" s="70" t="n">
        <v>19</v>
      </c>
      <c r="I242" s="68" t="n">
        <v>2</v>
      </c>
      <c r="J242" s="69" t="n">
        <v>3</v>
      </c>
      <c r="K242" s="69" t="inlineStr">
        <is>
          <t>https://amazon.com/dp/B0GBW4F7BL</t>
        </is>
      </c>
      <c r="L242" s="114">
        <f>HYPERLINK(Table3054[[#This Row],[Column1]])</f>
        <v/>
      </c>
    </row>
    <row r="243" ht="60" customHeight="1" s="314">
      <c r="A243" s="35" t="inlineStr">
        <is>
          <t>FOXWELL NT530 for Volkswagen and Audi - All Systems, All Maintenance Service - Bidirectional Diagnostic Scan Tool OBD2 Scanner Automotive Code Reader ABS Bleed SRS Airbag SAS TPMS TPS EPB Oil Reset</t>
        </is>
      </c>
      <c r="B243" s="35" t="inlineStr">
        <is>
          <t>B0C2D7X37X</t>
        </is>
      </c>
      <c r="C243" s="35" t="inlineStr">
        <is>
          <t>Handheld</t>
        </is>
      </c>
      <c r="D243" s="359" t="n">
        <v>165.5417647058823</v>
      </c>
      <c r="E243" s="66" t="n">
        <v>21765.38230769231</v>
      </c>
      <c r="F243" s="66" t="n">
        <v>2814.21</v>
      </c>
      <c r="G243" s="68" t="n">
        <v>114</v>
      </c>
      <c r="H243" s="70" t="n">
        <v>17</v>
      </c>
      <c r="I243" s="68" t="n">
        <v>7</v>
      </c>
      <c r="J243" s="69" t="n">
        <v>3.6</v>
      </c>
      <c r="K243" s="69" t="inlineStr">
        <is>
          <t>https://amazon.com/dp/B0C2D7X37X</t>
        </is>
      </c>
      <c r="L243" s="114">
        <f>HYPERLINK(Table3054[[#This Row],[Column1]])</f>
        <v/>
      </c>
    </row>
    <row r="244" ht="30" customHeight="1" s="314">
      <c r="A244" s="35" t="inlineStr">
        <is>
          <t>FOXWELL NT530 for Land Rover, Range Rover, Jaguar - All Maintenance Service - Bidirectional Diagnostic Scan Tool OBD2 Scanner Automotive Code Reader ABS Bleed SRS Airbag SAS TPMS TPS EPB Oil Reset CKP</t>
        </is>
      </c>
      <c r="B244" s="35" t="inlineStr">
        <is>
          <t>B0C2DC88QC</t>
        </is>
      </c>
      <c r="C244" s="35" t="inlineStr">
        <is>
          <t>Handheld</t>
        </is>
      </c>
      <c r="D244" s="359" t="n">
        <v>171.7314285714286</v>
      </c>
      <c r="E244" s="66" t="n">
        <v>21134.89</v>
      </c>
      <c r="F244" s="66" t="n">
        <v>2404.24</v>
      </c>
      <c r="G244" s="68" t="n">
        <v>126</v>
      </c>
      <c r="H244" s="70" t="n">
        <v>14</v>
      </c>
      <c r="I244" s="68" t="n">
        <v>9</v>
      </c>
      <c r="J244" s="69" t="n">
        <v>3.4</v>
      </c>
      <c r="K244" s="69" t="inlineStr">
        <is>
          <t>https://amazon.com/dp/B0C2DC88QC</t>
        </is>
      </c>
      <c r="L244" s="114">
        <f>HYPERLINK(Table3054[[#This Row],[Column1]])</f>
        <v/>
      </c>
    </row>
    <row r="245" ht="45" customHeight="1" s="314">
      <c r="A245" s="35" t="inlineStr">
        <is>
          <t>for 1pc AK90+ AK90 Auto Key Programmer for EWS Version V3.19 Key Maker for Programming Tool</t>
        </is>
      </c>
      <c r="B245" s="35" t="inlineStr">
        <is>
          <t>B0F9KG8N2Z</t>
        </is>
      </c>
      <c r="C245" s="35" t="inlineStr">
        <is>
          <t>Key</t>
        </is>
      </c>
      <c r="D245" s="359" t="n">
        <v>39.00357142857143</v>
      </c>
      <c r="E245" s="66" t="n">
        <v>4835.513076923076</v>
      </c>
      <c r="F245" s="66" t="n">
        <v>546.05</v>
      </c>
      <c r="G245" s="68" t="n">
        <v>33</v>
      </c>
      <c r="H245" s="70" t="n">
        <v>14</v>
      </c>
      <c r="I245" s="68" t="n">
        <v>1</v>
      </c>
      <c r="J245" s="69" t="n">
        <v>5</v>
      </c>
      <c r="K245" s="69" t="inlineStr">
        <is>
          <t>https://amazon.com/dp/B0F9KG8N2Z</t>
        </is>
      </c>
      <c r="L245" s="114">
        <f>HYPERLINK(Table3054[[#This Row],[Column1]])</f>
        <v/>
      </c>
    </row>
    <row r="246" ht="60" customHeight="1" s="314">
      <c r="A246" s="35" t="inlineStr">
        <is>
          <t>FOXWELL NT530 for Ford - All Systems, All Maintenance Service - Bidirectional Diagnostic Scan Tool OBD2 Scanner Automotive Code Reader ABS Bleed SRS Airbag SAS TPMS TPS EPB Oil Reset CKP</t>
        </is>
      </c>
      <c r="B246" s="35" t="inlineStr">
        <is>
          <t>B0C2D7J4KX</t>
        </is>
      </c>
      <c r="C246" s="35" t="inlineStr">
        <is>
          <t>Handheld</t>
        </is>
      </c>
      <c r="D246" s="359" t="n">
        <v>175.8235714285715</v>
      </c>
      <c r="E246" s="66" t="n">
        <v>14611.87</v>
      </c>
      <c r="F246" s="66" t="n">
        <v>2461.53</v>
      </c>
      <c r="G246" s="68" t="n">
        <v>85</v>
      </c>
      <c r="H246" s="70" t="n">
        <v>14</v>
      </c>
      <c r="I246" s="68" t="n">
        <v>7</v>
      </c>
      <c r="J246" s="69" t="n">
        <v>4.3</v>
      </c>
      <c r="K246" s="69" t="inlineStr">
        <is>
          <t>https://amazon.com/dp/B0C2D7J4KX</t>
        </is>
      </c>
      <c r="L246" s="114">
        <f>HYPERLINK(Table3054[[#This Row],[Column1]])</f>
        <v/>
      </c>
    </row>
    <row r="247" ht="45" customHeight="1" s="314">
      <c r="A247" s="35" t="inlineStr">
        <is>
          <t>MPVI4 HP Diagnostic Code Reader Tool, Professional Vehicle Scanner</t>
        </is>
      </c>
      <c r="B247" s="35" t="inlineStr">
        <is>
          <t>B0GSCG8HSX</t>
        </is>
      </c>
      <c r="C247" s="35" t="inlineStr">
        <is>
          <t>Dongle</t>
        </is>
      </c>
      <c r="D247" s="359" t="n">
        <v>362.8546153846154</v>
      </c>
      <c r="E247" s="66" t="n">
        <v>52613.91923076921</v>
      </c>
      <c r="F247" s="66" t="n">
        <v>4717.11</v>
      </c>
      <c r="G247" s="68" t="n">
        <v>13</v>
      </c>
      <c r="H247" s="70" t="n">
        <v>13</v>
      </c>
      <c r="I247" s="68" t="n"/>
      <c r="J247" s="69" t="n"/>
      <c r="K247" s="69" t="inlineStr">
        <is>
          <t>https://amazon.com/dp/B0GSCG8HSX</t>
        </is>
      </c>
      <c r="L247" s="114">
        <f>HYPERLINK(Table3054[[#This Row],[Column1]])</f>
        <v/>
      </c>
    </row>
    <row r="248" ht="45" customHeight="1" s="314">
      <c r="A248" s="35" t="inlineStr">
        <is>
          <t>V519 OBD2 Scanner, Universal Check Engine Light Code Reader, Professional Diagnostic Scan Tool with Full OBDII Functions, Real-Time Data Stream, Erase Fault Codes for All Post-1996 Vehicles</t>
        </is>
      </c>
      <c r="B248" s="35" t="inlineStr">
        <is>
          <t>B0GQWWD67M</t>
        </is>
      </c>
      <c r="C248" s="35" t="inlineStr">
        <is>
          <t>Handheld</t>
        </is>
      </c>
      <c r="D248" s="359" t="n">
        <v>26.84384615384615</v>
      </c>
      <c r="E248" s="66" t="n">
        <v>4190.917692307694</v>
      </c>
      <c r="F248" s="66" t="n">
        <v>348.97</v>
      </c>
      <c r="G248" s="68" t="n">
        <v>22</v>
      </c>
      <c r="H248" s="70" t="n">
        <v>13</v>
      </c>
      <c r="I248" s="68" t="n"/>
      <c r="J248" s="69" t="n"/>
      <c r="K248" s="69" t="inlineStr">
        <is>
          <t>https://amazon.com/dp/B0GQWWD67M</t>
        </is>
      </c>
      <c r="L248" s="114">
        <f>HYPERLINK(Table3054[[#This Row],[Column1]])</f>
        <v/>
      </c>
    </row>
    <row r="249" ht="45" customHeight="1" s="314">
      <c r="A249" s="35" t="inlineStr">
        <is>
          <t>HPT MPVI4 Diagnostic Scanner - 2 Credits</t>
        </is>
      </c>
      <c r="B249" s="35" t="inlineStr">
        <is>
          <t>B0GJJNLVTF</t>
        </is>
      </c>
      <c r="C249" s="35" t="inlineStr">
        <is>
          <t>Dongle</t>
        </is>
      </c>
      <c r="D249" s="359" t="n">
        <v>487.1308333333333</v>
      </c>
      <c r="E249" s="66" t="n">
        <v>67713.37846153845</v>
      </c>
      <c r="F249" s="66" t="n">
        <v>5845.57</v>
      </c>
      <c r="G249" s="68" t="n">
        <v>17</v>
      </c>
      <c r="H249" s="70" t="n">
        <v>12</v>
      </c>
      <c r="I249" s="68" t="n"/>
      <c r="J249" s="69" t="n"/>
      <c r="K249" s="69" t="inlineStr">
        <is>
          <t>https://amazon.com/dp/B0GJJNLVTF</t>
        </is>
      </c>
      <c r="L249" s="114">
        <f>HYPERLINK(Table3054[[#This Row],[Column1]])</f>
        <v/>
      </c>
    </row>
    <row r="250" ht="30" customHeight="1" s="314">
      <c r="A250" s="35" t="inlineStr">
        <is>
          <t>for 1PC MPPS V18 EDC15 EDC16 EDC17 Multi-Language with Breakout Tricore Cable Tool</t>
        </is>
      </c>
      <c r="B250" s="35" t="inlineStr">
        <is>
          <t>B0F9Y5TRWS</t>
        </is>
      </c>
      <c r="C250" s="35" t="inlineStr">
        <is>
          <t>Cable/Adapter</t>
        </is>
      </c>
      <c r="D250" s="359" t="n">
        <v>38.80416666666667</v>
      </c>
      <c r="E250" s="66" t="n">
        <v>5623.619230769229</v>
      </c>
      <c r="F250" s="66" t="n">
        <v>465.65</v>
      </c>
      <c r="G250" s="68" t="n">
        <v>12</v>
      </c>
      <c r="H250" s="70" t="n">
        <v>12</v>
      </c>
      <c r="I250" s="68" t="n"/>
      <c r="J250" s="69" t="n"/>
      <c r="K250" s="69" t="inlineStr">
        <is>
          <t>https://amazon.com/dp/B0F9Y5TRWS</t>
        </is>
      </c>
      <c r="L250" s="114">
        <f>HYPERLINK(Table3054[[#This Row],[Column1]])</f>
        <v/>
      </c>
    </row>
    <row r="251" ht="45" customHeight="1" s="314">
      <c r="A251" s="35" t="inlineStr">
        <is>
          <t>NEXIQ USB-Link 3 Wireless Vehicle Interface – Advanced Diagnostic Tool for Heavy-Duty and Light-Duty Vehicles</t>
        </is>
      </c>
      <c r="B251" s="35" t="inlineStr">
        <is>
          <t>B0BPYVCL6T</t>
        </is>
      </c>
      <c r="C251" s="35" t="inlineStr">
        <is>
          <t>VCI</t>
        </is>
      </c>
      <c r="D251" s="359" t="n">
        <v>784.5791666666668</v>
      </c>
      <c r="E251" s="66" t="n">
        <v>216511.84</v>
      </c>
      <c r="F251" s="66" t="n">
        <v>9414.950000000001</v>
      </c>
      <c r="G251" s="68" t="n">
        <v>272</v>
      </c>
      <c r="H251" s="70" t="n">
        <v>12</v>
      </c>
      <c r="I251" s="68" t="n">
        <v>8</v>
      </c>
      <c r="J251" s="69" t="n">
        <v>4.3</v>
      </c>
      <c r="K251" s="69" t="inlineStr">
        <is>
          <t>https://amazon.com/dp/B0BPYVCL6T</t>
        </is>
      </c>
      <c r="L251" s="114">
        <f>HYPERLINK(Table3054[[#This Row],[Column1]])</f>
        <v/>
      </c>
    </row>
    <row r="252" ht="17" customHeight="1" s="314">
      <c r="A252" s="35" t="inlineStr">
        <is>
          <t>FOXWELL NT530 for Volvo - All Systems, All Maintenance Service - Bidirectional Diagnostic Scan Tool OBD2 Scanner Automotive Code Reader ABS Bleed SRS Airbag SAS TPMS TPS EPB Oil Reset CKP</t>
        </is>
      </c>
      <c r="B252" s="35" t="inlineStr">
        <is>
          <t>B0C2D7WYG9</t>
        </is>
      </c>
      <c r="C252" s="35" t="inlineStr">
        <is>
          <t>Handheld</t>
        </is>
      </c>
      <c r="D252" s="359" t="n">
        <v>169.1745454545455</v>
      </c>
      <c r="E252" s="66" t="n">
        <v>26684.34</v>
      </c>
      <c r="F252" s="66" t="n">
        <v>1860.92</v>
      </c>
      <c r="G252" s="68" t="n">
        <v>157</v>
      </c>
      <c r="H252" s="70" t="n">
        <v>11</v>
      </c>
      <c r="I252" s="68" t="n">
        <v>16</v>
      </c>
      <c r="J252" s="69" t="n">
        <v>4.2</v>
      </c>
      <c r="K252" s="69" t="inlineStr">
        <is>
          <t>https://amazon.com/dp/B0C2D7WYG9</t>
        </is>
      </c>
      <c r="L252" s="114">
        <f>HYPERLINK(Table3054[[#This Row],[Column1]])</f>
        <v/>
      </c>
    </row>
    <row r="253" ht="45" customHeight="1" s="314">
      <c r="A253" s="35" t="inlineStr">
        <is>
          <t>OBD2 Scanner Car Code Reader with Voltage Test - Read &amp; Erase Check Engine Light Fault Codes, Live Data/Freeze Frame, Plug-and-Play CAN Diagnostic Tool for All Cars 1996 &amp; Newer</t>
        </is>
      </c>
      <c r="B253" s="35" t="inlineStr">
        <is>
          <t>B0FFSXN8WR</t>
        </is>
      </c>
      <c r="C253" s="35" t="inlineStr">
        <is>
          <t>Handheld</t>
        </is>
      </c>
      <c r="D253" s="359" t="n">
        <v>14.59909090909091</v>
      </c>
      <c r="E253" s="66" t="n">
        <v>2297.777692307693</v>
      </c>
      <c r="F253" s="66" t="n">
        <v>160.59</v>
      </c>
      <c r="G253" s="68" t="n">
        <v>105</v>
      </c>
      <c r="H253" s="70" t="n">
        <v>11</v>
      </c>
      <c r="I253" s="68" t="n">
        <v>29</v>
      </c>
      <c r="J253" s="69" t="n">
        <v>4.8</v>
      </c>
      <c r="K253" s="69" t="inlineStr">
        <is>
          <t>https://amazon.com/dp/B0FFSXN8WR</t>
        </is>
      </c>
      <c r="L253" s="114">
        <f>HYPERLINK(Table3054[[#This Row],[Column1]])</f>
        <v/>
      </c>
    </row>
    <row r="254" ht="45" customHeight="1" s="314">
      <c r="A254" s="35" t="inlineStr">
        <is>
          <t>OBD2 Adapter Cable for Euro 5 Motorcycles, 6 Pin to 16 Pin Diagnostic Connector Compatible with Guzzi, Kawaskii, Suzuki, Yamaha, Piaggio, Vespa &amp; Honda, Works with OBD2 Code Readers</t>
        </is>
      </c>
      <c r="B254" s="35" t="inlineStr">
        <is>
          <t>B0FR44M4BP</t>
        </is>
      </c>
      <c r="C254" s="35" t="inlineStr">
        <is>
          <t>Cable/Adapter</t>
        </is>
      </c>
      <c r="D254" s="359" t="n">
        <v>12.979</v>
      </c>
      <c r="E254" s="66" t="n">
        <v>1567.463846153846</v>
      </c>
      <c r="F254" s="66" t="n">
        <v>129.79</v>
      </c>
      <c r="G254" s="68" t="n">
        <v>10</v>
      </c>
      <c r="H254" s="70" t="n">
        <v>10</v>
      </c>
      <c r="I254" s="68" t="n"/>
      <c r="J254" s="69" t="n"/>
      <c r="K254" s="69" t="inlineStr">
        <is>
          <t>https://amazon.com/dp/B0FR44M4BP</t>
        </is>
      </c>
      <c r="L254" s="114">
        <f>HYPERLINK(Table3054[[#This Row],[Column1]])</f>
        <v/>
      </c>
    </row>
    <row r="255" ht="30" customHeight="1" s="314">
      <c r="A255" s="35" t="inlineStr">
        <is>
          <t>OBD II Port Lock – OBD2 Connector Security Lock to Prevent Unauthorized Access to Vehicle ECU, Carbon Fiber Construction, US Patented, Ships in 24 Hours</t>
        </is>
      </c>
      <c r="B255" s="35" t="inlineStr">
        <is>
          <t>B0BTW92ZPS</t>
        </is>
      </c>
      <c r="C255" s="35" t="inlineStr">
        <is>
          <t>Other</t>
        </is>
      </c>
      <c r="D255" s="359" t="n">
        <v>35.64888888888888</v>
      </c>
      <c r="E255" s="66" t="n">
        <v>8501.49</v>
      </c>
      <c r="F255" s="66" t="n">
        <v>320.84</v>
      </c>
      <c r="G255" s="68" t="n">
        <v>246</v>
      </c>
      <c r="H255" s="70" t="n">
        <v>9</v>
      </c>
      <c r="I255" s="68" t="n">
        <v>259</v>
      </c>
      <c r="J255" s="69" t="n">
        <v>4</v>
      </c>
      <c r="K255" s="69" t="inlineStr">
        <is>
          <t>https://amazon.com/dp/B0BTW92ZPS</t>
        </is>
      </c>
      <c r="L255" s="114">
        <f>HYPERLINK(Table3054[[#This Row],[Column1]])</f>
        <v/>
      </c>
    </row>
    <row r="256" ht="45" customHeight="1" s="314">
      <c r="A256" s="35" t="inlineStr">
        <is>
          <t>MPVI4 Diagnostic Code Reader and Scan Tool with 0 Credits</t>
        </is>
      </c>
      <c r="B256" s="35" t="inlineStr">
        <is>
          <t>B0GPGL3BC4</t>
        </is>
      </c>
      <c r="C256" s="35" t="inlineStr">
        <is>
          <t>Dongle</t>
        </is>
      </c>
      <c r="D256" s="359" t="n">
        <v>397.8133333333333</v>
      </c>
      <c r="E256" s="66" t="n">
        <v>43239.24923076922</v>
      </c>
      <c r="F256" s="66" t="n">
        <v>3580.32</v>
      </c>
      <c r="G256" s="68" t="n">
        <v>9</v>
      </c>
      <c r="H256" s="70" t="n">
        <v>9</v>
      </c>
      <c r="I256" s="68" t="n"/>
      <c r="J256" s="69" t="n"/>
      <c r="K256" s="69" t="inlineStr">
        <is>
          <t>https://amazon.com/dp/B0GPGL3BC4</t>
        </is>
      </c>
      <c r="L256" s="114">
        <f>HYPERLINK(Table3054[[#This Row],[Column1]])</f>
        <v/>
      </c>
    </row>
    <row r="257" ht="30" customHeight="1" s="314">
      <c r="A257" s="35" t="inlineStr">
        <is>
          <t>E-Car Connection 20-Pin to 16-Pin OBD2 OBD II Diagnostic Adapter Connector Cable for KIA</t>
        </is>
      </c>
      <c r="B257" s="35" t="inlineStr">
        <is>
          <t>B0DHZ9QFV2</t>
        </is>
      </c>
      <c r="C257" s="35" t="inlineStr">
        <is>
          <t>Cable/Adapter</t>
        </is>
      </c>
      <c r="D257" s="359" t="n">
        <v>12.68</v>
      </c>
      <c r="E257" s="66" t="n">
        <v>1225.083076923077</v>
      </c>
      <c r="F257" s="66" t="n">
        <v>101.44</v>
      </c>
      <c r="G257" s="68" t="n">
        <v>8</v>
      </c>
      <c r="H257" s="70" t="n">
        <v>8</v>
      </c>
      <c r="I257" s="68" t="n">
        <v>1</v>
      </c>
      <c r="J257" s="69" t="n">
        <v>5</v>
      </c>
      <c r="K257" s="69" t="inlineStr">
        <is>
          <t>https://amazon.com/dp/B0DHZ9QFV2</t>
        </is>
      </c>
      <c r="L257" s="114">
        <f>HYPERLINK(Table3054[[#This Row],[Column1]])</f>
        <v/>
      </c>
    </row>
    <row r="258" ht="45" customHeight="1" s="314">
      <c r="A258" s="35" t="inlineStr">
        <is>
          <t>PT30+Cable Bundle-TT ELD -Bluestar ELD - ELD365 -ELD24/7 Geosavi Buy America (PT30+Cable Compatible with OBDII Heavy Duty Volvo Trucks)</t>
        </is>
      </c>
      <c r="B258" s="35" t="inlineStr">
        <is>
          <t>B0CHZ93Z9J</t>
        </is>
      </c>
      <c r="C258" s="35" t="inlineStr">
        <is>
          <t>Other</t>
        </is>
      </c>
      <c r="D258" s="359" t="n">
        <v>199.7575</v>
      </c>
      <c r="E258" s="66" t="n">
        <v>16336.63692307692</v>
      </c>
      <c r="F258" s="66" t="n">
        <v>1598.06</v>
      </c>
      <c r="G258" s="68" t="n">
        <v>64</v>
      </c>
      <c r="H258" s="70" t="n">
        <v>8</v>
      </c>
      <c r="I258" s="68" t="n">
        <v>8</v>
      </c>
      <c r="J258" s="69" t="n">
        <v>5</v>
      </c>
      <c r="K258" s="69" t="inlineStr">
        <is>
          <t>https://amazon.com/dp/B0CHZ93Z9J</t>
        </is>
      </c>
      <c r="L258" s="114">
        <f>HYPERLINK(Table3054[[#This Row],[Column1]])</f>
        <v/>
      </c>
    </row>
    <row r="259" ht="30" customHeight="1" s="314">
      <c r="A259" s="35" t="inlineStr">
        <is>
          <t>FOXWELL NT530 for Mercedes Benz (16 Pin) - All Systems, All Maintenance Service - Bidirectional Diagnostic Scan Tool OBD2 Scanner Automotive Code Reader ABS Bleed SRS Airbag SAS TPMS TPS EPB Oil Reset</t>
        </is>
      </c>
      <c r="B259" s="35" t="inlineStr">
        <is>
          <t>B0C2DCY5PR</t>
        </is>
      </c>
      <c r="C259" s="35" t="inlineStr">
        <is>
          <t>Handheld</t>
        </is>
      </c>
      <c r="D259" s="359" t="n">
        <v>167.7542857142857</v>
      </c>
      <c r="E259" s="66" t="n">
        <v>33885.87</v>
      </c>
      <c r="F259" s="66" t="n">
        <v>1174.28</v>
      </c>
      <c r="G259" s="68" t="n">
        <v>202</v>
      </c>
      <c r="H259" s="70" t="n">
        <v>7</v>
      </c>
      <c r="I259" s="68" t="n">
        <v>15</v>
      </c>
      <c r="J259" s="69" t="n">
        <v>4.2</v>
      </c>
      <c r="K259" s="69" t="inlineStr">
        <is>
          <t>https://amazon.com/dp/B0C2DCY5PR</t>
        </is>
      </c>
      <c r="L259" s="114">
        <f>HYPERLINK(Table3054[[#This Row],[Column1]])</f>
        <v/>
      </c>
    </row>
    <row r="260" ht="45" customHeight="1" s="314">
      <c r="A260" s="35" t="inlineStr">
        <is>
          <t>PT30+Cable Bundle-Holiday Sale-ELD Geosavi Buy America (PT30+ Panel Cables for Heavy-Duty Volvo - Black)</t>
        </is>
      </c>
      <c r="B260" s="35" t="inlineStr">
        <is>
          <t>B0CQF62P8R</t>
        </is>
      </c>
      <c r="C260" s="35" t="inlineStr">
        <is>
          <t>Other</t>
        </is>
      </c>
      <c r="D260" s="359" t="n">
        <v>181.4883333333333</v>
      </c>
      <c r="E260" s="66" t="n">
        <v>12414.74615384615</v>
      </c>
      <c r="F260" s="66" t="n">
        <v>1088.93</v>
      </c>
      <c r="G260" s="68" t="n">
        <v>60</v>
      </c>
      <c r="H260" s="70" t="n">
        <v>6</v>
      </c>
      <c r="I260" s="68" t="n">
        <v>2</v>
      </c>
      <c r="J260" s="69" t="n">
        <v>3.9</v>
      </c>
      <c r="K260" s="69" t="inlineStr">
        <is>
          <t>https://amazon.com/dp/B0CQF62P8R</t>
        </is>
      </c>
      <c r="L260" s="114">
        <f>HYPERLINK(Table3054[[#This Row],[Column1]])</f>
        <v/>
      </c>
    </row>
    <row r="261" ht="17" customHeight="1" s="314">
      <c r="A261" s="35" t="inlineStr">
        <is>
          <t>PT30+Cable Bundle-Holiday Sale-ELD Geosavi Buy America (PT30+Green Cable - Molex to 9-pin Green)</t>
        </is>
      </c>
      <c r="B261" s="35" t="inlineStr">
        <is>
          <t>B0CQDKMY2J</t>
        </is>
      </c>
      <c r="C261" s="35" t="inlineStr">
        <is>
          <t>Other</t>
        </is>
      </c>
      <c r="D261" s="359" t="n">
        <v>172.454</v>
      </c>
      <c r="E261" s="66" t="n">
        <v>9906.636923076923</v>
      </c>
      <c r="F261" s="66" t="n">
        <v>862.27</v>
      </c>
      <c r="G261" s="68" t="n">
        <v>7</v>
      </c>
      <c r="H261" s="70" t="n">
        <v>5</v>
      </c>
      <c r="I261" s="68" t="n">
        <v>1</v>
      </c>
      <c r="J261" s="69" t="n">
        <v>5</v>
      </c>
      <c r="K261" s="69" t="inlineStr">
        <is>
          <t>https://amazon.com/dp/B0CQDKMY2J</t>
        </is>
      </c>
      <c r="L261" s="114">
        <f>HYPERLINK(Table3054[[#This Row],[Column1]])</f>
        <v/>
      </c>
    </row>
    <row r="262" ht="30" customHeight="1" s="314">
      <c r="A262" s="35" t="inlineStr">
        <is>
          <t>YouEn Tech Hydra Edl V2 for Type-C Device</t>
        </is>
      </c>
      <c r="B262" s="35" t="inlineStr">
        <is>
          <t>B0B6N2D6JX</t>
        </is>
      </c>
      <c r="C262" s="35" t="inlineStr">
        <is>
          <t>Other</t>
        </is>
      </c>
      <c r="D262" s="359" t="n">
        <v>13.938</v>
      </c>
      <c r="E262" s="66" t="n">
        <v>392.9076923076923</v>
      </c>
      <c r="F262" s="66" t="n">
        <v>69.69</v>
      </c>
      <c r="G262" s="68" t="n">
        <v>13</v>
      </c>
      <c r="H262" s="70" t="n">
        <v>5</v>
      </c>
      <c r="I262" s="68" t="n">
        <v>2</v>
      </c>
      <c r="J262" s="69" t="n">
        <v>5</v>
      </c>
      <c r="K262" s="69" t="inlineStr">
        <is>
          <t>https://amazon.com/dp/B0B6N2D6JX</t>
        </is>
      </c>
      <c r="L262" s="114">
        <f>HYPERLINK(Table3054[[#This Row],[Column1]])</f>
        <v/>
      </c>
    </row>
    <row r="263" ht="17" customHeight="1" s="314">
      <c r="A263" s="35" t="inlineStr">
        <is>
          <t>OBD2 Diagnostic Tool, Compliant with All OBDII Standards, Reads/Clears Codes, Freezes Views, wit/IM Ready, Suitable for Automotive and Truck Fault Diagnosis Instruments for All Vehicles Since 1996</t>
        </is>
      </c>
      <c r="B263" s="35" t="inlineStr">
        <is>
          <t>B0FDWQSF4K</t>
        </is>
      </c>
      <c r="C263" s="35" t="inlineStr">
        <is>
          <t>Handheld</t>
        </is>
      </c>
      <c r="D263" s="359" t="n">
        <v>28.206</v>
      </c>
      <c r="E263" s="66" t="n">
        <v>705.5146153846155</v>
      </c>
      <c r="F263" s="66" t="n">
        <v>141.03</v>
      </c>
      <c r="G263" s="68" t="n">
        <v>11</v>
      </c>
      <c r="H263" s="70" t="n">
        <v>5</v>
      </c>
      <c r="I263" s="68" t="n"/>
      <c r="J263" s="69" t="n"/>
      <c r="K263" s="69" t="inlineStr">
        <is>
          <t>https://amazon.com/dp/B0FDWQSF4K</t>
        </is>
      </c>
      <c r="L263" s="114">
        <f>HYPERLINK(Table3054[[#This Row],[Column1]])</f>
        <v/>
      </c>
    </row>
    <row r="264" ht="17" customHeight="1" s="314">
      <c r="A264" s="35" t="inlineStr">
        <is>
          <t>for SM2 P/RO J2534 Update Version V1.21.22 with Dongle Program Read and Write 67 in 1 OBDII Tools Full Engineer (SM2 PRO US Standard with 2 dongles)</t>
        </is>
      </c>
      <c r="B264" s="35" t="inlineStr">
        <is>
          <t>B0FWQZ15FQ</t>
        </is>
      </c>
      <c r="C264" s="35" t="inlineStr">
        <is>
          <t>VCI</t>
        </is>
      </c>
      <c r="D264" s="359" t="n">
        <v>115.202</v>
      </c>
      <c r="E264" s="66" t="n">
        <v>6133.462307692308</v>
      </c>
      <c r="F264" s="66" t="n">
        <v>576.01</v>
      </c>
      <c r="G264" s="68" t="n">
        <v>17</v>
      </c>
      <c r="H264" s="70" t="n">
        <v>5</v>
      </c>
      <c r="I264" s="68" t="n"/>
      <c r="J264" s="69" t="n"/>
      <c r="K264" s="69" t="inlineStr">
        <is>
          <t>https://amazon.com/dp/B0FWQZ15FQ</t>
        </is>
      </c>
      <c r="L264" s="114">
        <f>HYPERLINK(Table3054[[#This Row],[Column1]])</f>
        <v/>
      </c>
    </row>
    <row r="265" ht="30" customHeight="1" s="314">
      <c r="A265" s="35" t="inlineStr">
        <is>
          <t>FOXWELL NT680 OBD2 Scanner - All Systems Car Diagnostic Tool for All Makes All Models - Oil Reset, Electronic Parking Brake Reset OBD Scanner Diagnostic Tool</t>
        </is>
      </c>
      <c r="B265" s="35" t="inlineStr">
        <is>
          <t>B0C46TNYVM</t>
        </is>
      </c>
      <c r="C265" s="35" t="inlineStr">
        <is>
          <t>Handheld</t>
        </is>
      </c>
      <c r="D265" s="359" t="n">
        <v>185.784</v>
      </c>
      <c r="E265" s="66" t="n">
        <v>11097.02</v>
      </c>
      <c r="F265" s="66" t="n">
        <v>928.92</v>
      </c>
      <c r="G265" s="68" t="n">
        <v>56</v>
      </c>
      <c r="H265" s="70" t="n">
        <v>5</v>
      </c>
      <c r="I265" s="68" t="n">
        <v>8</v>
      </c>
      <c r="J265" s="69" t="n">
        <v>3.4</v>
      </c>
      <c r="K265" s="69" t="inlineStr">
        <is>
          <t>https://amazon.com/dp/B0C46TNYVM</t>
        </is>
      </c>
      <c r="L265" s="114">
        <f>HYPERLINK(Table3054[[#This Row],[Column1]])</f>
        <v/>
      </c>
    </row>
    <row r="266" ht="45" customHeight="1" s="314">
      <c r="A266" s="35" t="inlineStr">
        <is>
          <t>88894000 for Vocom II Communications Unit Adapter - Diagnostic Tool with Software for Trucks, Excavators, Buses and Yachts (Tool with Software)</t>
        </is>
      </c>
      <c r="B266" s="35" t="inlineStr">
        <is>
          <t>B0FH4MV5CT</t>
        </is>
      </c>
      <c r="C266" s="35" t="inlineStr">
        <is>
          <t>VCI</t>
        </is>
      </c>
      <c r="D266" s="359" t="n">
        <v>421.65</v>
      </c>
      <c r="E266" s="66" t="n">
        <v>16638.10923076923</v>
      </c>
      <c r="F266" s="66" t="n">
        <v>1686.6</v>
      </c>
      <c r="G266" s="68" t="n">
        <v>15</v>
      </c>
      <c r="H266" s="70" t="n">
        <v>4</v>
      </c>
      <c r="I266" s="68" t="n"/>
      <c r="J266" s="69" t="n"/>
      <c r="K266" s="69" t="inlineStr">
        <is>
          <t>https://amazon.com/dp/B0FH4MV5CT</t>
        </is>
      </c>
      <c r="L266" s="114">
        <f>HYPERLINK(Table3054[[#This Row],[Column1]])</f>
        <v/>
      </c>
    </row>
    <row r="267" ht="30" customHeight="1" s="314">
      <c r="A267" s="35" t="inlineStr">
        <is>
          <t>2024 G' M MDI2 Multi Diagnostic Interface Scanner EL-52100-AM for DLC Cable Plug 2 WF Interface Scanner Kit with OBD2 USB 2.0 Interface (No WiFi)</t>
        </is>
      </c>
      <c r="B267" s="35" t="inlineStr">
        <is>
          <t>B0FWQZVLZC</t>
        </is>
      </c>
      <c r="C267" s="35" t="inlineStr">
        <is>
          <t>VCI</t>
        </is>
      </c>
      <c r="D267" s="359" t="n">
        <v>326.2925</v>
      </c>
      <c r="E267" s="66" t="n">
        <v>11971.75615384616</v>
      </c>
      <c r="F267" s="66" t="n">
        <v>1305.17</v>
      </c>
      <c r="G267" s="68" t="n">
        <v>11</v>
      </c>
      <c r="H267" s="70" t="n">
        <v>4</v>
      </c>
      <c r="I267" s="68" t="n"/>
      <c r="J267" s="69" t="n"/>
      <c r="K267" s="69" t="inlineStr">
        <is>
          <t>https://amazon.com/dp/B0FWQZVLZC</t>
        </is>
      </c>
      <c r="L267" s="114">
        <f>HYPERLINK(Table3054[[#This Row],[Column1]])</f>
        <v/>
      </c>
    </row>
    <row r="268" ht="45" customHeight="1" s="314">
      <c r="A268" s="35" t="inlineStr">
        <is>
          <t>Candi Interface Module Adapter Diagnostic Tool OBD for GM Tech 2 Tech2</t>
        </is>
      </c>
      <c r="B268" s="35" t="inlineStr">
        <is>
          <t>B0D6YV36GQ</t>
        </is>
      </c>
      <c r="C268" s="35" t="inlineStr">
        <is>
          <t>Cable/Adapter</t>
        </is>
      </c>
      <c r="D268" s="359" t="n">
        <v>70.54000000000001</v>
      </c>
      <c r="E268" s="66" t="n">
        <v>2112.37</v>
      </c>
      <c r="F268" s="66" t="n">
        <v>211.62</v>
      </c>
      <c r="G268" s="68" t="n">
        <v>24</v>
      </c>
      <c r="H268" s="70" t="n">
        <v>3</v>
      </c>
      <c r="I268" s="68" t="n">
        <v>3</v>
      </c>
      <c r="J268" s="69" t="n">
        <v>3.3</v>
      </c>
      <c r="K268" s="69" t="inlineStr">
        <is>
          <t>https://amazon.com/dp/B0D6YV36GQ</t>
        </is>
      </c>
      <c r="L268" s="114">
        <f>HYPERLINK(Table3054[[#This Row],[Column1]])</f>
        <v/>
      </c>
    </row>
    <row r="269" ht="30" customHeight="1" s="314">
      <c r="A269" s="35" t="inlineStr">
        <is>
          <t>Cable for PT30 HOS ELD Logbook, Compliant ECM w/DOT-Electronic Logging Device ForMackVOLVO Square Black Heavy Duty OBDII Cable, Part # PTSSOV15</t>
        </is>
      </c>
      <c r="B269" s="35" t="inlineStr">
        <is>
          <t>B0CFNPH9QS</t>
        </is>
      </c>
      <c r="C269" s="35" t="inlineStr">
        <is>
          <t>Handheld</t>
        </is>
      </c>
      <c r="D269" s="359" t="n">
        <v>23.33333333333333</v>
      </c>
      <c r="E269" s="66" t="n">
        <v>370.2</v>
      </c>
      <c r="F269" s="66" t="n">
        <v>70</v>
      </c>
      <c r="G269" s="68" t="n">
        <v>15</v>
      </c>
      <c r="H269" s="70" t="n">
        <v>3</v>
      </c>
      <c r="I269" s="68" t="n">
        <v>2</v>
      </c>
      <c r="J269" s="69" t="n">
        <v>5</v>
      </c>
      <c r="K269" s="69" t="inlineStr">
        <is>
          <t>https://amazon.com/dp/B0CFNPH9QS</t>
        </is>
      </c>
      <c r="L269" s="114">
        <f>HYPERLINK(Table3054[[#This Row],[Column1]])</f>
        <v/>
      </c>
    </row>
    <row r="270" ht="30" customHeight="1" s="314">
      <c r="A270" s="35" t="inlineStr">
        <is>
          <t>2 PCS Car Key ECU Test Coil, Car Induction Card,Automatic Ignition Coil Tester for Checking The Lock Ring, Automotive Key Lock Chip Antenna Tester</t>
        </is>
      </c>
      <c r="B270" s="35" t="inlineStr">
        <is>
          <t>B0F1TKP7YF</t>
        </is>
      </c>
      <c r="C270" s="35" t="inlineStr">
        <is>
          <t>Other</t>
        </is>
      </c>
      <c r="D270" s="359" t="n">
        <v>6.473333333333334</v>
      </c>
      <c r="E270" s="66" t="n">
        <v>599.8623076923077</v>
      </c>
      <c r="F270" s="66" t="n">
        <v>19.42</v>
      </c>
      <c r="G270" s="68" t="n">
        <v>92</v>
      </c>
      <c r="H270" s="70" t="n">
        <v>3</v>
      </c>
      <c r="I270" s="68" t="n">
        <v>1</v>
      </c>
      <c r="J270" s="69" t="n">
        <v>5</v>
      </c>
      <c r="K270" s="69" t="inlineStr">
        <is>
          <t>https://amazon.com/dp/B0F1TKP7YF</t>
        </is>
      </c>
      <c r="L270" s="114">
        <f>HYPERLINK(Table3054[[#This Row],[Column1]])</f>
        <v/>
      </c>
    </row>
    <row r="271" ht="30" customHeight="1" s="314">
      <c r="A271" s="35" t="inlineStr">
        <is>
          <t>V519 OBD II Car Scanner, Diagnostic Error Finder, Fault Code Detection and Real-Time Data Stream, Compatible with All OBD II Protocol Vehicles from 1996+</t>
        </is>
      </c>
      <c r="B271" s="35" t="inlineStr">
        <is>
          <t>B0G4QQY3N8</t>
        </is>
      </c>
      <c r="C271" s="35" t="inlineStr">
        <is>
          <t>Handheld</t>
        </is>
      </c>
      <c r="D271" s="359" t="n">
        <v>42.97666666666667</v>
      </c>
      <c r="E271" s="66" t="n">
        <v>1402.030769230769</v>
      </c>
      <c r="F271" s="66" t="n">
        <v>128.93</v>
      </c>
      <c r="G271" s="68" t="n">
        <v>8</v>
      </c>
      <c r="H271" s="70" t="n">
        <v>3</v>
      </c>
      <c r="I271" s="68" t="n"/>
      <c r="J271" s="69" t="n"/>
      <c r="K271" s="69" t="inlineStr">
        <is>
          <t>https://amazon.com/dp/B0G4QQY3N8</t>
        </is>
      </c>
      <c r="L271" s="114">
        <f>HYPERLINK(Table3054[[#This Row],[Column1]])</f>
        <v/>
      </c>
    </row>
    <row r="272" ht="30" customHeight="1" s="314">
      <c r="A272" s="35" t="inlineStr">
        <is>
          <t>AK90+ Key Programmer for EWS2/3/4 Code Reader V3.19 Version AK90 Maker Programming Tool</t>
        </is>
      </c>
      <c r="B272" s="35" t="inlineStr">
        <is>
          <t>B0FLLG3M7D</t>
        </is>
      </c>
      <c r="C272" s="35" t="inlineStr">
        <is>
          <t>Handheld</t>
        </is>
      </c>
      <c r="D272" s="359" t="n">
        <v>50.87666666666667</v>
      </c>
      <c r="E272" s="66" t="n">
        <v>1333.006153846154</v>
      </c>
      <c r="F272" s="66" t="n">
        <v>152.63</v>
      </c>
      <c r="G272" s="68" t="n">
        <v>11</v>
      </c>
      <c r="H272" s="70" t="n">
        <v>3</v>
      </c>
      <c r="I272" s="68" t="n">
        <v>1</v>
      </c>
      <c r="J272" s="69" t="n">
        <v>1</v>
      </c>
      <c r="K272" s="69" t="inlineStr">
        <is>
          <t>https://amazon.com/dp/B0FLLG3M7D</t>
        </is>
      </c>
      <c r="L272" s="114">
        <f>HYPERLINK(Table3054[[#This Row],[Column1]])</f>
        <v/>
      </c>
    </row>
    <row r="273" ht="45" customHeight="1" s="314">
      <c r="A273" s="35" t="inlineStr">
        <is>
          <t>ET3 317-7485 for Caterpillar CAT Communication Adapter Diagnostic Tool Truck Excavator Engine with 2019C 6+9+14pin Cable (with Laptop)</t>
        </is>
      </c>
      <c r="B273" s="35" t="inlineStr">
        <is>
          <t>B0CLD5Y59K</t>
        </is>
      </c>
      <c r="C273" s="35" t="inlineStr">
        <is>
          <t>VCI</t>
        </is>
      </c>
      <c r="D273" s="359" t="n">
        <v>829.365</v>
      </c>
      <c r="E273" s="66" t="n">
        <v>4530.820000000001</v>
      </c>
      <c r="F273" s="66" t="n">
        <v>1658.73</v>
      </c>
      <c r="G273" s="68" t="n">
        <v>7</v>
      </c>
      <c r="H273" s="70" t="n">
        <v>2</v>
      </c>
      <c r="I273" s="68" t="n"/>
      <c r="J273" s="69" t="n"/>
      <c r="K273" s="69" t="inlineStr">
        <is>
          <t>https://amazon.com/dp/B0CLD5Y59K</t>
        </is>
      </c>
      <c r="L273" s="114">
        <f>HYPERLINK(Table3054[[#This Row],[Column1]])</f>
        <v/>
      </c>
    </row>
    <row r="274" ht="30" customHeight="1" s="314">
      <c r="A274" s="35" t="inlineStr">
        <is>
          <t>FROYUIO MS309 CAN OBD2 Scanner: Car Diagnostic Tool with Check Engine Light Reset, CAN Code Reader, Multi-Language for All OBD2 Vehicles (SAE J1962, EOBD Compliant) (Red)</t>
        </is>
      </c>
      <c r="B274" s="35" t="inlineStr">
        <is>
          <t>B0DZRH98LB</t>
        </is>
      </c>
      <c r="C274" s="35" t="inlineStr">
        <is>
          <t>Handheld</t>
        </is>
      </c>
      <c r="D274" s="359" t="n">
        <v>15.58</v>
      </c>
      <c r="E274" s="66" t="n">
        <v>446.0615384615385</v>
      </c>
      <c r="F274" s="66" t="n">
        <v>31.16</v>
      </c>
      <c r="G274" s="68" t="n">
        <v>21</v>
      </c>
      <c r="H274" s="70" t="n">
        <v>2</v>
      </c>
      <c r="I274" s="68" t="n">
        <v>4</v>
      </c>
      <c r="J274" s="69" t="n">
        <v>4.6</v>
      </c>
      <c r="K274" s="69" t="inlineStr">
        <is>
          <t>https://amazon.com/dp/B0DZRH98LB</t>
        </is>
      </c>
      <c r="L274" s="114">
        <f>HYPERLINK(Table3054[[#This Row],[Column1]])</f>
        <v/>
      </c>
    </row>
    <row r="275" ht="30" customHeight="1" s="314">
      <c r="A275" s="35" t="inlineStr">
        <is>
          <t>HUF TPMS DT41 TOOL &amp; 20 DUAL-BAND SENSORS BUNDLE ALL WIRES and PLUGS.</t>
        </is>
      </c>
      <c r="B275" s="35" t="inlineStr">
        <is>
          <t>B0B781MXYQ</t>
        </is>
      </c>
      <c r="C275" s="35" t="inlineStr">
        <is>
          <t>Other</t>
        </is>
      </c>
      <c r="D275" s="359" t="n">
        <v>457.975</v>
      </c>
      <c r="E275" s="66" t="n">
        <v>10591.65846153846</v>
      </c>
      <c r="F275" s="66" t="n">
        <v>915.95</v>
      </c>
      <c r="G275" s="68" t="n">
        <v>9</v>
      </c>
      <c r="H275" s="70" t="n">
        <v>2</v>
      </c>
      <c r="I275" s="68" t="n"/>
      <c r="J275" s="69" t="n"/>
      <c r="K275" s="69" t="inlineStr">
        <is>
          <t>https://amazon.com/dp/B0B781MXYQ</t>
        </is>
      </c>
      <c r="L275" s="114">
        <f>HYPERLINK(Table3054[[#This Row],[Column1]])</f>
        <v/>
      </c>
    </row>
    <row r="276" ht="45" customHeight="1" s="314">
      <c r="A276" s="35" t="inlineStr">
        <is>
          <t>Universal Diagnostic Tool for 124032 Nexiq USB Link 2, Used for Diagnostic Scanning of Diesel Heavy-Duty Trucks and Excavators,Scanner with Bluetooth and USB Interface Adapter</t>
        </is>
      </c>
      <c r="B276" s="35" t="inlineStr">
        <is>
          <t>B0FS1NCT24</t>
        </is>
      </c>
      <c r="C276" s="35" t="inlineStr">
        <is>
          <t>VCI</t>
        </is>
      </c>
      <c r="D276" s="359" t="n">
        <v>199.31</v>
      </c>
      <c r="E276" s="66" t="n">
        <v>5073.016153846153</v>
      </c>
      <c r="F276" s="66" t="n">
        <v>398.62</v>
      </c>
      <c r="G276" s="68" t="n">
        <v>5</v>
      </c>
      <c r="H276" s="70" t="n">
        <v>2</v>
      </c>
      <c r="I276" s="68" t="n"/>
      <c r="J276" s="69" t="n"/>
      <c r="K276" s="69" t="inlineStr">
        <is>
          <t>https://amazon.com/dp/B0FS1NCT24</t>
        </is>
      </c>
      <c r="L276" s="114">
        <f>HYPERLINK(Table3054[[#This Row],[Column1]])</f>
        <v/>
      </c>
    </row>
    <row r="277" ht="45" customHeight="1" s="314">
      <c r="A277" s="35" t="inlineStr">
        <is>
          <t>478-0235 538-5051 317-7485 ET4 Communication Adapter 3 2019C 2023A for Caterpillar cat Adapter 3 Heavy Duty Truck Diagnostic Tool (ET4)</t>
        </is>
      </c>
      <c r="B277" s="35" t="inlineStr">
        <is>
          <t>B0CJTTSGFQ</t>
        </is>
      </c>
      <c r="C277" s="35" t="inlineStr">
        <is>
          <t>VCI</t>
        </is>
      </c>
      <c r="D277" s="359" t="n">
        <v>370.35</v>
      </c>
      <c r="E277" s="66" t="n">
        <v>9203.470000000001</v>
      </c>
      <c r="F277" s="66" t="n">
        <v>740.7</v>
      </c>
      <c r="G277" s="68" t="n">
        <v>26</v>
      </c>
      <c r="H277" s="70" t="n">
        <v>2</v>
      </c>
      <c r="I277" s="68" t="n">
        <v>1</v>
      </c>
      <c r="J277" s="69" t="n">
        <v>5</v>
      </c>
      <c r="K277" s="69" t="inlineStr">
        <is>
          <t>https://amazon.com/dp/B0CJTTSGFQ</t>
        </is>
      </c>
      <c r="L277" s="114">
        <f>HYPERLINK(Table3054[[#This Row],[Column1]])</f>
        <v/>
      </c>
    </row>
    <row r="278" ht="30" customHeight="1" s="314">
      <c r="A278" s="35" t="inlineStr">
        <is>
          <t>for Hitachi Diagnostic Scanner Dr ZX Excavator Truck with PDA EX&amp;ZX Construction Mining Equipment Diagnostic Tool</t>
        </is>
      </c>
      <c r="B278" s="35" t="inlineStr">
        <is>
          <t>B0CJ6JLTBY</t>
        </is>
      </c>
      <c r="C278" s="35" t="inlineStr">
        <is>
          <t>VCI</t>
        </is>
      </c>
      <c r="D278" s="359" t="n">
        <v>155.645</v>
      </c>
      <c r="E278" s="66" t="n">
        <v>3086.506923076922</v>
      </c>
      <c r="F278" s="66" t="n">
        <v>311.29</v>
      </c>
      <c r="G278" s="68" t="n">
        <v>4</v>
      </c>
      <c r="H278" s="70" t="n">
        <v>2</v>
      </c>
      <c r="I278" s="68" t="n"/>
      <c r="J278" s="69" t="n"/>
      <c r="K278" s="69" t="inlineStr">
        <is>
          <t>https://amazon.com/dp/B0CJ6JLTBY</t>
        </is>
      </c>
      <c r="L278" s="114">
        <f>HYPERLINK(Table3054[[#This Row],[Column1]])</f>
        <v/>
      </c>
    </row>
    <row r="279" ht="45" customHeight="1" s="314">
      <c r="A279" s="35" t="inlineStr">
        <is>
          <t>26 Pin OBD Diagnostic Adapter for Tesla Model 3/Y, Enables Direct Connection to Standard 16-Pin OBDII Code Readers &amp; Scanner Tools</t>
        </is>
      </c>
      <c r="B279" s="35" t="inlineStr">
        <is>
          <t>B0FQVDZT73</t>
        </is>
      </c>
      <c r="C279" s="35" t="inlineStr">
        <is>
          <t>Cable/Adapter</t>
        </is>
      </c>
      <c r="D279" s="359" t="n">
        <v>18.525</v>
      </c>
      <c r="E279" s="66" t="n">
        <v>431.5699999999999</v>
      </c>
      <c r="F279" s="66" t="n">
        <v>37.05</v>
      </c>
      <c r="G279" s="68" t="n">
        <v>6</v>
      </c>
      <c r="H279" s="70" t="n">
        <v>2</v>
      </c>
      <c r="I279" s="68" t="n"/>
      <c r="J279" s="69" t="n"/>
      <c r="K279" s="69" t="inlineStr">
        <is>
          <t>https://amazon.com/dp/B0FQVDZT73</t>
        </is>
      </c>
      <c r="L279" s="114">
        <f>HYPERLINK(Table3054[[#This Row],[Column1]])</f>
        <v/>
      </c>
    </row>
    <row r="280" ht="17" customHeight="1" s="314">
      <c r="A280" s="35" t="inlineStr">
        <is>
          <t>FOXWELL NT680 Pro OBD2 Scanner - Diagnostic Scan Tool, Full System Car Scanner - 19 Reset Service Code Reader - Automotive Professional Scanner with Oil Light, EPB/TPS Reset</t>
        </is>
      </c>
      <c r="B280" s="35" t="inlineStr">
        <is>
          <t>B0C46Z3Q91</t>
        </is>
      </c>
      <c r="C280" s="35" t="inlineStr">
        <is>
          <t>Handheld</t>
        </is>
      </c>
      <c r="D280" s="359" t="n">
        <v>220.015</v>
      </c>
      <c r="E280" s="66" t="n">
        <v>14803.86</v>
      </c>
      <c r="F280" s="66" t="n">
        <v>440.03</v>
      </c>
      <c r="G280" s="68" t="n">
        <v>53</v>
      </c>
      <c r="H280" s="70" t="n">
        <v>2</v>
      </c>
      <c r="I280" s="68" t="n">
        <v>8</v>
      </c>
      <c r="J280" s="69" t="n">
        <v>3.8</v>
      </c>
      <c r="K280" s="69" t="inlineStr">
        <is>
          <t>https://amazon.com/dp/B0C46Z3Q91</t>
        </is>
      </c>
      <c r="L280" s="114">
        <f>HYPERLINK(Table3054[[#This Row],[Column1]])</f>
        <v/>
      </c>
    </row>
    <row r="281" ht="45" customHeight="1" s="314">
      <c r="A281" s="35" t="inlineStr">
        <is>
          <t>Car OBD2 Scanner Diagnostic Tool for Suzuki Kizashi 2010 2011 2012 2013 2014 2015 2016 2017, Live Data Modes 6/8 Check Engine Fault Code Reader OBDII V539 40000+ Library</t>
        </is>
      </c>
      <c r="B281" s="35" t="inlineStr">
        <is>
          <t>B0GTNDPJY8</t>
        </is>
      </c>
      <c r="C281" s="35" t="inlineStr">
        <is>
          <t>Handheld</t>
        </is>
      </c>
      <c r="D281" s="359" t="n">
        <v>51.99</v>
      </c>
      <c r="E281" s="66" t="n">
        <v>627.8792307692307</v>
      </c>
      <c r="F281" s="66" t="n">
        <v>51.99</v>
      </c>
      <c r="G281" s="68" t="n">
        <v>1</v>
      </c>
      <c r="H281" s="70" t="n">
        <v>1</v>
      </c>
      <c r="I281" s="68" t="n"/>
      <c r="J281" s="69" t="n"/>
      <c r="K281" s="69" t="inlineStr">
        <is>
          <t>https://amazon.com/dp/B0GTNDPJY8</t>
        </is>
      </c>
      <c r="L281" s="114">
        <f>HYPERLINK(Table3054[[#This Row],[Column1]])</f>
        <v/>
      </c>
    </row>
    <row r="282" ht="30" customHeight="1" s="314">
      <c r="A282" s="35" t="inlineStr">
        <is>
          <t>for 3165033 Inline 6 Data Link Adapter Insite 8.7 Heavy Duty Diagnostic Tool Scanner Interface CAN Flasher Remapper</t>
        </is>
      </c>
      <c r="B282" s="35" t="inlineStr">
        <is>
          <t>B0CJ6DTJHS</t>
        </is>
      </c>
      <c r="C282" s="35" t="inlineStr">
        <is>
          <t>VCI</t>
        </is>
      </c>
      <c r="D282" s="359" t="n">
        <v>245.81</v>
      </c>
      <c r="E282" s="66" t="n">
        <v>1331.341538461538</v>
      </c>
      <c r="F282" s="66" t="n">
        <v>245.81</v>
      </c>
      <c r="G282" s="68" t="n">
        <v>5</v>
      </c>
      <c r="H282" s="70" t="n">
        <v>1</v>
      </c>
      <c r="I282" s="68" t="n"/>
      <c r="J282" s="69" t="n"/>
      <c r="K282" s="69" t="inlineStr">
        <is>
          <t>https://amazon.com/dp/B0CJ6DTJHS</t>
        </is>
      </c>
      <c r="L282" s="114">
        <f>HYPERLINK(Table3054[[#This Row],[Column1]])</f>
        <v/>
      </c>
    </row>
    <row r="283" ht="30" customHeight="1" s="314">
      <c r="A283" s="35" t="inlineStr">
        <is>
          <t>NEXIQ USB Link 3 Wireless Bundle with J560 PLC Adapter</t>
        </is>
      </c>
      <c r="B283" s="35" t="inlineStr">
        <is>
          <t>B0D68GNPH5</t>
        </is>
      </c>
      <c r="C283" s="35" t="inlineStr">
        <is>
          <t>VCI</t>
        </is>
      </c>
      <c r="D283" s="359" t="n">
        <v>1133.89</v>
      </c>
      <c r="E283" s="66" t="n">
        <v>17243.06</v>
      </c>
      <c r="F283" s="66" t="n">
        <v>1133.89</v>
      </c>
      <c r="G283" s="68" t="n">
        <v>17</v>
      </c>
      <c r="H283" s="70" t="n">
        <v>1</v>
      </c>
      <c r="I283" s="68" t="n"/>
      <c r="J283" s="69" t="n"/>
      <c r="K283" s="69" t="inlineStr">
        <is>
          <t>https://amazon.com/dp/B0D68GNPH5</t>
        </is>
      </c>
      <c r="L283" s="114">
        <f>HYPERLINK(Table3054[[#This Row],[Column1]])</f>
        <v/>
      </c>
    </row>
    <row r="284" ht="45" customHeight="1" s="314">
      <c r="A284" s="35" t="inlineStr">
        <is>
          <t>MS309 Universal OBD2 Scanner – Professional Car Engine Diagnostic Tool</t>
        </is>
      </c>
      <c r="B284" s="35" t="inlineStr">
        <is>
          <t>B0F5JGMR6V</t>
        </is>
      </c>
      <c r="C284" s="35" t="inlineStr">
        <is>
          <t>Handheld</t>
        </is>
      </c>
      <c r="D284" s="359" t="n">
        <v>13.98</v>
      </c>
      <c r="E284" s="66" t="n">
        <v>152.2746153846154</v>
      </c>
      <c r="F284" s="66" t="n">
        <v>13.98</v>
      </c>
      <c r="G284" s="68" t="n">
        <v>10</v>
      </c>
      <c r="H284" s="70" t="n">
        <v>1</v>
      </c>
      <c r="I284" s="68" t="n"/>
      <c r="J284" s="69" t="n"/>
      <c r="K284" s="69" t="inlineStr">
        <is>
          <t>https://amazon.com/dp/B0F5JGMR6V</t>
        </is>
      </c>
      <c r="L284" s="114">
        <f>HYPERLINK(Table3054[[#This Row],[Column1]])</f>
        <v/>
      </c>
    </row>
    <row r="285" ht="45" customHeight="1" s="314">
      <c r="A285" s="35" t="inlineStr">
        <is>
          <t>Professional OBD2 Scanner AL319 Code Reader, Enhanced Check and Reset Engine Fault Code, Live Data, Freeze Frame, CAN Car Diagnostic Scan Tools for All OBDII Vehicles After 1996, 2023 Upgraded</t>
        </is>
      </c>
      <c r="B285" s="35" t="inlineStr">
        <is>
          <t>B0CPM1CKRW</t>
        </is>
      </c>
      <c r="C285" s="35" t="inlineStr">
        <is>
          <t>Handheld</t>
        </is>
      </c>
      <c r="D285" s="359" t="n">
        <v>15.46</v>
      </c>
      <c r="E285" s="66" t="n">
        <v>46.66</v>
      </c>
      <c r="F285" s="66" t="n">
        <v>15.46</v>
      </c>
      <c r="G285" s="68" t="n">
        <v>3</v>
      </c>
      <c r="H285" s="70" t="n">
        <v>1</v>
      </c>
      <c r="I285" s="68" t="n"/>
      <c r="J285" s="69" t="n"/>
      <c r="K285" s="69" t="inlineStr">
        <is>
          <t>https://amazon.com/dp/B0CPM1CKRW</t>
        </is>
      </c>
      <c r="L285" s="114">
        <f>HYPERLINK(Table3054[[#This Row],[Column1]])</f>
        <v/>
      </c>
    </row>
    <row r="286" ht="17" customHeight="1" s="314">
      <c r="A286" s="35" t="inlineStr">
        <is>
          <t>for Cummins INLINE6 3165033 Data Link Adapter Insite 8.7 Heavy Duty Diagnostic Tool Scanner Interface CAN Flasher Remapper</t>
        </is>
      </c>
      <c r="B286" s="35" t="inlineStr">
        <is>
          <t>B0CJV71C7C</t>
        </is>
      </c>
      <c r="C286" s="35" t="inlineStr">
        <is>
          <t>VCI</t>
        </is>
      </c>
      <c r="D286" s="359" t="n">
        <v>188.83</v>
      </c>
      <c r="E286" s="66" t="n">
        <v>958.25</v>
      </c>
      <c r="F286" s="66" t="n">
        <v>188.83</v>
      </c>
      <c r="G286" s="68" t="n">
        <v>5</v>
      </c>
      <c r="H286" s="70" t="n">
        <v>1</v>
      </c>
      <c r="I286" s="68" t="n"/>
      <c r="J286" s="69" t="n"/>
      <c r="K286" s="69" t="inlineStr">
        <is>
          <t>https://amazon.com/dp/B0CJV71C7C</t>
        </is>
      </c>
      <c r="L286" s="114">
        <f>HYPERLINK(Table3054[[#This Row],[Column1]])</f>
        <v/>
      </c>
    </row>
    <row r="287" ht="30" customHeight="1" s="314">
      <c r="A287" s="35" t="inlineStr">
        <is>
          <t>Openport 2.0 ECU Flash OBD2 Scanner OPENPORT2.0 OBDII Protocols ECU Chip Tunning Tactrix Open Port 2(Normal Quality)</t>
        </is>
      </c>
      <c r="B287" s="35" t="inlineStr">
        <is>
          <t>B0DXBX7X9N</t>
        </is>
      </c>
      <c r="C287" s="35" t="inlineStr">
        <is>
          <t>Other</t>
        </is>
      </c>
      <c r="D287" s="359" t="n">
        <v>79.01000000000001</v>
      </c>
      <c r="E287" s="66" t="n">
        <v>756.7646153846156</v>
      </c>
      <c r="F287" s="66" t="n">
        <v>79.01000000000001</v>
      </c>
      <c r="G287" s="68" t="n">
        <v>7</v>
      </c>
      <c r="H287" s="70" t="n">
        <v>1</v>
      </c>
      <c r="I287" s="68" t="n">
        <v>1</v>
      </c>
      <c r="J287" s="69" t="n">
        <v>5</v>
      </c>
      <c r="K287" s="69" t="inlineStr">
        <is>
          <t>https://amazon.com/dp/B0DXBX7X9N</t>
        </is>
      </c>
      <c r="L287" s="114">
        <f>HYPERLINK(Table3054[[#This Row],[Column1]])</f>
        <v/>
      </c>
    </row>
    <row r="288" ht="30" customHeight="1" s="314">
      <c r="A288" s="35" t="inlineStr">
        <is>
          <t>Generic NEXIQ 9-Pin Deutsch Adapter - Locking - for USB-Link 2 and USB-Link 3</t>
        </is>
      </c>
      <c r="B288" s="35" t="inlineStr">
        <is>
          <t>B0CRVVLMJQ</t>
        </is>
      </c>
      <c r="C288" s="35" t="inlineStr">
        <is>
          <t>Cable/Adapter</t>
        </is>
      </c>
      <c r="D288" s="359" t="n">
        <v>187.94</v>
      </c>
      <c r="E288" s="66" t="n">
        <v>1294.463076923077</v>
      </c>
      <c r="F288" s="66" t="n">
        <v>187.94</v>
      </c>
      <c r="G288" s="68" t="n">
        <v>6</v>
      </c>
      <c r="H288" s="70" t="n">
        <v>1</v>
      </c>
      <c r="I288" s="68" t="n"/>
      <c r="J288" s="69" t="n"/>
      <c r="K288" s="69" t="inlineStr">
        <is>
          <t>https://amazon.com/dp/B0CRVVLMJQ</t>
        </is>
      </c>
      <c r="L288" s="114">
        <f>HYPERLINK(Table3054[[#This Row],[Column1]])</f>
        <v/>
      </c>
    </row>
    <row r="289" ht="45" customHeight="1" s="314">
      <c r="A289" s="35" t="inlineStr">
        <is>
          <t>New! Fits ICON T7 Professional Wired Diagnostics Tablet Scanner Mechanic's Choice OBD2 Scanner Gives Full Access to All Systems, Including Bidirectional Controls, Resets, Relearns &amp; Special Functions</t>
        </is>
      </c>
      <c r="B289" s="35" t="inlineStr">
        <is>
          <t>B0DGCDH3TY</t>
        </is>
      </c>
      <c r="C289" s="35" t="inlineStr">
        <is>
          <t>Tablet</t>
        </is>
      </c>
      <c r="D289" s="359" t="n">
        <v>733.25</v>
      </c>
      <c r="E289" s="66" t="n">
        <v>3896.95</v>
      </c>
      <c r="F289" s="66" t="n">
        <v>733.25</v>
      </c>
      <c r="G289" s="68" t="n">
        <v>5</v>
      </c>
      <c r="H289" s="70" t="n">
        <v>1</v>
      </c>
      <c r="I289" s="68" t="n">
        <v>1</v>
      </c>
      <c r="J289" s="69" t="n">
        <v>5</v>
      </c>
      <c r="K289" s="69" t="inlineStr">
        <is>
          <t>https://amazon.com/dp/B0DGCDH3TY</t>
        </is>
      </c>
      <c r="L289" s="114">
        <f>HYPERLINK(Table3054[[#This Row],[Column1]])</f>
        <v/>
      </c>
    </row>
    <row r="290" ht="45" customHeight="1" s="314">
      <c r="A290" s="35" t="inlineStr">
        <is>
          <t>88890300 Vocom I Engine Diagnostic Scanner Tool,for VOCOM Interface Excavators Or Heavy-Duty Truck Scanner (88890300 Tools)</t>
        </is>
      </c>
      <c r="B290" s="35" t="inlineStr">
        <is>
          <t>B0FJLDHFTJ</t>
        </is>
      </c>
      <c r="C290" s="35" t="inlineStr">
        <is>
          <t>VCI</t>
        </is>
      </c>
      <c r="D290" s="359" t="n">
        <v>570.49</v>
      </c>
      <c r="E290" s="66" t="n">
        <v>3203.520769230769</v>
      </c>
      <c r="F290" s="66" t="n">
        <v>570.49</v>
      </c>
      <c r="G290" s="68" t="n">
        <v>1</v>
      </c>
      <c r="H290" s="70" t="n">
        <v>1</v>
      </c>
      <c r="I290" s="68" t="n"/>
      <c r="J290" s="69" t="n"/>
      <c r="K290" s="69" t="inlineStr">
        <is>
          <t>https://amazon.com/dp/B0FJLDHFTJ</t>
        </is>
      </c>
      <c r="L290" s="114">
        <f>HYPERLINK(Table3054[[#This Row],[Column1]])</f>
        <v/>
      </c>
    </row>
    <row r="291" ht="45" customHeight="1" s="314">
      <c r="A291" s="35" t="inlineStr">
        <is>
          <t>Scanner Diagnostic Tool Service System IDSS Hardware and Software Solution for Truck Diagnosis and Repair for Isuzu G-IDSS Products are unive (G-IDSS Tool)</t>
        </is>
      </c>
      <c r="B291" s="35" t="inlineStr">
        <is>
          <t>B0CLGVMJ3M</t>
        </is>
      </c>
      <c r="C291" s="35" t="inlineStr">
        <is>
          <t>VCI</t>
        </is>
      </c>
      <c r="D291" s="359" t="n">
        <v>1209.28</v>
      </c>
      <c r="E291" s="66" t="n">
        <v>14237.41</v>
      </c>
      <c r="F291" s="66" t="n">
        <v>1209.28</v>
      </c>
      <c r="G291" s="68" t="n">
        <v>10</v>
      </c>
      <c r="H291" s="70" t="n">
        <v>1</v>
      </c>
      <c r="I291" s="68" t="n"/>
      <c r="J291" s="69" t="n"/>
      <c r="K291" s="69" t="inlineStr">
        <is>
          <t>https://amazon.com/dp/B0CLGVMJ3M</t>
        </is>
      </c>
      <c r="L291" s="114">
        <f>HYPERLINK(Table3054[[#This Row],[Column1]])</f>
        <v/>
      </c>
    </row>
    <row r="292" ht="30" customHeight="1" s="314">
      <c r="A292" s="35" t="inlineStr">
        <is>
          <t>FOXWELL i70 OE-Level All System Diagnostic Scanner - 24+ Service Reset and Clear - ABS Bleeding, EPB, SAS Calibration, Battery Replacement, TPMS, Oil Reset, Engine, Transmission, EPS and More</t>
        </is>
      </c>
      <c r="B292" s="35" t="inlineStr">
        <is>
          <t>B0C46S21YS</t>
        </is>
      </c>
      <c r="C292" s="35" t="inlineStr">
        <is>
          <t>Tablet</t>
        </is>
      </c>
      <c r="D292" s="359" t="n">
        <v>300.45</v>
      </c>
      <c r="E292" s="66" t="n">
        <v>1948.65</v>
      </c>
      <c r="F292" s="66" t="n">
        <v>300.45</v>
      </c>
      <c r="G292" s="68" t="n">
        <v>7</v>
      </c>
      <c r="H292" s="70" t="n">
        <v>1</v>
      </c>
      <c r="I292" s="68" t="n">
        <v>1</v>
      </c>
      <c r="J292" s="69" t="n">
        <v>2</v>
      </c>
      <c r="K292" s="69" t="inlineStr">
        <is>
          <t>https://amazon.com/dp/B0C46S21YS</t>
        </is>
      </c>
      <c r="L292" s="114">
        <f>HYPERLINK(Table3054[[#This Row],[Column1]])</f>
        <v/>
      </c>
    </row>
    <row r="293" ht="30" customHeight="1" s="314">
      <c r="A293" s="35" t="inlineStr">
        <is>
          <t>Generic for Mpps V22 OBD Read Writer ECU Data Tuning OBD Read and Write Data Power Upgrade, 6924023140328</t>
        </is>
      </c>
      <c r="B293" s="35" t="inlineStr">
        <is>
          <t>B0D24Y71J3</t>
        </is>
      </c>
      <c r="C293" s="35" t="inlineStr">
        <is>
          <t>VCI</t>
        </is>
      </c>
      <c r="D293" s="359" t="n">
        <v>132.03</v>
      </c>
      <c r="E293" s="66" t="n">
        <v>1594.516153846154</v>
      </c>
      <c r="F293" s="66" t="n">
        <v>132.03</v>
      </c>
      <c r="G293" s="68" t="n">
        <v>1</v>
      </c>
      <c r="H293" s="70" t="n">
        <v>1</v>
      </c>
      <c r="I293" s="68" t="n"/>
      <c r="J293" s="69" t="n"/>
      <c r="K293" s="69" t="inlineStr">
        <is>
          <t>https://amazon.com/dp/B0D24Y71J3</t>
        </is>
      </c>
      <c r="L293" s="114">
        <f>HYPERLINK(Table3054[[#This Row],[Column1]])</f>
        <v/>
      </c>
    </row>
    <row r="294" ht="45" customHeight="1" s="314">
      <c r="A294" s="35" t="inlineStr">
        <is>
          <t>for DOOSAN uVIM Diagnostic Scanner, Excavator Forklift Engine Fault Code Reader OBD Interface, SCR DPF G2 ECU DCU Diagnostic Tool 2025 Software (vcm3)</t>
        </is>
      </c>
      <c r="B294" s="35" t="inlineStr">
        <is>
          <t>B0FXWNCLGG</t>
        </is>
      </c>
      <c r="C294" s="35" t="inlineStr">
        <is>
          <t>VCI</t>
        </is>
      </c>
      <c r="D294" s="359" t="n">
        <v>829.98</v>
      </c>
      <c r="E294" s="66" t="n">
        <v>10023.60461538462</v>
      </c>
      <c r="F294" s="66" t="n">
        <v>829.98</v>
      </c>
      <c r="G294" s="68" t="n">
        <v>1</v>
      </c>
      <c r="H294" s="70" t="n">
        <v>1</v>
      </c>
      <c r="I294" s="68" t="n"/>
      <c r="J294" s="69" t="n"/>
      <c r="K294" s="69" t="inlineStr">
        <is>
          <t>https://amazon.com/dp/B0FXWNCLGG</t>
        </is>
      </c>
      <c r="L294" s="114">
        <f>HYPERLINK(Table3054[[#This Row],[Column1]])</f>
        <v/>
      </c>
    </row>
    <row r="295" ht="45" customHeight="1" s="314">
      <c r="A295" s="35" t="inlineStr">
        <is>
          <t>MUT-Ⅲ Scanner Tool for Mitsubishi obd2 Excavators Heavy Machinery Diagnostic Tool (Only Tool no Software)</t>
        </is>
      </c>
      <c r="B295" s="35" t="inlineStr">
        <is>
          <t>B0CLLNLZR5</t>
        </is>
      </c>
      <c r="C295" s="35" t="inlineStr">
        <is>
          <t>VCI</t>
        </is>
      </c>
      <c r="D295" s="359" t="n">
        <v>412.47</v>
      </c>
      <c r="E295" s="66" t="n">
        <v>2223.88</v>
      </c>
      <c r="F295" s="66" t="n">
        <v>412.47</v>
      </c>
      <c r="G295" s="68" t="n">
        <v>4</v>
      </c>
      <c r="H295" s="70" t="n">
        <v>1</v>
      </c>
      <c r="I295" s="68" t="n"/>
      <c r="J295" s="69" t="n"/>
      <c r="K295" s="69" t="inlineStr">
        <is>
          <t>https://amazon.com/dp/B0CLLNLZR5</t>
        </is>
      </c>
      <c r="L295" s="114">
        <f>HYPERLINK(Table3054[[#This Row],[Column1]])</f>
        <v/>
      </c>
    </row>
    <row r="296" ht="30" customHeight="1" s="314">
      <c r="A296" s="35" t="inlineStr">
        <is>
          <t>MUT-Ⅲ Scanner Tool for Mitsubishi obd2 Excavators Heavy Machinery Diagnostic Tool (with Engine Scope Software)</t>
        </is>
      </c>
      <c r="B296" s="35" t="inlineStr">
        <is>
          <t>B0CLLQGS3Y</t>
        </is>
      </c>
      <c r="C296" s="35" t="inlineStr">
        <is>
          <t>VCI</t>
        </is>
      </c>
      <c r="D296" s="359" t="n">
        <v>424.6</v>
      </c>
      <c r="E296" s="66" t="n">
        <v>1714.02</v>
      </c>
      <c r="F296" s="66" t="n">
        <v>424.6</v>
      </c>
      <c r="G296" s="68" t="n">
        <v>3</v>
      </c>
      <c r="H296" s="70" t="n">
        <v>1</v>
      </c>
      <c r="I296" s="68" t="n"/>
      <c r="J296" s="69" t="n"/>
      <c r="K296" s="69" t="inlineStr">
        <is>
          <t>https://amazon.com/dp/B0CLLQGS3Y</t>
        </is>
      </c>
      <c r="L296" s="114">
        <f>HYPERLINK(Table3054[[#This Row],[Column1]])</f>
        <v/>
      </c>
    </row>
    <row r="297" ht="45" customHeight="1" s="314">
      <c r="A297" s="35" t="inlineStr">
        <is>
          <t>ET3 317-7485 Communication Adapter Diagnostic Tool is Suitable for CAT Trucks, excavators and Engines, Equipped with 2023A, 2021B, 2019C Type 6+9+14 pin Cables (ET3 with Software)</t>
        </is>
      </c>
      <c r="B297" s="35" t="inlineStr">
        <is>
          <t>B0FH9J4N6W</t>
        </is>
      </c>
      <c r="C297" s="35" t="inlineStr">
        <is>
          <t>VCI</t>
        </is>
      </c>
      <c r="D297" s="359" t="n">
        <v>214.19</v>
      </c>
      <c r="E297" s="66" t="n">
        <v>1617.459230769231</v>
      </c>
      <c r="F297" s="66" t="n">
        <v>214.19</v>
      </c>
      <c r="G297" s="68" t="n">
        <v>3</v>
      </c>
      <c r="H297" s="70" t="n">
        <v>1</v>
      </c>
      <c r="I297" s="68" t="n"/>
      <c r="J297" s="69" t="n"/>
      <c r="K297" s="69" t="inlineStr">
        <is>
          <t>https://amazon.com/dp/B0FH9J4N6W</t>
        </is>
      </c>
      <c r="L297" s="114">
        <f>HYPERLINK(Table3054[[#This Row],[Column1]])</f>
        <v/>
      </c>
    </row>
    <row r="298" ht="30" customHeight="1" s="314">
      <c r="A298" s="35" t="inlineStr">
        <is>
          <t>ET3 317-7485 for Caterpillar Communication Adapter Diagnostic Tool Truck Excavator Engine with 2019C 6+9+14pin Cable (with Tablet)</t>
        </is>
      </c>
      <c r="B298" s="35" t="inlineStr">
        <is>
          <t>B0CJ6HY3BX</t>
        </is>
      </c>
      <c r="C298" s="35" t="inlineStr">
        <is>
          <t>VCI</t>
        </is>
      </c>
      <c r="D298" s="359" t="n">
        <v>730.26</v>
      </c>
      <c r="E298" s="66" t="n">
        <v>6569.129999999999</v>
      </c>
      <c r="F298" s="66" t="n">
        <v>730.26</v>
      </c>
      <c r="G298" s="68" t="n">
        <v>10</v>
      </c>
      <c r="H298" s="70" t="n">
        <v>1</v>
      </c>
      <c r="I298" s="68" t="n">
        <v>3</v>
      </c>
      <c r="J298" s="69" t="n">
        <v>3.7</v>
      </c>
      <c r="K298" s="69" t="inlineStr">
        <is>
          <t>https://amazon.com/dp/B0CJ6HY3BX</t>
        </is>
      </c>
      <c r="L298" s="114">
        <f>HYPERLINK(Table3054[[#This Row],[Column1]])</f>
        <v/>
      </c>
    </row>
    <row r="299" ht="30" customHeight="1" s="314">
      <c r="A299" s="35" t="inlineStr">
        <is>
          <t>for 1PC Carprog V13.77 10.93/8.21 Auto Key Programmer No Keygen Car Prog V13.77</t>
        </is>
      </c>
      <c r="B299" s="35" t="inlineStr">
        <is>
          <t>B0F9Y691QZ</t>
        </is>
      </c>
      <c r="C299" s="35" t="inlineStr">
        <is>
          <t>Key</t>
        </is>
      </c>
      <c r="D299" s="359" t="n">
        <v>111.75</v>
      </c>
      <c r="E299" s="66" t="n">
        <v>1513.616923076923</v>
      </c>
      <c r="F299" s="66" t="n">
        <v>111.75</v>
      </c>
      <c r="G299" s="68" t="n">
        <v>7</v>
      </c>
      <c r="H299" s="70" t="n">
        <v>1</v>
      </c>
      <c r="I299" s="68" t="n"/>
      <c r="J299" s="69" t="n"/>
      <c r="K299" s="69" t="inlineStr">
        <is>
          <t>https://amazon.com/dp/B0F9Y691QZ</t>
        </is>
      </c>
      <c r="L299" s="114">
        <f>HYPERLINK(Table3054[[#This Row],[Column1]])</f>
        <v/>
      </c>
    </row>
    <row r="300" ht="45" customHeight="1" s="314">
      <c r="A300" s="35" t="inlineStr">
        <is>
          <t>OBD2 Scanner Car Diagnostic Tool with 2.8" Color Display, Read &amp; Clear Check Engine Codes, Live Data, I/M Readiness, O2 Sensor Test, Battery Voltage Check for Most 12V OBDII Vehicles</t>
        </is>
      </c>
      <c r="B300" s="35" t="inlineStr">
        <is>
          <t>B0GCS6NMKW</t>
        </is>
      </c>
      <c r="C300" s="35" t="inlineStr">
        <is>
          <t>Handheld</t>
        </is>
      </c>
      <c r="D300" s="359" t="n">
        <v>29.93</v>
      </c>
      <c r="E300" s="66" t="n">
        <v>1043.734615384615</v>
      </c>
      <c r="F300" s="66" t="n">
        <v>29.93</v>
      </c>
      <c r="G300" s="68" t="n">
        <v>19</v>
      </c>
      <c r="H300" s="70" t="n">
        <v>1</v>
      </c>
      <c r="I300" s="68" t="n"/>
      <c r="J300" s="69" t="n"/>
      <c r="K300" s="69" t="inlineStr">
        <is>
          <t>https://amazon.com/dp/B0GCS6NMKW</t>
        </is>
      </c>
      <c r="L300" s="114">
        <f>HYPERLINK(Table3054[[#This Row],[Column1]])</f>
        <v/>
      </c>
    </row>
    <row r="301" ht="60" customHeight="1" s="314">
      <c r="A301" s="35" t="inlineStr">
        <is>
          <t>478-0235 538-5051 317-7485 ET4 Communication Adapter 3 2019C 2023A for Caterpillar cat Adapter 3 Heavy Duty Truck Diagnostic Tool (with Laptop)</t>
        </is>
      </c>
      <c r="B301" s="35" t="inlineStr">
        <is>
          <t>B0CJTX3M2Q</t>
        </is>
      </c>
      <c r="C301" s="35" t="inlineStr">
        <is>
          <t>VCI</t>
        </is>
      </c>
      <c r="D301" s="359" t="n">
        <v>415.63</v>
      </c>
      <c r="E301" s="66" t="n">
        <v>4500.22</v>
      </c>
      <c r="F301" s="66" t="n">
        <v>415.63</v>
      </c>
      <c r="G301" s="68" t="n">
        <v>7</v>
      </c>
      <c r="H301" s="70" t="n">
        <v>1</v>
      </c>
      <c r="I301" s="68" t="n"/>
      <c r="J301" s="69" t="n"/>
      <c r="K301" s="69" t="inlineStr">
        <is>
          <t>https://amazon.com/dp/B0CJTX3M2Q</t>
        </is>
      </c>
      <c r="L301" s="114">
        <f>HYPERLINK(Table3054[[#This Row],[Column1]])</f>
        <v/>
      </c>
    </row>
    <row r="302" ht="30" customHeight="1" s="314">
      <c r="A302" s="35" t="inlineStr">
        <is>
          <t>OBD Advanced OBD2 Bluetooth Scanner, Car Diagnostic Tool with Real-time Data, Engine Fault Code Reader for Android iOS Windows, Vehicle Battery Powered, Pack of 1</t>
        </is>
      </c>
      <c r="B302" s="35" t="inlineStr">
        <is>
          <t>B0GNJ7R1D9</t>
        </is>
      </c>
      <c r="C302" s="35" t="inlineStr">
        <is>
          <t>Handheld</t>
        </is>
      </c>
      <c r="D302" s="359" t="n">
        <v>27.23</v>
      </c>
      <c r="E302" s="66" t="n">
        <v>568.8592307692309</v>
      </c>
      <c r="F302" s="66" t="n">
        <v>27.23</v>
      </c>
      <c r="G302" s="68" t="n">
        <v>15</v>
      </c>
      <c r="H302" s="70" t="n">
        <v>1</v>
      </c>
      <c r="I302" s="68" t="n">
        <v>1</v>
      </c>
      <c r="J302" s="69" t="n">
        <v>5</v>
      </c>
      <c r="K302" s="69" t="inlineStr">
        <is>
          <t>https://amazon.com/dp/B0GNJ7R1D9</t>
        </is>
      </c>
      <c r="L302" s="114">
        <f>HYPERLINK(Table3054[[#This Row],[Column1]])</f>
        <v/>
      </c>
    </row>
    <row r="303" ht="30" customHeight="1" s="314">
      <c r="A303" s="35" t="inlineStr">
        <is>
          <t>478-0235 538-5051 317-7485 ET4 Communication Adapter 3 2019C 2023A for Caterpillar cat Adapter 3 Heavy Duty Truck Diagnostic Tool (with Tablet)</t>
        </is>
      </c>
      <c r="B303" s="35" t="inlineStr">
        <is>
          <t>B0CJTXZL59</t>
        </is>
      </c>
      <c r="C303" s="35" t="inlineStr">
        <is>
          <t>VCI</t>
        </is>
      </c>
      <c r="D303" s="359" t="n">
        <v>850.2</v>
      </c>
      <c r="E303" s="66" t="n">
        <v>9921.41</v>
      </c>
      <c r="F303" s="66" t="n">
        <v>850.2</v>
      </c>
      <c r="G303" s="68" t="n">
        <v>13</v>
      </c>
      <c r="H303" s="70" t="n">
        <v>1</v>
      </c>
      <c r="I303" s="68" t="n"/>
      <c r="J303" s="69" t="n"/>
      <c r="K303" s="69" t="inlineStr">
        <is>
          <t>https://amazon.com/dp/B0CJTXZL59</t>
        </is>
      </c>
      <c r="L303" s="114">
        <f>HYPERLINK(Table3054[[#This Row],[Column1]])</f>
        <v/>
      </c>
    </row>
    <row r="304" ht="30" customHeight="1" s="314">
      <c r="A304" s="35" t="inlineStr">
        <is>
          <t>Generic 9-Pin Deutsch Caterpillar T Adapter for NEXIQ USB Link 2 &amp; 3</t>
        </is>
      </c>
      <c r="B304" s="35" t="inlineStr">
        <is>
          <t>B0CRVY7YMP</t>
        </is>
      </c>
      <c r="C304" s="35" t="inlineStr">
        <is>
          <t>Cable/Adapter</t>
        </is>
      </c>
      <c r="D304" s="359" t="n">
        <v>234.14</v>
      </c>
      <c r="E304" s="66" t="n">
        <v>2809.809999999999</v>
      </c>
      <c r="F304" s="66" t="n">
        <v>234.14</v>
      </c>
      <c r="G304" s="68" t="n">
        <v>14</v>
      </c>
      <c r="H304" s="70" t="n">
        <v>1</v>
      </c>
      <c r="I304" s="68" t="n"/>
      <c r="J304" s="69" t="n"/>
      <c r="K304" s="69" t="inlineStr">
        <is>
          <t>https://amazon.com/dp/B0CRVY7YMP</t>
        </is>
      </c>
      <c r="L304" s="114">
        <f>HYPERLINK(Table3054[[#This Row],[Column1]])</f>
        <v/>
      </c>
    </row>
    <row r="305" ht="30" customHeight="1" s="314">
      <c r="A305" s="35" t="inlineStr">
        <is>
          <t>FOXWELL NT530 for Honda - All Systems, All Maintenance Service - Bidirectional Diagnostic Scan Tool OBD2 Scanner Automotive Code Reader ABS Bleed SRS Airbag SAS TPMS TPS EPB Oil Reset CKP</t>
        </is>
      </c>
      <c r="B305" s="35" t="inlineStr">
        <is>
          <t>B0BYT6PBLB</t>
        </is>
      </c>
      <c r="C305" s="35" t="inlineStr">
        <is>
          <t>Handheld</t>
        </is>
      </c>
      <c r="D305" s="359" t="n">
        <v>173.43</v>
      </c>
      <c r="E305" s="66" t="n">
        <v>173.43</v>
      </c>
      <c r="F305" s="66" t="n">
        <v>173.43</v>
      </c>
      <c r="G305" s="68" t="n">
        <v>1</v>
      </c>
      <c r="H305" s="70" t="n">
        <v>1</v>
      </c>
      <c r="I305" s="68" t="n">
        <v>1</v>
      </c>
      <c r="J305" s="69" t="n">
        <v>2</v>
      </c>
      <c r="K305" s="69" t="inlineStr">
        <is>
          <t>https://amazon.com/dp/B0BYT6PBLB</t>
        </is>
      </c>
      <c r="L305" s="114">
        <f>HYPERLINK(Table3054[[#This Row],[Column1]])</f>
        <v/>
      </c>
    </row>
    <row r="306" ht="45" customHeight="1" s="314">
      <c r="A306" s="35" t="inlineStr">
        <is>
          <t>OBD2 Breakout Box with 59 inch Extension Cable, OBDII Protocol Detector for Automotive Diagnostic Tool,Digital Voltage for DLC 16 Pin, CAN Tester Box for Car CAN Bus Module Testing on Bench</t>
        </is>
      </c>
      <c r="B306" s="35" t="inlineStr">
        <is>
          <t>B0CPLRQ4VP</t>
        </is>
      </c>
      <c r="C306" s="35" t="inlineStr">
        <is>
          <t>Handheld</t>
        </is>
      </c>
      <c r="D306" s="359" t="n">
        <v>64.97</v>
      </c>
      <c r="E306" s="66" t="n">
        <v>2938.86</v>
      </c>
      <c r="F306" s="66" t="n">
        <v>64.97</v>
      </c>
      <c r="G306" s="68" t="n">
        <v>45</v>
      </c>
      <c r="H306" s="70" t="n">
        <v>1</v>
      </c>
      <c r="I306" s="68" t="n">
        <v>6</v>
      </c>
      <c r="J306" s="69" t="n">
        <v>4.2</v>
      </c>
      <c r="K306" s="69" t="inlineStr">
        <is>
          <t>https://amazon.com/dp/B0CPLRQ4VP</t>
        </is>
      </c>
      <c r="L306" s="114">
        <f>HYPERLINK(Table3054[[#This Row],[Column1]])</f>
        <v/>
      </c>
    </row>
    <row r="307" ht="45" customHeight="1" s="314">
      <c r="A307" s="35" t="inlineStr">
        <is>
          <t>OBD2 Scanner Code Reader – Diagnostic Tool for Cars and Trucks, Engine Code Reader &amp; Check Engine Light Scanner, Real-Time Data Display, Plug-and-Play OBDII Code Reader</t>
        </is>
      </c>
      <c r="B307" s="35" t="inlineStr">
        <is>
          <t>B0FZKLFBLK</t>
        </is>
      </c>
      <c r="C307" s="35" t="inlineStr">
        <is>
          <t>Handheld</t>
        </is>
      </c>
      <c r="D307" s="359" t="n">
        <v>72.22</v>
      </c>
      <c r="E307" s="66" t="n">
        <v>830.1169230769233</v>
      </c>
      <c r="F307" s="66" t="n">
        <v>72.22</v>
      </c>
      <c r="G307" s="68" t="n">
        <v>4</v>
      </c>
      <c r="H307" s="70" t="n">
        <v>1</v>
      </c>
      <c r="I307" s="68" t="n">
        <v>1</v>
      </c>
      <c r="J307" s="69" t="n">
        <v>5</v>
      </c>
      <c r="K307" s="69" t="inlineStr">
        <is>
          <t>https://amazon.com/dp/B0FZKLFBLK</t>
        </is>
      </c>
      <c r="L307" s="114">
        <f>HYPERLINK(Table3054[[#This Row],[Column1]])</f>
        <v/>
      </c>
    </row>
    <row r="308" ht="45" customHeight="1" s="314">
      <c r="A308" s="35" t="inlineStr">
        <is>
          <t>WiFi/BT Elm327 Code Reader Support OBDII Protocol Vehicle iCar 3 Scan for Android/PC(icar3 WiFi red)</t>
        </is>
      </c>
      <c r="B308" s="35" t="inlineStr">
        <is>
          <t>B0DXBZ8335</t>
        </is>
      </c>
      <c r="C308" s="35" t="inlineStr">
        <is>
          <t>Dongle</t>
        </is>
      </c>
      <c r="D308" s="359" t="n">
        <v>49.85</v>
      </c>
      <c r="E308" s="66" t="n">
        <v>0</v>
      </c>
      <c r="F308" s="66" t="n">
        <v>0</v>
      </c>
      <c r="G308" s="68" t="n">
        <v>0</v>
      </c>
      <c r="H308" s="70" t="n">
        <v>0</v>
      </c>
      <c r="I308" s="68" t="n"/>
      <c r="J308" s="69" t="n"/>
      <c r="K308" s="69" t="inlineStr">
        <is>
          <t>https://amazon.com/dp/B0DXBZ8335</t>
        </is>
      </c>
      <c r="L308" s="114">
        <f>HYPERLINK(Table3054[[#This Row],[Column1]])</f>
        <v/>
      </c>
    </row>
    <row r="309" ht="30" customHeight="1" s="314">
      <c r="A309" s="35" t="inlineStr">
        <is>
          <t>Diagnostic Tool uVIM Excavator Forklift Engine Fault Detection OBD Interface DDT CARNICS SCR+DPF+G2 DCU+G2 ECU+G2 Scanner with 2016 Software</t>
        </is>
      </c>
      <c r="B309" s="35" t="inlineStr">
        <is>
          <t>B0CJ6KDC97</t>
        </is>
      </c>
      <c r="C309" s="35" t="inlineStr">
        <is>
          <t>VCI</t>
        </is>
      </c>
      <c r="D309" s="359" t="n">
        <v>340</v>
      </c>
      <c r="E309" s="66" t="n">
        <v>0</v>
      </c>
      <c r="F309" s="66" t="n">
        <v>0</v>
      </c>
      <c r="G309" s="68" t="n">
        <v>0</v>
      </c>
      <c r="H309" s="70" t="n">
        <v>0</v>
      </c>
      <c r="I309" s="68" t="n"/>
      <c r="J309" s="69" t="n"/>
      <c r="K309" s="69" t="inlineStr">
        <is>
          <t>https://amazon.com/dp/B0CJ6KDC97</t>
        </is>
      </c>
      <c r="L309" s="114">
        <f>HYPERLINK(Table3054[[#This Row],[Column1]])</f>
        <v/>
      </c>
    </row>
    <row r="310" ht="45" customHeight="1" s="314">
      <c r="A310" s="35" t="inlineStr">
        <is>
          <t>Dual Female Y Splitter Elbow 16Pin OBD 2 Extender ODB OBD2 Cable 16 Pin Male to Female Flat Noodle OBD2 Extension Cable(60CM Cable)</t>
        </is>
      </c>
      <c r="B310" s="35" t="inlineStr">
        <is>
          <t>B0DZ2MWL2Y</t>
        </is>
      </c>
      <c r="C310" s="35" t="inlineStr">
        <is>
          <t>Cable/Adapter</t>
        </is>
      </c>
      <c r="D310" s="359" t="n">
        <v>16.99</v>
      </c>
      <c r="E310" s="66" t="n">
        <v>0</v>
      </c>
      <c r="F310" s="66" t="n">
        <v>0</v>
      </c>
      <c r="G310" s="68" t="n">
        <v>0</v>
      </c>
      <c r="H310" s="70" t="n">
        <v>0</v>
      </c>
      <c r="I310" s="68" t="n"/>
      <c r="J310" s="69" t="n"/>
      <c r="K310" s="69" t="inlineStr">
        <is>
          <t>https://amazon.com/dp/B0DZ2MWL2Y</t>
        </is>
      </c>
      <c r="L310" s="114">
        <f>HYPERLINK(Table3054[[#This Row],[Column1]])</f>
        <v/>
      </c>
    </row>
    <row r="311" ht="30" customHeight="1" s="314">
      <c r="A311" s="35" t="inlineStr">
        <is>
          <t>ET4 478-0235 for CAT 2025 ET Software and SIS Communication Adapter Diagnostic Tool (ET4 with 2025ET SIS Laptop (CF53))</t>
        </is>
      </c>
      <c r="B311" s="35" t="inlineStr">
        <is>
          <t>B0FWR1T8H4</t>
        </is>
      </c>
      <c r="C311" s="35" t="inlineStr">
        <is>
          <t>VCI</t>
        </is>
      </c>
      <c r="D311" s="359" t="n">
        <v>909</v>
      </c>
      <c r="E311" s="66" t="n">
        <v>1770.03</v>
      </c>
      <c r="F311" s="66" t="n">
        <v>0</v>
      </c>
      <c r="G311" s="68" t="n">
        <v>2</v>
      </c>
      <c r="H311" s="70" t="n">
        <v>0</v>
      </c>
      <c r="I311" s="68" t="n"/>
      <c r="J311" s="69" t="n"/>
      <c r="K311" s="69" t="inlineStr">
        <is>
          <t>https://amazon.com/dp/B0FWR1T8H4</t>
        </is>
      </c>
      <c r="L311" s="114">
        <f>HYPERLINK(Table3054[[#This Row],[Column1]])</f>
        <v/>
      </c>
    </row>
    <row r="312" ht="45" customHeight="1" s="314">
      <c r="A312" s="35" t="inlineStr">
        <is>
          <t>AFM Disabler for GM Vehicles, OBD2 Active Fuel Management Delete Device for V6 V8 Engines, Compatible with Chevy Silverado Tahoe GMC Sierra Yukon Cadillac Escalade 4.3L 5.3L 6.0L 6.2L</t>
        </is>
      </c>
      <c r="B312" s="35" t="inlineStr">
        <is>
          <t>B0GM6LMXQ4</t>
        </is>
      </c>
      <c r="C312" s="35" t="n"/>
      <c r="D312" s="359" t="n">
        <v>68.98999999999999</v>
      </c>
      <c r="E312" s="66" t="n">
        <v>0</v>
      </c>
      <c r="F312" s="66" t="n">
        <v>0</v>
      </c>
      <c r="G312" s="68" t="n">
        <v>0</v>
      </c>
      <c r="H312" s="70" t="n">
        <v>0</v>
      </c>
      <c r="I312" s="68" t="n"/>
      <c r="J312" s="69" t="n"/>
      <c r="K312" s="69" t="inlineStr">
        <is>
          <t>https://amazon.com/dp/B0GM6LMXQ4</t>
        </is>
      </c>
      <c r="L312" s="114">
        <f>HYPERLINK(Table3054[[#This Row],[Column1]])</f>
        <v/>
      </c>
    </row>
    <row r="313" ht="30" customHeight="1" s="314">
      <c r="A313" s="35" t="inlineStr">
        <is>
          <t>26pin to 16pin OBD2 Car Diagnostic Harness Electronic Cable Connector for Tesla Model 3 Model Y After Jan 2019</t>
        </is>
      </c>
      <c r="B313" s="35" t="inlineStr">
        <is>
          <t>B0FMYW834Q</t>
        </is>
      </c>
      <c r="C313" s="35" t="inlineStr">
        <is>
          <t>Cable/Adapter</t>
        </is>
      </c>
      <c r="D313" s="359" t="n">
        <v>15.88</v>
      </c>
      <c r="E313" s="66" t="n">
        <v>0</v>
      </c>
      <c r="F313" s="66" t="n">
        <v>0</v>
      </c>
      <c r="G313" s="68" t="n">
        <v>0</v>
      </c>
      <c r="H313" s="70" t="n">
        <v>0</v>
      </c>
      <c r="I313" s="68" t="n"/>
      <c r="J313" s="69" t="n"/>
      <c r="K313" s="69" t="inlineStr">
        <is>
          <t>https://amazon.com/dp/B0FMYW834Q</t>
        </is>
      </c>
      <c r="L313" s="114">
        <f>HYPERLINK(Table3054[[#This Row],[Column1]])</f>
        <v/>
      </c>
    </row>
    <row r="314" ht="30" customHeight="1" s="314">
      <c r="A314" s="35" t="inlineStr">
        <is>
          <t>DLA+ 2.0 Adapter Kit with New 2025 V3 Software,Diagnostic Tool Scanner for J P- R 0 Diesel Heavy Duty Trucks Fleet Maintenance Tool (DLA 2.0 Tool with Software)</t>
        </is>
      </c>
      <c r="B314" s="35" t="inlineStr">
        <is>
          <t>B0FQCBZC6G</t>
        </is>
      </c>
      <c r="C314" s="35" t="inlineStr">
        <is>
          <t>VCI</t>
        </is>
      </c>
      <c r="D314" s="359" t="n">
        <v>365</v>
      </c>
      <c r="E314" s="66" t="n">
        <v>0</v>
      </c>
      <c r="F314" s="66" t="n">
        <v>0</v>
      </c>
      <c r="G314" s="68" t="n">
        <v>0</v>
      </c>
      <c r="H314" s="70" t="n">
        <v>0</v>
      </c>
      <c r="I314" s="68" t="n"/>
      <c r="J314" s="69" t="n"/>
      <c r="K314" s="69" t="inlineStr">
        <is>
          <t>https://amazon.com/dp/B0FQCBZC6G</t>
        </is>
      </c>
      <c r="L314" s="114">
        <f>HYPERLINK(Table3054[[#This Row],[Column1]])</f>
        <v/>
      </c>
    </row>
    <row r="315" ht="30" customHeight="1" s="314">
      <c r="A315" s="35" t="inlineStr">
        <is>
          <t>Excavator Scanner Diagnostic Service System IDSS Hardware and Software Solution for Diagnosis and Repair for Isuzu E-IDSS Products are unive (E-IDSS with Laptop)</t>
        </is>
      </c>
      <c r="B315" s="35" t="inlineStr">
        <is>
          <t>B0CJC3419Q</t>
        </is>
      </c>
      <c r="C315" s="35" t="inlineStr">
        <is>
          <t>VCI</t>
        </is>
      </c>
      <c r="D315" s="359" t="n">
        <v>1703</v>
      </c>
      <c r="E315" s="66" t="n">
        <v>0</v>
      </c>
      <c r="F315" s="66" t="n">
        <v>0</v>
      </c>
      <c r="G315" s="68" t="n">
        <v>0</v>
      </c>
      <c r="H315" s="70" t="n">
        <v>0</v>
      </c>
      <c r="I315" s="68" t="n"/>
      <c r="J315" s="69" t="n"/>
      <c r="K315" s="69" t="inlineStr">
        <is>
          <t>https://amazon.com/dp/B0CJC3419Q</t>
        </is>
      </c>
      <c r="L315" s="114">
        <f>HYPERLINK(Table3054[[#This Row],[Column1]])</f>
        <v/>
      </c>
    </row>
    <row r="316" ht="45" customHeight="1" s="314">
      <c r="A316" s="35" t="inlineStr">
        <is>
          <t>for Kawasaki Motorcycle OBD2 Adapter, 6 Pin to 16 Pin Diagnostic Cable Fit for Z900/Z1000/ZX10R/ZX14R/H2, Works with OBDII Code Readers</t>
        </is>
      </c>
      <c r="B316" s="35" t="inlineStr">
        <is>
          <t>B0FR4H4YXQ</t>
        </is>
      </c>
      <c r="C316" s="35" t="inlineStr">
        <is>
          <t>Cable/Adapter</t>
        </is>
      </c>
      <c r="D316" s="359" t="n">
        <v>14.99</v>
      </c>
      <c r="E316" s="66" t="n">
        <v>0</v>
      </c>
      <c r="F316" s="66" t="n">
        <v>0</v>
      </c>
      <c r="G316" s="68" t="n">
        <v>0</v>
      </c>
      <c r="H316" s="70" t="n">
        <v>0</v>
      </c>
      <c r="I316" s="68" t="n"/>
      <c r="J316" s="69" t="n"/>
      <c r="K316" s="69" t="inlineStr">
        <is>
          <t>https://amazon.com/dp/B0FR4H4YXQ</t>
        </is>
      </c>
      <c r="L316" s="114">
        <f>HYPERLINK(Table3054[[#This Row],[Column1]])</f>
        <v/>
      </c>
    </row>
    <row r="317" ht="30" customHeight="1" s="314">
      <c r="A317" s="35" t="inlineStr">
        <is>
          <t>OBD2 Scanner MS309 Automotive Check Engine Code Reader, Check Emission Monitor Status, CAN Diagnostic Scan Tool for All OBDII Protocol Vehicles After 1996…</t>
        </is>
      </c>
      <c r="B317" s="35" t="inlineStr">
        <is>
          <t>B0CPLXCR35</t>
        </is>
      </c>
      <c r="C317" s="35" t="inlineStr">
        <is>
          <t>Handheld</t>
        </is>
      </c>
      <c r="D317" s="359" t="n">
        <v>14.99</v>
      </c>
      <c r="E317" s="66" t="n">
        <v>11.96</v>
      </c>
      <c r="F317" s="66" t="n">
        <v>0</v>
      </c>
      <c r="G317" s="68" t="n">
        <v>1</v>
      </c>
      <c r="H317" s="70" t="n">
        <v>0</v>
      </c>
      <c r="I317" s="68" t="n"/>
      <c r="J317" s="69" t="n"/>
      <c r="K317" s="69" t="inlineStr">
        <is>
          <t>https://amazon.com/dp/B0CPLXCR35</t>
        </is>
      </c>
      <c r="L317" s="114">
        <f>HYPERLINK(Table3054[[#This Row],[Column1]])</f>
        <v/>
      </c>
    </row>
    <row r="318" ht="30" customHeight="1" s="314">
      <c r="A318" s="35" t="inlineStr">
        <is>
          <t>ET3 317-7485 Communication Adapter Diagnostic Tool is Suitable for CAT Trucks, excavators and Engines, Equipped with 2023A, 2021B, 2019C Type 6+9+14 pin Cables (ET3 with Laptop)</t>
        </is>
      </c>
      <c r="B318" s="35" t="inlineStr">
        <is>
          <t>B0FH9LWV7R</t>
        </is>
      </c>
      <c r="C318" s="35" t="inlineStr">
        <is>
          <t>VCI</t>
        </is>
      </c>
      <c r="D318" s="359" t="n">
        <v>797</v>
      </c>
      <c r="E318" s="66" t="n">
        <v>0</v>
      </c>
      <c r="F318" s="66" t="n">
        <v>0</v>
      </c>
      <c r="G318" s="68" t="n">
        <v>0</v>
      </c>
      <c r="H318" s="70" t="n">
        <v>0</v>
      </c>
      <c r="I318" s="68" t="n"/>
      <c r="J318" s="69" t="n"/>
      <c r="K318" s="69" t="inlineStr">
        <is>
          <t>https://amazon.com/dp/B0FH9LWV7R</t>
        </is>
      </c>
      <c r="L318" s="114">
        <f>HYPERLINK(Table3054[[#This Row],[Column1]])</f>
        <v/>
      </c>
    </row>
    <row r="319" ht="45" customHeight="1" s="314">
      <c r="A319" s="35" t="inlineStr">
        <is>
          <t>Diagnostic uvim Scanner kit Heavy Duty Communication Interface Forklift Excavator Loader 2023 Software Diagnostic Tool with Laptop</t>
        </is>
      </c>
      <c r="B319" s="35" t="inlineStr">
        <is>
          <t>B0CLCL7JJV</t>
        </is>
      </c>
      <c r="C319" s="35" t="inlineStr">
        <is>
          <t>Tablet</t>
        </is>
      </c>
      <c r="D319" s="359" t="n">
        <v>1410</v>
      </c>
      <c r="E319" s="66" t="n">
        <v>0</v>
      </c>
      <c r="F319" s="66" t="n">
        <v>0</v>
      </c>
      <c r="G319" s="68" t="n">
        <v>0</v>
      </c>
      <c r="H319" s="70" t="n">
        <v>0</v>
      </c>
      <c r="I319" s="68" t="n"/>
      <c r="J319" s="69" t="n"/>
      <c r="K319" s="69" t="inlineStr">
        <is>
          <t>https://amazon.com/dp/B0CLCL7JJV</t>
        </is>
      </c>
      <c r="L319" s="114">
        <f>HYPERLINK(Table3054[[#This Row],[Column1]])</f>
        <v/>
      </c>
    </row>
    <row r="320" ht="17" customHeight="1" s="314">
      <c r="A320" s="35" t="inlineStr">
        <is>
          <t>for Cummins Inline 7 Data Link Adapter Diesel Truck Diagnostic Tool with Insite Software (Inline 7 with Laptop(9.0 Software))</t>
        </is>
      </c>
      <c r="B320" s="35" t="inlineStr">
        <is>
          <t>B0FMNBZ7KF</t>
        </is>
      </c>
      <c r="C320" s="35" t="inlineStr">
        <is>
          <t>VCI</t>
        </is>
      </c>
      <c r="D320" s="359" t="n">
        <v>699</v>
      </c>
      <c r="E320" s="66" t="n">
        <v>0</v>
      </c>
      <c r="F320" s="66" t="n">
        <v>0</v>
      </c>
      <c r="G320" s="68" t="n">
        <v>0</v>
      </c>
      <c r="H320" s="70" t="n">
        <v>0</v>
      </c>
      <c r="I320" s="68" t="n"/>
      <c r="J320" s="69" t="n"/>
      <c r="K320" s="69" t="inlineStr">
        <is>
          <t>https://amazon.com/dp/B0FMNBZ7KF</t>
        </is>
      </c>
      <c r="L320" s="114">
        <f>HYPERLINK(Table3054[[#This Row],[Column1]])</f>
        <v/>
      </c>
    </row>
    <row r="321" ht="30" customHeight="1" s="314">
      <c r="A321" s="35" t="inlineStr">
        <is>
          <t>Fits CEN-TECH OBD II Code Reader - Diagnose Your Car’s Engine Problems, Read &amp; Clear Trouble Codes &amp; Check Engine Light, Reads Control Modules &amp; O2 Sensor Data, Data Freeze Frame &amp; Multi-Lingual Menu</t>
        </is>
      </c>
      <c r="B321" s="35" t="inlineStr">
        <is>
          <t>B0DLSY8PM9</t>
        </is>
      </c>
      <c r="C321" s="35" t="inlineStr">
        <is>
          <t>Handheld</t>
        </is>
      </c>
      <c r="D321" s="359" t="n">
        <v>69</v>
      </c>
      <c r="E321" s="66" t="n">
        <v>0</v>
      </c>
      <c r="F321" s="66" t="n">
        <v>0</v>
      </c>
      <c r="G321" s="68" t="n">
        <v>0</v>
      </c>
      <c r="H321" s="70" t="n">
        <v>0</v>
      </c>
      <c r="I321" s="68" t="n"/>
      <c r="J321" s="69" t="n"/>
      <c r="K321" s="69" t="inlineStr">
        <is>
          <t>https://amazon.com/dp/B0DLSY8PM9</t>
        </is>
      </c>
      <c r="L321" s="114">
        <f>HYPERLINK(Table3054[[#This Row],[Column1]])</f>
        <v/>
      </c>
    </row>
    <row r="322" ht="45" customHeight="1" s="314">
      <c r="A322" s="35" t="inlineStr">
        <is>
          <t>OBD2 Scanner Car Scan Diagnostic Tool Reset Clear Check Engine Code Reader</t>
        </is>
      </c>
      <c r="B322" s="35" t="inlineStr">
        <is>
          <t>B0FN42LFCM</t>
        </is>
      </c>
      <c r="C322" s="35" t="inlineStr">
        <is>
          <t>Dongle</t>
        </is>
      </c>
      <c r="D322" s="359" t="n">
        <v>14.99</v>
      </c>
      <c r="E322" s="66" t="n">
        <v>0</v>
      </c>
      <c r="F322" s="66" t="n">
        <v>0</v>
      </c>
      <c r="G322" s="68" t="n">
        <v>0</v>
      </c>
      <c r="H322" s="70" t="n">
        <v>0</v>
      </c>
      <c r="I322" s="68" t="n"/>
      <c r="J322" s="69" t="n"/>
      <c r="K322" s="69" t="inlineStr">
        <is>
          <t>https://amazon.com/dp/B0FN42LFCM</t>
        </is>
      </c>
      <c r="L322" s="114">
        <f>HYPERLINK(Table3054[[#This Row],[Column1]])</f>
        <v/>
      </c>
    </row>
    <row r="323" ht="45" customHeight="1" s="314">
      <c r="A323" s="35" t="inlineStr">
        <is>
          <t>Diagnostic for DOOSAN uvim Scanner kit Heavy Duty Communication Interface Forklift Excavator Loader Diagnostic Tool (2023 Software)</t>
        </is>
      </c>
      <c r="B323" s="35" t="inlineStr">
        <is>
          <t>B0CJ6J43GS</t>
        </is>
      </c>
      <c r="C323" s="35" t="inlineStr">
        <is>
          <t>VCI</t>
        </is>
      </c>
      <c r="D323" s="359" t="n">
        <v>895</v>
      </c>
      <c r="E323" s="66" t="n">
        <v>1820.11</v>
      </c>
      <c r="F323" s="66" t="n">
        <v>0</v>
      </c>
      <c r="G323" s="68" t="n">
        <v>2</v>
      </c>
      <c r="H323" s="70" t="n">
        <v>0</v>
      </c>
      <c r="I323" s="68" t="n"/>
      <c r="J323" s="69" t="n"/>
      <c r="K323" s="69" t="inlineStr">
        <is>
          <t>https://amazon.com/dp/B0CJ6J43GS</t>
        </is>
      </c>
      <c r="L323" s="114">
        <f>HYPERLINK(Table3054[[#This Row],[Column1]])</f>
        <v/>
      </c>
    </row>
    <row r="324" ht="45" customHeight="1" s="314">
      <c r="A324" s="35" t="inlineStr">
        <is>
          <t>EST Diagnostic Tester 2761040 27610402 Communication Adapter 3 for Perkins Diagnosis Tool Heavy Duty Excavator EST 2021B Scanner (Adapter)</t>
        </is>
      </c>
      <c r="B324" s="35" t="inlineStr">
        <is>
          <t>B0CJRL7Q4M</t>
        </is>
      </c>
      <c r="C324" s="35" t="inlineStr">
        <is>
          <t>VCI</t>
        </is>
      </c>
      <c r="D324" s="359" t="n">
        <v>328</v>
      </c>
      <c r="E324" s="66" t="n">
        <v>553.3299999999999</v>
      </c>
      <c r="F324" s="66" t="n">
        <v>0</v>
      </c>
      <c r="G324" s="68" t="n">
        <v>2</v>
      </c>
      <c r="H324" s="70" t="n">
        <v>0</v>
      </c>
      <c r="I324" s="68" t="n"/>
      <c r="J324" s="69" t="n"/>
      <c r="K324" s="69" t="inlineStr">
        <is>
          <t>https://amazon.com/dp/B0CJRL7Q4M</t>
        </is>
      </c>
      <c r="L324" s="114">
        <f>HYPERLINK(Table3054[[#This Row],[Column1]])</f>
        <v/>
      </c>
    </row>
    <row r="325" ht="45" customHeight="1" s="314">
      <c r="A325" s="35" t="inlineStr">
        <is>
          <t>2024 G' M MDI2 Multi Diagnostic Interface Scanner EL-52100-AM for DLC Cable Plug 2 WF Interface Scanner Kit with OBD2 USB 2.0 Interface (with WiFi)</t>
        </is>
      </c>
      <c r="B325" s="35" t="inlineStr">
        <is>
          <t>B0FWR143KZ</t>
        </is>
      </c>
      <c r="C325" s="35" t="inlineStr">
        <is>
          <t>Handheld</t>
        </is>
      </c>
      <c r="D325" s="359" t="n">
        <v>399</v>
      </c>
      <c r="E325" s="66" t="n">
        <v>0</v>
      </c>
      <c r="F325" s="66" t="n">
        <v>0</v>
      </c>
      <c r="G325" s="68" t="n">
        <v>0</v>
      </c>
      <c r="H325" s="70" t="n">
        <v>0</v>
      </c>
      <c r="I325" s="68" t="n"/>
      <c r="J325" s="69" t="n"/>
      <c r="K325" s="69" t="inlineStr">
        <is>
          <t>https://amazon.com/dp/B0FWR143KZ</t>
        </is>
      </c>
      <c r="L325" s="114">
        <f>HYPERLINK(Table3054[[#This Row],[Column1]])</f>
        <v/>
      </c>
    </row>
    <row r="326" ht="45" customHeight="1" s="314">
      <c r="A326" s="35" t="inlineStr">
        <is>
          <t>Diagnostic for DOOSAN uvim Scanner kit Heavy Duty Communication Interface Forklift Excavator Loader Diagnostic Tool (2016 Software)</t>
        </is>
      </c>
      <c r="B326" s="35" t="inlineStr">
        <is>
          <t>B0CJ6HL1CS</t>
        </is>
      </c>
      <c r="C326" s="35" t="inlineStr">
        <is>
          <t>VCI</t>
        </is>
      </c>
      <c r="D326" s="359" t="n">
        <v>895</v>
      </c>
      <c r="E326" s="66" t="n">
        <v>897.52</v>
      </c>
      <c r="F326" s="66" t="n">
        <v>0</v>
      </c>
      <c r="G326" s="68" t="n">
        <v>1</v>
      </c>
      <c r="H326" s="70" t="n">
        <v>0</v>
      </c>
      <c r="I326" s="68" t="n"/>
      <c r="J326" s="69" t="n"/>
      <c r="K326" s="69" t="inlineStr">
        <is>
          <t>https://amazon.com/dp/B0CJ6HL1CS</t>
        </is>
      </c>
      <c r="L326" s="114">
        <f>HYPERLINK(Table3054[[#This Row],[Column1]])</f>
        <v/>
      </c>
    </row>
    <row r="327" ht="17" customHeight="1" s="314">
      <c r="A327" s="35" t="inlineStr">
        <is>
          <t>MPDR Software 3.9 for Heavy Duty Diagnostic Tool Tester The Latest Version for Hitachi EX ZX-1 ZX-3G ZX-3 ZX-5 ZX-6 ZX-7 of Excavator</t>
        </is>
      </c>
      <c r="B327" s="35" t="inlineStr">
        <is>
          <t>B0CJV4W22M</t>
        </is>
      </c>
      <c r="C327" s="35" t="inlineStr">
        <is>
          <t>Cable/Adapter</t>
        </is>
      </c>
      <c r="D327" s="359" t="n">
        <v>90</v>
      </c>
      <c r="E327" s="66" t="n">
        <v>0</v>
      </c>
      <c r="F327" s="66" t="n">
        <v>0</v>
      </c>
      <c r="G327" s="68" t="n">
        <v>0</v>
      </c>
      <c r="H327" s="70" t="n">
        <v>0</v>
      </c>
      <c r="I327" s="68" t="n"/>
      <c r="J327" s="69" t="n"/>
      <c r="K327" s="69" t="inlineStr">
        <is>
          <t>https://amazon.com/dp/B0CJV4W22M</t>
        </is>
      </c>
      <c r="L327" s="114">
        <f>HYPERLINK(Table3054[[#This Row],[Column1]])</f>
        <v/>
      </c>
    </row>
    <row r="328" ht="45" customHeight="1" s="314">
      <c r="A328" s="35" t="inlineStr">
        <is>
          <t>for SCA-nia VCI3 Truck Bus Heavy Vehicle Diagnostic Tool,with SDP3 Software</t>
        </is>
      </c>
      <c r="B328" s="35" t="inlineStr">
        <is>
          <t>B0FKT64HD8</t>
        </is>
      </c>
      <c r="C328" s="35" t="inlineStr">
        <is>
          <t>VCI</t>
        </is>
      </c>
      <c r="D328" s="359" t="n">
        <v>137</v>
      </c>
      <c r="E328" s="66" t="n">
        <v>0</v>
      </c>
      <c r="F328" s="66" t="n">
        <v>0</v>
      </c>
      <c r="G328" s="68" t="n">
        <v>0</v>
      </c>
      <c r="H328" s="70" t="n">
        <v>0</v>
      </c>
      <c r="I328" s="68" t="n"/>
      <c r="J328" s="69" t="n"/>
      <c r="K328" s="69" t="inlineStr">
        <is>
          <t>https://amazon.com/dp/B0FKT64HD8</t>
        </is>
      </c>
      <c r="L328" s="114">
        <f>HYPERLINK(Table3054[[#This Row],[Column1]])</f>
        <v/>
      </c>
    </row>
    <row r="329" ht="45" customHeight="1" s="314">
      <c r="A329" s="35" t="inlineStr">
        <is>
          <t>New MB Star C4 Plus DOIP Function Diagnostic Tool 2025 Xentry Software with DOIP Function for MB Software Car Truck Scanner (MB C4 with Laptop)</t>
        </is>
      </c>
      <c r="B329" s="35" t="inlineStr">
        <is>
          <t>B0FJLXMDG8</t>
        </is>
      </c>
      <c r="C329" s="35" t="inlineStr">
        <is>
          <t>VCI</t>
        </is>
      </c>
      <c r="D329" s="359" t="n">
        <v>928</v>
      </c>
      <c r="E329" s="66" t="n">
        <v>3699.65</v>
      </c>
      <c r="F329" s="66" t="n">
        <v>0</v>
      </c>
      <c r="G329" s="68" t="n">
        <v>4</v>
      </c>
      <c r="H329" s="70" t="n">
        <v>0</v>
      </c>
      <c r="I329" s="68" t="n"/>
      <c r="J329" s="69" t="n"/>
      <c r="K329" s="69" t="inlineStr">
        <is>
          <t>https://amazon.com/dp/B0FJLXMDG8</t>
        </is>
      </c>
      <c r="L329" s="114">
        <f>HYPERLINK(Table3054[[#This Row],[Column1]])</f>
        <v/>
      </c>
    </row>
    <row r="330" ht="45" customHeight="1" s="314">
      <c r="A330" s="35" t="inlineStr">
        <is>
          <t>Diagnostic KIT USB-to-CAN for MTU Diasys 2.72 MEDC ADEC Full Kit Diesel Engine Truck Diagnosis Scanner Tool (MTU Tool with Software)</t>
        </is>
      </c>
      <c r="B330" s="35" t="inlineStr">
        <is>
          <t>B0CLHVWY16</t>
        </is>
      </c>
      <c r="C330" s="35" t="inlineStr">
        <is>
          <t>VCI</t>
        </is>
      </c>
      <c r="D330" s="359" t="n">
        <v>1407</v>
      </c>
      <c r="E330" s="66" t="n">
        <v>2641.36</v>
      </c>
      <c r="F330" s="66" t="n">
        <v>0</v>
      </c>
      <c r="G330" s="68" t="n">
        <v>2</v>
      </c>
      <c r="H330" s="70" t="n">
        <v>0</v>
      </c>
      <c r="I330" s="68" t="n"/>
      <c r="J330" s="69" t="n"/>
      <c r="K330" s="69" t="inlineStr">
        <is>
          <t>https://amazon.com/dp/B0CLHVWY16</t>
        </is>
      </c>
      <c r="L330" s="114">
        <f>HYPERLINK(Table3054[[#This Row],[Column1]])</f>
        <v/>
      </c>
    </row>
    <row r="331" ht="30" customHeight="1" s="314">
      <c r="A331" s="35" t="inlineStr">
        <is>
          <t>Diagnostic KIT USB-to-CAN for MTU Diasys 2.72 MEDC ADEC Full Kit Diesel Engine Truck Diagnosis Scanner Tool (Only MTU Tool)</t>
        </is>
      </c>
      <c r="B331" s="35" t="inlineStr">
        <is>
          <t>B0CLHXCBNG</t>
        </is>
      </c>
      <c r="C331" s="35" t="inlineStr">
        <is>
          <t>VCI</t>
        </is>
      </c>
      <c r="D331" s="359" t="n">
        <v>1206</v>
      </c>
      <c r="E331" s="66" t="n">
        <v>6205.56</v>
      </c>
      <c r="F331" s="66" t="n">
        <v>0</v>
      </c>
      <c r="G331" s="68" t="n">
        <v>5</v>
      </c>
      <c r="H331" s="70" t="n">
        <v>0</v>
      </c>
      <c r="I331" s="68" t="n"/>
      <c r="J331" s="69" t="n"/>
      <c r="K331" s="69" t="inlineStr">
        <is>
          <t>https://amazon.com/dp/B0CLHXCBNG</t>
        </is>
      </c>
      <c r="L331" s="114">
        <f>HYPERLINK(Table3054[[#This Row],[Column1]])</f>
        <v/>
      </c>
    </row>
    <row r="332" ht="45" customHeight="1" s="314">
      <c r="A332" s="35" t="inlineStr">
        <is>
          <t>Automatic MCU 51 Microcontroller Downloader Auto Programmer / 3.3V 5V Universal/Dual Voltage USB to TTL Download Cable</t>
        </is>
      </c>
      <c r="B332" s="35" t="inlineStr">
        <is>
          <t>B0CPCZ2WZD</t>
        </is>
      </c>
      <c r="C332" s="35" t="inlineStr">
        <is>
          <t>Handheld</t>
        </is>
      </c>
      <c r="D332" s="359" t="n">
        <v>8.289999999999999</v>
      </c>
      <c r="E332" s="66" t="n">
        <v>8.279999999999999</v>
      </c>
      <c r="F332" s="66" t="n">
        <v>0</v>
      </c>
      <c r="G332" s="68" t="n">
        <v>1</v>
      </c>
      <c r="H332" s="70" t="n">
        <v>0</v>
      </c>
      <c r="I332" s="68" t="n"/>
      <c r="J332" s="69" t="n"/>
      <c r="K332" s="69" t="inlineStr">
        <is>
          <t>https://amazon.com/dp/B0CPCZ2WZD</t>
        </is>
      </c>
      <c r="L332" s="114">
        <f>HYPERLINK(Table3054[[#This Row],[Column1]])</f>
        <v/>
      </c>
    </row>
    <row r="333" ht="30" customHeight="1" s="314">
      <c r="A333" s="35" t="inlineStr">
        <is>
          <t>iCar2 ELM327 obd2 Bluetooth Scanner elm 327 V2.1 OBD 2 WiFi icar 2 auto Diagnostic Scanner for Android/PC Code Reader(V2.1)</t>
        </is>
      </c>
      <c r="B333" s="35" t="inlineStr">
        <is>
          <t>B0DXBX9BS3</t>
        </is>
      </c>
      <c r="C333" s="35" t="inlineStr">
        <is>
          <t>Dongle</t>
        </is>
      </c>
      <c r="D333" s="359" t="n">
        <v>18.8</v>
      </c>
      <c r="E333" s="66" t="n">
        <v>0</v>
      </c>
      <c r="F333" s="66" t="n">
        <v>0</v>
      </c>
      <c r="G333" s="68" t="n">
        <v>0</v>
      </c>
      <c r="H333" s="70" t="n">
        <v>0</v>
      </c>
      <c r="I333" s="68" t="n">
        <v>1</v>
      </c>
      <c r="J333" s="69" t="n">
        <v>5</v>
      </c>
      <c r="K333" s="69" t="inlineStr">
        <is>
          <t>https://amazon.com/dp/B0DXBX9BS3</t>
        </is>
      </c>
      <c r="L333" s="114">
        <f>HYPERLINK(Table3054[[#This Row],[Column1]])</f>
        <v/>
      </c>
    </row>
    <row r="334" ht="45" customHeight="1" s="314">
      <c r="A334" s="35" t="inlineStr">
        <is>
          <t>THKY OBDII OBD2 Extension Cable, 16 Pin Male to Female Diagnostic Extender, 5ft 150cm 1.5m for Auto Car</t>
        </is>
      </c>
      <c r="B334" s="35" t="inlineStr">
        <is>
          <t>B0CDWT7YVX</t>
        </is>
      </c>
      <c r="C334" s="35" t="inlineStr">
        <is>
          <t>Cable/Adapter</t>
        </is>
      </c>
      <c r="D334" s="359" t="n">
        <v>9.99</v>
      </c>
      <c r="E334" s="66" t="n">
        <v>0</v>
      </c>
      <c r="F334" s="66" t="n">
        <v>0</v>
      </c>
      <c r="G334" s="68" t="n">
        <v>0</v>
      </c>
      <c r="H334" s="70" t="n">
        <v>0</v>
      </c>
      <c r="I334" s="68" t="n"/>
      <c r="J334" s="69" t="n"/>
      <c r="K334" s="69" t="inlineStr">
        <is>
          <t>https://amazon.com/dp/B0CDWT7YVX</t>
        </is>
      </c>
      <c r="L334" s="114">
        <f>HYPERLINK(Table3054[[#This Row],[Column1]])</f>
        <v/>
      </c>
    </row>
    <row r="335" ht="45" customHeight="1" s="314">
      <c r="A335" s="35" t="inlineStr">
        <is>
          <t>EST Diagnostic Tester 27610402 Communication Adapter 3 for Perkins Diagnosis Tool Heavy Duty Excavator EST 2021B Scanner</t>
        </is>
      </c>
      <c r="B335" s="35" t="inlineStr">
        <is>
          <t>B0CJ6Q61VG</t>
        </is>
      </c>
      <c r="C335" s="35" t="inlineStr">
        <is>
          <t>VCI</t>
        </is>
      </c>
      <c r="D335" s="359" t="n">
        <v>328</v>
      </c>
      <c r="E335" s="66" t="n">
        <v>0</v>
      </c>
      <c r="F335" s="66" t="n">
        <v>0</v>
      </c>
      <c r="G335" s="68" t="n">
        <v>0</v>
      </c>
      <c r="H335" s="70" t="n">
        <v>0</v>
      </c>
      <c r="I335" s="68" t="n"/>
      <c r="J335" s="69" t="n"/>
      <c r="K335" s="69" t="inlineStr">
        <is>
          <t>https://amazon.com/dp/B0CJ6Q61VG</t>
        </is>
      </c>
      <c r="L335" s="114">
        <f>HYPERLINK(Table3054[[#This Row],[Column1]])</f>
        <v/>
      </c>
    </row>
    <row r="336" ht="45" customHeight="1" s="314">
      <c r="A336" s="35" t="inlineStr">
        <is>
          <t>Generic Diagnostic Port Adapter Cable OBD-II CAN for Tesla Model S/X 2012 - September 2015</t>
        </is>
      </c>
      <c r="B336" s="35" t="inlineStr">
        <is>
          <t>B0C6YNS37B</t>
        </is>
      </c>
      <c r="C336" s="35" t="inlineStr">
        <is>
          <t>Cable/Adapter</t>
        </is>
      </c>
      <c r="D336" s="359" t="n">
        <v>34.95</v>
      </c>
      <c r="E336" s="66" t="n">
        <v>35.53</v>
      </c>
      <c r="F336" s="66" t="n">
        <v>0</v>
      </c>
      <c r="G336" s="68" t="n">
        <v>1</v>
      </c>
      <c r="H336" s="70" t="n">
        <v>0</v>
      </c>
      <c r="I336" s="68" t="n">
        <v>1</v>
      </c>
      <c r="J336" s="69" t="n">
        <v>4</v>
      </c>
      <c r="K336" s="69" t="inlineStr">
        <is>
          <t>https://amazon.com/dp/B0C6YNS37B</t>
        </is>
      </c>
      <c r="L336" s="114">
        <f>HYPERLINK(Table3054[[#This Row],[Column1]])</f>
        <v/>
      </c>
    </row>
    <row r="337" ht="45" customHeight="1" s="314">
      <c r="A337" s="35" t="inlineStr">
        <is>
          <t>V2.1 OBD Mini ELM327 OBD2 Bluetooth Auto Scanner OBDII 2 Car ELM 327 Tester Diagnostic Tool for Android Windows Symbian（7）</t>
        </is>
      </c>
      <c r="B337" s="35" t="inlineStr">
        <is>
          <t>B0DZ2NS9XL</t>
        </is>
      </c>
      <c r="C337" s="35" t="inlineStr">
        <is>
          <t>Dongle</t>
        </is>
      </c>
      <c r="D337" s="359" t="n">
        <v>14.13</v>
      </c>
      <c r="E337" s="66" t="n">
        <v>44.64</v>
      </c>
      <c r="F337" s="66" t="n">
        <v>0</v>
      </c>
      <c r="G337" s="68" t="n">
        <v>3</v>
      </c>
      <c r="H337" s="70" t="n">
        <v>0</v>
      </c>
      <c r="I337" s="68" t="n"/>
      <c r="J337" s="69" t="n"/>
      <c r="K337" s="69" t="inlineStr">
        <is>
          <t>https://amazon.com/dp/B0DZ2NS9XL</t>
        </is>
      </c>
      <c r="L337" s="114">
        <f>HYPERLINK(Table3054[[#This Row],[Column1]])</f>
        <v/>
      </c>
    </row>
    <row r="338" ht="30" customHeight="1" s="314">
      <c r="A338" s="35" t="inlineStr">
        <is>
          <t>Generic OBD2 Scanner Diagnostic Tool [V520], Reads And Clears Faults,Car Diagnostic Scan Tool OBDII Scanner Live Data with Vehicle I/M readiness-Works for All OBDII Compliant Cars</t>
        </is>
      </c>
      <c r="B338" s="35" t="inlineStr">
        <is>
          <t>B0CTK9GF5Z</t>
        </is>
      </c>
      <c r="C338" s="35" t="inlineStr">
        <is>
          <t>Handheld</t>
        </is>
      </c>
      <c r="D338" s="359" t="n">
        <v>42.88</v>
      </c>
      <c r="E338" s="66" t="n">
        <v>49.6</v>
      </c>
      <c r="F338" s="66" t="n">
        <v>0</v>
      </c>
      <c r="G338" s="68" t="n">
        <v>1</v>
      </c>
      <c r="H338" s="70" t="n">
        <v>0</v>
      </c>
      <c r="I338" s="68" t="n"/>
      <c r="J338" s="69" t="n"/>
      <c r="K338" s="69" t="inlineStr">
        <is>
          <t>https://amazon.com/dp/B0CTK9GF5Z</t>
        </is>
      </c>
      <c r="L338" s="114">
        <f>HYPERLINK(Table3054[[#This Row],[Column1]])</f>
        <v/>
      </c>
    </row>
    <row r="339" ht="17" customHeight="1" s="314">
      <c r="A339" s="35" t="inlineStr">
        <is>
          <t>Generic OBD2 Scanner Professional OBD2 Scanner Diagnostic Tool Car Code Reader Check Engine Fault Code/Live Data/Voltage Enhanced Engine Fault Scanner Fit for Vehicle After 1996 Blue, 14.7x7.7x2.4cm</t>
        </is>
      </c>
      <c r="B339" s="35" t="inlineStr">
        <is>
          <t>B0CY9DX116</t>
        </is>
      </c>
      <c r="C339" s="35" t="inlineStr">
        <is>
          <t>Handheld</t>
        </is>
      </c>
      <c r="D339" s="359" t="n">
        <v>29.29</v>
      </c>
      <c r="E339" s="66" t="n">
        <v>36.47</v>
      </c>
      <c r="F339" s="66" t="n">
        <v>0</v>
      </c>
      <c r="G339" s="68" t="n">
        <v>2</v>
      </c>
      <c r="H339" s="70" t="n">
        <v>0</v>
      </c>
      <c r="I339" s="68" t="n"/>
      <c r="J339" s="69" t="n"/>
      <c r="K339" s="69" t="inlineStr">
        <is>
          <t>https://amazon.com/dp/B0CY9DX116</t>
        </is>
      </c>
      <c r="L339" s="114">
        <f>HYPERLINK(Table3054[[#This Row],[Column1]])</f>
        <v/>
      </c>
    </row>
    <row r="340" ht="45" customHeight="1" s="314">
      <c r="A340" s="35" t="inlineStr">
        <is>
          <t>Openport 2.0 ECU Flash OBD2 Scanner OPENPORT2.0 OBDII Protocols ECU Chip Tunning Tactrix Open Port 2(a Full chip)</t>
        </is>
      </c>
      <c r="B340" s="35" t="inlineStr">
        <is>
          <t>B0DXBXF4R3</t>
        </is>
      </c>
      <c r="C340" s="35" t="inlineStr">
        <is>
          <t>Handheld</t>
        </is>
      </c>
      <c r="D340" s="359" t="n">
        <v>98.86</v>
      </c>
      <c r="E340" s="66" t="n">
        <v>98.86</v>
      </c>
      <c r="F340" s="66" t="n">
        <v>0</v>
      </c>
      <c r="G340" s="68" t="n">
        <v>1</v>
      </c>
      <c r="H340" s="70" t="n">
        <v>0</v>
      </c>
      <c r="I340" s="68" t="n"/>
      <c r="J340" s="69" t="n"/>
      <c r="K340" s="69" t="inlineStr">
        <is>
          <t>https://amazon.com/dp/B0DXBXF4R3</t>
        </is>
      </c>
      <c r="L340" s="114">
        <f>HYPERLINK(Table3054[[#This Row],[Column1]])</f>
        <v/>
      </c>
    </row>
    <row r="341" ht="45" customHeight="1" s="314">
      <c r="A341" s="35" t="inlineStr">
        <is>
          <t>Professional OBD2 Scanner Compatible with Zurich ZR11S Advanced Automotive Diagnostic Scan Tools with ABS SRS Reset &amp; Live Data - Battery Test, Freeze Frame, Multi-Language Support -</t>
        </is>
      </c>
      <c r="B341" s="35" t="inlineStr">
        <is>
          <t>B0F8KS9PVL</t>
        </is>
      </c>
      <c r="C341" s="35" t="inlineStr">
        <is>
          <t>Handheld</t>
        </is>
      </c>
      <c r="D341" s="359" t="n">
        <v>199</v>
      </c>
      <c r="E341" s="66" t="n">
        <v>198.99</v>
      </c>
      <c r="F341" s="66" t="n">
        <v>0</v>
      </c>
      <c r="G341" s="68" t="n">
        <v>1</v>
      </c>
      <c r="H341" s="70" t="n">
        <v>0</v>
      </c>
      <c r="I341" s="68" t="n"/>
      <c r="J341" s="69" t="n"/>
      <c r="K341" s="69" t="inlineStr">
        <is>
          <t>https://amazon.com/dp/B0F8KS9PVL</t>
        </is>
      </c>
      <c r="L341" s="114">
        <f>HYPERLINK(Table3054[[#This Row],[Column1]])</f>
        <v/>
      </c>
    </row>
    <row r="342" ht="30" customHeight="1" s="314">
      <c r="A342" s="35" t="inlineStr">
        <is>
          <t>Nexiq Pocket HD with Complete ABS and HD/LMT DPF Software</t>
        </is>
      </c>
      <c r="B342" s="35" t="inlineStr">
        <is>
          <t>B0CMRTNCNS</t>
        </is>
      </c>
      <c r="C342" s="35" t="inlineStr">
        <is>
          <t>Handheld</t>
        </is>
      </c>
      <c r="D342" s="359" t="n">
        <v>2199</v>
      </c>
      <c r="E342" s="66" t="n">
        <v>14077.29</v>
      </c>
      <c r="F342" s="66" t="n">
        <v>0</v>
      </c>
      <c r="G342" s="68" t="n">
        <v>6</v>
      </c>
      <c r="H342" s="70" t="n">
        <v>0</v>
      </c>
      <c r="I342" s="68" t="n"/>
      <c r="J342" s="69" t="n"/>
      <c r="K342" s="69" t="inlineStr">
        <is>
          <t>https://amazon.com/dp/B0CMRTNCNS</t>
        </is>
      </c>
      <c r="L342" s="114">
        <f>HYPERLINK(Table3054[[#This Row],[Column1]])</f>
        <v/>
      </c>
    </row>
    <row r="343" ht="30" customHeight="1" s="314">
      <c r="A343" s="35" t="inlineStr">
        <is>
          <t>X300M Car A djustment Tool for C Luster C al ibration and OBDII for Exact Correct m ilea-ge Special Before Ordering Contact Us for List</t>
        </is>
      </c>
      <c r="B343" s="35" t="inlineStr">
        <is>
          <t>B0FTFHMBXW</t>
        </is>
      </c>
      <c r="C343" s="35" t="inlineStr">
        <is>
          <t>Handheld</t>
        </is>
      </c>
      <c r="D343" s="359" t="n">
        <v>379</v>
      </c>
      <c r="E343" s="66" t="n">
        <v>6738.38</v>
      </c>
      <c r="F343" s="66" t="n">
        <v>0</v>
      </c>
      <c r="G343" s="68" t="n">
        <v>19</v>
      </c>
      <c r="H343" s="70" t="n">
        <v>0</v>
      </c>
      <c r="I343" s="68" t="n">
        <v>1</v>
      </c>
      <c r="J343" s="69" t="n">
        <v>1</v>
      </c>
      <c r="K343" s="69" t="inlineStr">
        <is>
          <t>https://amazon.com/dp/B0FTFHMBXW</t>
        </is>
      </c>
      <c r="L343" s="114">
        <f>HYPERLINK(Table3054[[#This Row],[Column1]])</f>
        <v/>
      </c>
    </row>
    <row r="344" ht="45" customHeight="1" s="314">
      <c r="A344" s="35" t="inlineStr">
        <is>
          <t>OBD2 Scanner Tool, Professional Car Diagnostic Code Reader, Digital with Live Data Stream, Battery Voltage Test, Yellow</t>
        </is>
      </c>
      <c r="B344" s="35" t="inlineStr">
        <is>
          <t>B0FPXBW4DF</t>
        </is>
      </c>
      <c r="C344" s="35" t="inlineStr">
        <is>
          <t>Handheld</t>
        </is>
      </c>
      <c r="D344" s="359" t="n">
        <v>10.635</v>
      </c>
      <c r="E344" s="66" t="n">
        <v>35.16</v>
      </c>
      <c r="F344" s="66" t="n">
        <v>0</v>
      </c>
      <c r="G344" s="68" t="n">
        <v>3</v>
      </c>
      <c r="H344" s="70" t="n">
        <v>0</v>
      </c>
      <c r="I344" s="68" t="n"/>
      <c r="J344" s="69" t="n"/>
      <c r="K344" s="69" t="inlineStr">
        <is>
          <t>https://amazon.com/dp/B0FPXBW4DF</t>
        </is>
      </c>
      <c r="L344" s="114">
        <f>HYPERLINK(Table3054[[#This Row],[Column1]])</f>
        <v/>
      </c>
    </row>
    <row r="345" ht="45" customHeight="1" s="314">
      <c r="A345" s="35" t="inlineStr">
        <is>
          <t>Professional Car Code Reader, OBD2 Scanner for All 1996 and Newer Cars, Full OBDII Functions Automotive Engine Fault Diagnostic Scanner Tool with Color Screen</t>
        </is>
      </c>
      <c r="B345" s="35" t="inlineStr">
        <is>
          <t>B0F43R6N8J</t>
        </is>
      </c>
      <c r="C345" s="35" t="inlineStr">
        <is>
          <t>Handheld</t>
        </is>
      </c>
      <c r="D345" s="359" t="n">
        <v>18.72</v>
      </c>
      <c r="E345" s="66" t="n">
        <v>265.09</v>
      </c>
      <c r="F345" s="66" t="n">
        <v>0</v>
      </c>
      <c r="G345" s="68" t="n">
        <v>18</v>
      </c>
      <c r="H345" s="70" t="n">
        <v>0</v>
      </c>
      <c r="I345" s="68" t="n"/>
      <c r="J345" s="69" t="n"/>
      <c r="K345" s="69" t="inlineStr">
        <is>
          <t>https://amazon.com/dp/B0F43R6N8J</t>
        </is>
      </c>
      <c r="L345" s="114">
        <f>HYPERLINK(Table3054[[#This Row],[Column1]])</f>
        <v/>
      </c>
    </row>
    <row r="346" ht="45" customHeight="1" s="314">
      <c r="A346" s="35" t="inlineStr">
        <is>
          <t>OBD2 Scanner Professional Car Diagnostic Code Reader, Digital with Live Data Stream, Battery Voltage Test, Red</t>
        </is>
      </c>
      <c r="B346" s="35" t="inlineStr">
        <is>
          <t>B0FP4V8SLT</t>
        </is>
      </c>
      <c r="C346" s="35" t="inlineStr">
        <is>
          <t>Handheld</t>
        </is>
      </c>
      <c r="D346" s="359" t="n">
        <v>9.06</v>
      </c>
      <c r="E346" s="66" t="n">
        <v>18.12</v>
      </c>
      <c r="F346" s="66" t="n">
        <v>0</v>
      </c>
      <c r="G346" s="68" t="n">
        <v>2</v>
      </c>
      <c r="H346" s="70" t="n">
        <v>0</v>
      </c>
      <c r="I346" s="68" t="n"/>
      <c r="J346" s="69" t="n"/>
      <c r="K346" s="69" t="inlineStr">
        <is>
          <t>https://amazon.com/dp/B0FP4V8SLT</t>
        </is>
      </c>
      <c r="L346" s="114">
        <f>HYPERLINK(Table3054[[#This Row],[Column1]])</f>
        <v/>
      </c>
    </row>
    <row r="347" ht="30" customHeight="1" s="314">
      <c r="A347" s="35" t="inlineStr">
        <is>
          <t>Generic Nexiq 12-Pin Adapter for USB-Link 2 &amp; USB-Link 3</t>
        </is>
      </c>
      <c r="B347" s="35" t="inlineStr">
        <is>
          <t>B0CRVTG64N</t>
        </is>
      </c>
      <c r="C347" s="35" t="inlineStr">
        <is>
          <t>Cable/Adapter</t>
        </is>
      </c>
      <c r="D347" s="359" t="n">
        <v>98.48</v>
      </c>
      <c r="E347" s="66" t="n">
        <v>3300.48</v>
      </c>
      <c r="F347" s="66" t="n">
        <v>0</v>
      </c>
      <c r="G347" s="68" t="n">
        <v>35</v>
      </c>
      <c r="H347" s="70" t="n">
        <v>0</v>
      </c>
      <c r="I347" s="68" t="n"/>
      <c r="J347" s="69" t="n"/>
      <c r="K347" s="69" t="inlineStr">
        <is>
          <t>https://amazon.com/dp/B0CRVTG64N</t>
        </is>
      </c>
      <c r="L347" s="114">
        <f>HYPERLINK(Table3054[[#This Row],[Column1]])</f>
        <v/>
      </c>
    </row>
    <row r="348" ht="30" customHeight="1" s="314">
      <c r="A348" s="35" t="inlineStr">
        <is>
          <t>OBD2 Adapter Scanner Reader for iOS iPhone and Android Phones OBD2 to Bluetooth OBD 2 ELM 327 Adapter Scanner Diagnostic Scan Tools OBDii ELM327 Interface Code Readers</t>
        </is>
      </c>
      <c r="B348" s="35" t="inlineStr">
        <is>
          <t>B0DY5P6SPD</t>
        </is>
      </c>
      <c r="C348" s="35" t="inlineStr">
        <is>
          <t>Dongle</t>
        </is>
      </c>
      <c r="D348" s="359" t="n">
        <v>10.05692307692308</v>
      </c>
      <c r="E348" s="66" t="n">
        <v>824.9400000000001</v>
      </c>
      <c r="F348" s="66" t="n">
        <v>0</v>
      </c>
      <c r="G348" s="68" t="n">
        <v>85</v>
      </c>
      <c r="H348" s="70" t="n">
        <v>0</v>
      </c>
      <c r="I348" s="68" t="n">
        <v>5</v>
      </c>
      <c r="J348" s="69" t="n">
        <v>3.5</v>
      </c>
      <c r="K348" s="69" t="inlineStr">
        <is>
          <t>https://amazon.com/dp/B0DY5P6SPD</t>
        </is>
      </c>
      <c r="L348" s="114">
        <f>HYPERLINK(Table3054[[#This Row],[Column1]])</f>
        <v/>
      </c>
    </row>
    <row r="349" ht="17" customHeight="1" s="314">
      <c r="A349" s="35" t="inlineStr">
        <is>
          <t>OBD2 Scanner V519, Professional Car Diagnostic Code Reader, Digital with Live Data Stream, Battery Voltage Test, Red and Black</t>
        </is>
      </c>
      <c r="B349" s="35" t="inlineStr">
        <is>
          <t>B0FM3T7R37</t>
        </is>
      </c>
      <c r="C349" s="35" t="inlineStr">
        <is>
          <t>Handheld</t>
        </is>
      </c>
      <c r="D349" s="359" t="n">
        <v>10.10428571428571</v>
      </c>
      <c r="E349" s="66" t="n">
        <v>1166.2</v>
      </c>
      <c r="F349" s="66" t="n">
        <v>0</v>
      </c>
      <c r="G349" s="68" t="n">
        <v>92</v>
      </c>
      <c r="H349" s="70" t="n">
        <v>0</v>
      </c>
      <c r="I349" s="68" t="n">
        <v>3</v>
      </c>
      <c r="J349" s="69" t="n">
        <v>3.9</v>
      </c>
      <c r="K349" s="69" t="inlineStr">
        <is>
          <t>https://amazon.com/dp/B0FM3T7R37</t>
        </is>
      </c>
      <c r="L349" s="114">
        <f>HYPERLINK(Table3054[[#This Row],[Column1]])</f>
        <v/>
      </c>
    </row>
    <row r="350" ht="17" customHeight="1" s="314">
      <c r="A350" s="35" t="inlineStr">
        <is>
          <t>Nexiq 12-Pin Adapter for Komatsu - USB Link 2 Compatible</t>
        </is>
      </c>
      <c r="B350" s="35" t="inlineStr">
        <is>
          <t>B09R8YV16D</t>
        </is>
      </c>
      <c r="C350" s="35" t="inlineStr">
        <is>
          <t>Handheld</t>
        </is>
      </c>
      <c r="D350" s="359" t="n">
        <v>195.9714285714286</v>
      </c>
      <c r="E350" s="66" t="n">
        <v>25884.27</v>
      </c>
      <c r="F350" s="66" t="n">
        <v>0</v>
      </c>
      <c r="G350" s="68" t="n">
        <v>138</v>
      </c>
      <c r="H350" s="70" t="n">
        <v>0</v>
      </c>
      <c r="I350" s="68" t="n">
        <v>7</v>
      </c>
      <c r="J350" s="69" t="n">
        <v>3.8</v>
      </c>
      <c r="K350" s="69" t="inlineStr">
        <is>
          <t>https://amazon.com/dp/B09R8YV16D</t>
        </is>
      </c>
      <c r="L350" s="114">
        <f>HYPERLINK(Table3054[[#This Row],[Column1]])</f>
        <v/>
      </c>
    </row>
    <row r="351" ht="30" customHeight="1" s="314">
      <c r="A351" s="35" t="inlineStr">
        <is>
          <t>PT30 ELD Device + 16-Pin OBDII (Light Medium Duty) Electronic Logging Device with 16-Pin OBDII Cable</t>
        </is>
      </c>
      <c r="B351" s="35" t="inlineStr">
        <is>
          <t>B0DRSZL595</t>
        </is>
      </c>
      <c r="C351" s="35" t="inlineStr">
        <is>
          <t>Cable/Adapter</t>
        </is>
      </c>
      <c r="D351" s="359" t="n">
        <v>199.204705882353</v>
      </c>
      <c r="E351" s="66" t="n">
        <v>53088.51</v>
      </c>
      <c r="F351" s="66" t="n">
        <v>0</v>
      </c>
      <c r="G351" s="68" t="n">
        <v>296</v>
      </c>
      <c r="H351" s="70" t="n">
        <v>0</v>
      </c>
      <c r="I351" s="68" t="n">
        <v>7</v>
      </c>
      <c r="J351" s="69" t="n">
        <v>4.1</v>
      </c>
      <c r="K351" s="69" t="inlineStr">
        <is>
          <t>https://amazon.com/dp/B0DRSZL595</t>
        </is>
      </c>
      <c r="L351" s="114">
        <f>HYPERLINK(Table3054[[#This Row],[Column1]])</f>
        <v/>
      </c>
    </row>
    <row r="352" ht="30" customHeight="1" s="314">
      <c r="A352" s="35" t="inlineStr">
        <is>
          <t>PT30 ELD Device with 14 Pin Cable RP1226 for Flex ELD, TT ELD, Green ELD, Hero ELD</t>
        </is>
      </c>
      <c r="B352" s="35" t="inlineStr">
        <is>
          <t>B0DZGY8QR9</t>
        </is>
      </c>
      <c r="C352" s="35" t="inlineStr">
        <is>
          <t>Cable/Adapter</t>
        </is>
      </c>
      <c r="D352" s="359" t="n">
        <v>200.9371428571428</v>
      </c>
      <c r="E352" s="66" t="n">
        <v>7600.32</v>
      </c>
      <c r="F352" s="66" t="n">
        <v>0</v>
      </c>
      <c r="G352" s="68" t="n">
        <v>41</v>
      </c>
      <c r="H352" s="70" t="n">
        <v>0</v>
      </c>
      <c r="I352" s="68" t="n"/>
      <c r="J352" s="69" t="n"/>
      <c r="K352" s="69" t="inlineStr">
        <is>
          <t>https://amazon.com/dp/B0DZGY8QR9</t>
        </is>
      </c>
      <c r="L352" s="114">
        <f>HYPERLINK(Table3054[[#This Row],[Column1]])</f>
        <v/>
      </c>
    </row>
    <row r="353" ht="30" customHeight="1" s="314">
      <c r="A353" s="35" t="inlineStr">
        <is>
          <t>OBDII to HDMI Monitor/Tuner/Insight Interface Cable, OBDII to HDMI Monitor Cable Plug for Edge CS2 CTS2 CTS3, Replace#H00008000 - [73.2 inches/186 cm]</t>
        </is>
      </c>
      <c r="B353" s="35" t="inlineStr">
        <is>
          <t>B0FNWNYL5G</t>
        </is>
      </c>
      <c r="C353" s="35" t="inlineStr">
        <is>
          <t>Handheld</t>
        </is>
      </c>
      <c r="D353" s="359" t="n">
        <v>13.83</v>
      </c>
      <c r="E353" s="66" t="n">
        <v>70.44</v>
      </c>
      <c r="F353" s="66" t="n">
        <v>0</v>
      </c>
      <c r="G353" s="68" t="n">
        <v>5</v>
      </c>
      <c r="H353" s="70" t="n">
        <v>0</v>
      </c>
      <c r="I353" s="68" t="n">
        <v>1</v>
      </c>
      <c r="J353" s="69" t="n">
        <v>4</v>
      </c>
      <c r="K353" s="69" t="inlineStr">
        <is>
          <t>https://amazon.com/dp/B0FNWNYL5G</t>
        </is>
      </c>
      <c r="L353" s="114">
        <f>HYPERLINK(Table3054[[#This Row],[Column1]])</f>
        <v/>
      </c>
    </row>
    <row r="354" ht="45" customHeight="1" s="314">
      <c r="A354" s="35" t="inlineStr">
        <is>
          <t>NEXIQ Locking 9-Pin CAT Engines Cable for USB- Link 2 &amp; 3</t>
        </is>
      </c>
      <c r="B354" s="35" t="inlineStr">
        <is>
          <t>B0CRVXXBDV</t>
        </is>
      </c>
      <c r="C354" s="35" t="inlineStr">
        <is>
          <t>Cable/Adapter</t>
        </is>
      </c>
      <c r="D354" s="359" t="n">
        <v>172.1975</v>
      </c>
      <c r="E354" s="66" t="n">
        <v>13861.22</v>
      </c>
      <c r="F354" s="66" t="n">
        <v>0</v>
      </c>
      <c r="G354" s="68" t="n">
        <v>80</v>
      </c>
      <c r="H354" s="70" t="n">
        <v>0</v>
      </c>
      <c r="I354" s="68" t="n">
        <v>2</v>
      </c>
      <c r="J354" s="69" t="n">
        <v>5</v>
      </c>
      <c r="K354" s="69" t="inlineStr">
        <is>
          <t>https://amazon.com/dp/B0CRVXXBDV</t>
        </is>
      </c>
      <c r="L354" s="114">
        <f>HYPERLINK(Table3054[[#This Row],[Column1]])</f>
        <v/>
      </c>
    </row>
    <row r="355" ht="30" customHeight="1" s="314">
      <c r="A355" s="35" t="inlineStr">
        <is>
          <t>Generic NEXIQ J1962 Adapter - 16-Pin OBD 2-1 Meter, Black</t>
        </is>
      </c>
      <c r="B355" s="35" t="inlineStr">
        <is>
          <t>B0CRVWCFFD</t>
        </is>
      </c>
      <c r="C355" s="35" t="inlineStr">
        <is>
          <t>Cable/Adapter</t>
        </is>
      </c>
      <c r="D355" s="359" t="n">
        <v>169.442</v>
      </c>
      <c r="E355" s="66" t="n">
        <v>7261.040000000002</v>
      </c>
      <c r="F355" s="66" t="n">
        <v>0</v>
      </c>
      <c r="G355" s="68" t="n">
        <v>44</v>
      </c>
      <c r="H355" s="70" t="n">
        <v>0</v>
      </c>
      <c r="I355" s="68" t="n">
        <v>2</v>
      </c>
      <c r="J355" s="69" t="n">
        <v>3.6</v>
      </c>
      <c r="K355" s="69" t="inlineStr">
        <is>
          <t>https://amazon.com/dp/B0CRVWCFFD</t>
        </is>
      </c>
      <c r="L355" s="114">
        <f>HYPERLINK(Table3054[[#This Row],[Column1]])</f>
        <v/>
      </c>
    </row>
    <row r="356" ht="45" customHeight="1" s="314">
      <c r="A356" s="35" t="inlineStr">
        <is>
          <t>OBD2 WiFi Scanner for iPhone iOS Android Windows Car Code Reader Enhanced Auto Diagnostic Scan Tool Odb2 OBDII Adapter Check Engine Light Live Data Reset Vehicle Performance Test</t>
        </is>
      </c>
      <c r="B356" s="35" t="inlineStr">
        <is>
          <t>B0FCNLM45F</t>
        </is>
      </c>
      <c r="C356" s="35" t="inlineStr">
        <is>
          <t>Dongle</t>
        </is>
      </c>
      <c r="D356" s="359" t="n">
        <v>9.472105263157896</v>
      </c>
      <c r="E356" s="66" t="n">
        <v>3707.3</v>
      </c>
      <c r="F356" s="66" t="n">
        <v>0</v>
      </c>
      <c r="G356" s="68" t="n">
        <v>373</v>
      </c>
      <c r="H356" s="70" t="n">
        <v>0</v>
      </c>
      <c r="I356" s="68" t="n">
        <v>17</v>
      </c>
      <c r="J356" s="69" t="n">
        <v>3.3</v>
      </c>
      <c r="K356" s="69" t="inlineStr">
        <is>
          <t>https://amazon.com/dp/B0FCNLM45F</t>
        </is>
      </c>
      <c r="L356" s="114">
        <f>HYPERLINK(Table3054[[#This Row],[Column1]])</f>
        <v/>
      </c>
    </row>
    <row r="357" ht="45" customHeight="1" s="314">
      <c r="A357" s="35" t="inlineStr">
        <is>
          <t>Diagnostic Tool for DOOSAN uVIM Excavator Forklift Engine Fault Detection OBD Interface DDT CARNICS SCR+DPF+G2 ECU+G2 DCU+G2 2023 Software Scanner</t>
        </is>
      </c>
      <c r="B357" s="35" t="inlineStr">
        <is>
          <t>B0CJV676KM</t>
        </is>
      </c>
      <c r="C357" s="35" t="inlineStr">
        <is>
          <t>VCI</t>
        </is>
      </c>
      <c r="D357" s="359" t="n">
        <v>345</v>
      </c>
      <c r="E357" s="66" t="n">
        <v>0</v>
      </c>
      <c r="F357" s="66" t="n">
        <v>0</v>
      </c>
      <c r="G357" s="68" t="n">
        <v>0</v>
      </c>
      <c r="H357" s="70" t="n">
        <v>0</v>
      </c>
      <c r="I357" s="68" t="n"/>
      <c r="J357" s="69" t="n"/>
      <c r="K357" s="69" t="inlineStr">
        <is>
          <t>https://amazon.com/dp/B0CJV676KM</t>
        </is>
      </c>
      <c r="L357" s="114">
        <f>HYPERLINK(Table3054[[#This Row],[Column1]])</f>
        <v/>
      </c>
    </row>
    <row r="358" ht="17" customHeight="1" s="314">
      <c r="A358" s="35" t="inlineStr">
        <is>
          <t>PT30+Cable for Log Book HOS, DriverLog - Ships Fast-Buy America-Bundle Deal - Panel Cables for Heavy-Duty Volvo - White</t>
        </is>
      </c>
      <c r="B358" s="35" t="inlineStr">
        <is>
          <t>B0CQ419JQ9</t>
        </is>
      </c>
      <c r="C358" s="35" t="inlineStr">
        <is>
          <t>Other</t>
        </is>
      </c>
      <c r="D358" s="359" t="n">
        <v>189.99</v>
      </c>
      <c r="E358" s="66" t="n">
        <v>0</v>
      </c>
      <c r="F358" s="66" t="n">
        <v>0</v>
      </c>
      <c r="G358" s="68" t="n">
        <v>0</v>
      </c>
      <c r="H358" s="70" t="n">
        <v>0</v>
      </c>
      <c r="I358" s="68" t="n"/>
      <c r="J358" s="69" t="n"/>
      <c r="K358" s="69" t="inlineStr">
        <is>
          <t>https://amazon.com/dp/B0CQ419JQ9</t>
        </is>
      </c>
      <c r="L358" s="114">
        <f>HYPERLINK(Table3054[[#This Row],[Column1]])</f>
        <v/>
      </c>
    </row>
    <row r="359" ht="30" customHeight="1" s="314">
      <c r="A359" s="35" t="inlineStr">
        <is>
          <t>478-0235 538-5051 317-7485 ET4 Communication Adapter 2019C 2023A Heavy Duty Diagnostic Tool Tester for Caterpillar CAT Truck Excavator (with Tablet)</t>
        </is>
      </c>
      <c r="B359" s="35" t="inlineStr">
        <is>
          <t>B0CJX1XS84</t>
        </is>
      </c>
      <c r="C359" s="35" t="inlineStr">
        <is>
          <t>VCI</t>
        </is>
      </c>
      <c r="D359" s="359" t="n">
        <v>720</v>
      </c>
      <c r="E359" s="66" t="n">
        <v>0</v>
      </c>
      <c r="F359" s="66" t="n">
        <v>0</v>
      </c>
      <c r="G359" s="68" t="n">
        <v>0</v>
      </c>
      <c r="H359" s="70" t="n">
        <v>0</v>
      </c>
      <c r="I359" s="68" t="n">
        <v>2</v>
      </c>
      <c r="J359" s="69" t="n">
        <v>2.9</v>
      </c>
      <c r="K359" s="69" t="inlineStr">
        <is>
          <t>https://amazon.com/dp/B0CJX1XS84</t>
        </is>
      </c>
      <c r="L359" s="114">
        <f>HYPERLINK(Table3054[[#This Row],[Column1]])</f>
        <v/>
      </c>
    </row>
    <row r="360" ht="30" customHeight="1" s="314">
      <c r="A360" s="35" t="inlineStr">
        <is>
          <t>478-0235 538-5051 317-7485 ET4 Communication Adapter 2019C 2021B Heavy Duty Diagnostic Tool Tester for Caterpillar CAT Truck Excavator (Adapter)</t>
        </is>
      </c>
      <c r="B360" s="35" t="inlineStr">
        <is>
          <t>B0CJTW6VJB</t>
        </is>
      </c>
      <c r="C360" s="35" t="inlineStr">
        <is>
          <t>VCI</t>
        </is>
      </c>
      <c r="D360" s="359" t="n">
        <v>285</v>
      </c>
      <c r="E360" s="66" t="n">
        <v>253.62</v>
      </c>
      <c r="F360" s="66" t="n">
        <v>0</v>
      </c>
      <c r="G360" s="68" t="n">
        <v>1</v>
      </c>
      <c r="H360" s="70" t="n">
        <v>0</v>
      </c>
      <c r="I360" s="68" t="n">
        <v>2</v>
      </c>
      <c r="J360" s="69" t="n">
        <v>2.9</v>
      </c>
      <c r="K360" s="69" t="inlineStr">
        <is>
          <t>https://amazon.com/dp/B0CJTW6VJB</t>
        </is>
      </c>
      <c r="L360" s="114">
        <f>HYPERLINK(Table3054[[#This Row],[Column1]])</f>
        <v/>
      </c>
    </row>
    <row r="361" ht="45" customHeight="1" s="314">
      <c r="A361" s="35" t="inlineStr">
        <is>
          <t>Obd2 Code Scanner Professional Car Scanner Diagnostic Tool,Car Engine Fault Code Reader,Applicable to All Cars That Comply with OBD II Protocol</t>
        </is>
      </c>
      <c r="B361" s="35" t="inlineStr">
        <is>
          <t>B0DBTN7CQH</t>
        </is>
      </c>
      <c r="C361" s="35" t="inlineStr">
        <is>
          <t>Handheld</t>
        </is>
      </c>
      <c r="D361" s="359" t="n">
        <v>29.99</v>
      </c>
      <c r="E361" s="66" t="n">
        <v>0</v>
      </c>
      <c r="F361" s="66" t="n">
        <v>0</v>
      </c>
      <c r="G361" s="68" t="n">
        <v>0</v>
      </c>
      <c r="H361" s="70" t="n">
        <v>0</v>
      </c>
      <c r="I361" s="68" t="n"/>
      <c r="J361" s="69" t="n"/>
      <c r="K361" s="69" t="inlineStr">
        <is>
          <t>https://amazon.com/dp/B0DBTN7CQH</t>
        </is>
      </c>
      <c r="L361" s="114">
        <f>HYPERLINK(Table3054[[#This Row],[Column1]])</f>
        <v/>
      </c>
    </row>
    <row r="362" ht="30" customHeight="1" s="314">
      <c r="A362" s="35" t="inlineStr">
        <is>
          <t>Pacific Track PT30 - Comes with 1 Black Square Light Duty OBDII Cable- Molex to OBD-II Cable (Light-/Medium-Duty) 1.5m, P/N: PTSSOL15</t>
        </is>
      </c>
      <c r="B362" s="35" t="inlineStr">
        <is>
          <t>B0C3826SWW</t>
        </is>
      </c>
      <c r="C362" s="35" t="inlineStr">
        <is>
          <t>Cable/Adapter</t>
        </is>
      </c>
      <c r="D362" s="359" t="n">
        <v>189.99</v>
      </c>
      <c r="E362" s="66" t="n">
        <v>207.38</v>
      </c>
      <c r="F362" s="66" t="n">
        <v>0</v>
      </c>
      <c r="G362" s="68" t="n">
        <v>1</v>
      </c>
      <c r="H362" s="70" t="n">
        <v>0</v>
      </c>
      <c r="I362" s="68" t="n"/>
      <c r="J362" s="69" t="n"/>
      <c r="K362" s="69" t="inlineStr">
        <is>
          <t>https://amazon.com/dp/B0C3826SWW</t>
        </is>
      </c>
      <c r="L362" s="114">
        <f>HYPERLINK(Table3054[[#This Row],[Column1]])</f>
        <v/>
      </c>
    </row>
    <row r="363" ht="45" customHeight="1" s="314">
      <c r="A363" s="35" t="inlineStr">
        <is>
          <t>MPDR Software 3.33 Heavy Duty Diagnostic Tool Tester for Hitachi Software ZX-1 ZX-3 ZX-3G ZX-5 ZX-6 ZX-7 Version Software</t>
        </is>
      </c>
      <c r="B363" s="35" t="inlineStr">
        <is>
          <t>B0CJ6JGYD9</t>
        </is>
      </c>
      <c r="C363" s="35" t="inlineStr">
        <is>
          <t>VCI</t>
        </is>
      </c>
      <c r="D363" s="359" t="n">
        <v>189</v>
      </c>
      <c r="E363" s="66" t="n">
        <v>541.29</v>
      </c>
      <c r="F363" s="66" t="n">
        <v>0</v>
      </c>
      <c r="G363" s="68" t="n">
        <v>3</v>
      </c>
      <c r="H363" s="70" t="n">
        <v>0</v>
      </c>
      <c r="I363" s="68" t="n"/>
      <c r="J363" s="69" t="n"/>
      <c r="K363" s="69" t="inlineStr">
        <is>
          <t>https://amazon.com/dp/B0CJ6JGYD9</t>
        </is>
      </c>
      <c r="L363" s="114">
        <f>HYPERLINK(Table3054[[#This Row],[Column1]])</f>
        <v/>
      </c>
    </row>
    <row r="364" ht="45" customHeight="1" s="314">
      <c r="A364" s="35" t="inlineStr">
        <is>
          <t>MPDR Software 3.9 for Heavy Duty Diagnostic Tool Tester The Latest Version for Hitachi EX ZX-1 ZX-3 ZX-3G ZX-5 ZX-6 ZX-7 of Excavator</t>
        </is>
      </c>
      <c r="B364" s="35" t="inlineStr">
        <is>
          <t>B0CJ6F62P9</t>
        </is>
      </c>
      <c r="C364" s="35" t="inlineStr">
        <is>
          <t>VCI</t>
        </is>
      </c>
      <c r="D364" s="359" t="n">
        <v>90</v>
      </c>
      <c r="E364" s="66" t="n">
        <v>91.42</v>
      </c>
      <c r="F364" s="66" t="n">
        <v>0</v>
      </c>
      <c r="G364" s="68" t="n">
        <v>1</v>
      </c>
      <c r="H364" s="70" t="n">
        <v>0</v>
      </c>
      <c r="I364" s="68" t="n"/>
      <c r="J364" s="69" t="n"/>
      <c r="K364" s="69" t="inlineStr">
        <is>
          <t>https://amazon.com/dp/B0CJ6F62P9</t>
        </is>
      </c>
      <c r="L364" s="114">
        <f>HYPERLINK(Table3054[[#This Row],[Column1]])</f>
        <v/>
      </c>
    </row>
    <row r="365" ht="30" customHeight="1" s="314">
      <c r="A365" s="35" t="inlineStr">
        <is>
          <t>for Z-TEK FTDI chip USB Connector for Wintrac Thermo King Diagnostic Tool with V5.7 Software Diagnostic Cable Auto Scanner</t>
        </is>
      </c>
      <c r="B365" s="35" t="inlineStr">
        <is>
          <t>B0CLCYX7VG</t>
        </is>
      </c>
      <c r="C365" s="35" t="inlineStr">
        <is>
          <t>Cable/Adapter</t>
        </is>
      </c>
      <c r="D365" s="359" t="n">
        <v>264</v>
      </c>
      <c r="E365" s="66" t="n">
        <v>975.4299999999999</v>
      </c>
      <c r="F365" s="66" t="n">
        <v>0</v>
      </c>
      <c r="G365" s="68" t="n">
        <v>4</v>
      </c>
      <c r="H365" s="70" t="n">
        <v>0</v>
      </c>
      <c r="I365" s="68" t="n">
        <v>1</v>
      </c>
      <c r="J365" s="69" t="n">
        <v>1</v>
      </c>
      <c r="K365" s="69" t="inlineStr">
        <is>
          <t>https://amazon.com/dp/B0CLCYX7VG</t>
        </is>
      </c>
      <c r="L365" s="114">
        <f>HYPERLINK(Table3054[[#This Row],[Column1]])</f>
        <v/>
      </c>
    </row>
    <row r="366" ht="45" customHeight="1" s="314">
      <c r="A366" s="35" t="inlineStr">
        <is>
          <t>Waterproof Motorcycle OBD2 Diagnosis Connector Set - 6 Pin Male Plug and Female Socket with Cable for Hong-da Yamha</t>
        </is>
      </c>
      <c r="B366" s="35" t="inlineStr">
        <is>
          <t>B0D67B8HJB</t>
        </is>
      </c>
      <c r="C366" s="35" t="inlineStr">
        <is>
          <t>Cable/Adapter</t>
        </is>
      </c>
      <c r="D366" s="359" t="n">
        <v>10.99</v>
      </c>
      <c r="E366" s="66" t="n">
        <v>70.20999999999999</v>
      </c>
      <c r="F366" s="66" t="n">
        <v>0</v>
      </c>
      <c r="G366" s="68" t="n">
        <v>6</v>
      </c>
      <c r="H366" s="70" t="n">
        <v>0</v>
      </c>
      <c r="I366" s="68" t="n"/>
      <c r="J366" s="69" t="n"/>
      <c r="K366" s="69" t="inlineStr">
        <is>
          <t>https://amazon.com/dp/B0D67B8HJB</t>
        </is>
      </c>
      <c r="L366" s="114">
        <f>HYPERLINK(Table3054[[#This Row],[Column1]])</f>
        <v/>
      </c>
    </row>
    <row r="367" ht="45" customHeight="1" s="314">
      <c r="A367" s="35" t="inlineStr">
        <is>
          <t>VCM3 Diagnostic Tool Vehicle Diagnostic Scanner with Drivers Communication VCM 3 Module 3 with Software Installed (VCM3)</t>
        </is>
      </c>
      <c r="B367" s="35" t="inlineStr">
        <is>
          <t>B0FWR24SH7</t>
        </is>
      </c>
      <c r="C367" s="35" t="inlineStr">
        <is>
          <t>VCI</t>
        </is>
      </c>
      <c r="D367" s="359" t="n">
        <v>845</v>
      </c>
      <c r="E367" s="66" t="n">
        <v>0</v>
      </c>
      <c r="F367" s="66" t="n">
        <v>0</v>
      </c>
      <c r="G367" s="68" t="n">
        <v>0</v>
      </c>
      <c r="H367" s="70" t="n">
        <v>0</v>
      </c>
      <c r="I367" s="68" t="n"/>
      <c r="J367" s="69" t="n"/>
      <c r="K367" s="69" t="inlineStr">
        <is>
          <t>https://amazon.com/dp/B0FWR24SH7</t>
        </is>
      </c>
      <c r="L367" s="114">
        <f>HYPERLINK(Table3054[[#This Row],[Column1]])</f>
        <v/>
      </c>
    </row>
    <row r="368" ht="17" customHeight="1" s="314">
      <c r="A368" s="35" t="inlineStr">
        <is>
          <t>for Deutz Diagnostic Scanner Tool for Deutz DeCOM SerDia Software Support CAN K/L-Line for Deutz DECOM Controllers Diagnosis kit with 4.0 Dongle Software</t>
        </is>
      </c>
      <c r="B368" s="35" t="inlineStr">
        <is>
          <t>B0CJ6JDW4Z</t>
        </is>
      </c>
      <c r="C368" s="35" t="inlineStr">
        <is>
          <t>VCI</t>
        </is>
      </c>
      <c r="D368" s="359" t="n">
        <v>1430</v>
      </c>
      <c r="E368" s="66" t="n">
        <v>15031.41</v>
      </c>
      <c r="F368" s="66" t="n">
        <v>0</v>
      </c>
      <c r="G368" s="68" t="n">
        <v>10</v>
      </c>
      <c r="H368" s="70" t="n">
        <v>0</v>
      </c>
      <c r="I368" s="68" t="n"/>
      <c r="J368" s="69" t="n"/>
      <c r="K368" s="69" t="inlineStr">
        <is>
          <t>https://amazon.com/dp/B0CJ6JDW4Z</t>
        </is>
      </c>
      <c r="L368" s="114">
        <f>HYPERLINK(Table3054[[#This Row],[Column1]])</f>
        <v/>
      </c>
    </row>
    <row r="369" ht="45" customHeight="1" s="314">
      <c r="A369" s="35" t="inlineStr">
        <is>
          <t>PT30+Cable Bundle-ELD Geosavi Buy America (PT30+Orange &amp; Gray Cable ForVolvoTrucks)</t>
        </is>
      </c>
      <c r="B369" s="35" t="inlineStr">
        <is>
          <t>B0CTTWQWXK</t>
        </is>
      </c>
      <c r="C369" s="35" t="inlineStr">
        <is>
          <t>Other</t>
        </is>
      </c>
      <c r="D369" s="359" t="n">
        <v>189.99</v>
      </c>
      <c r="E369" s="66" t="n">
        <v>1176.56</v>
      </c>
      <c r="F369" s="66" t="n">
        <v>0</v>
      </c>
      <c r="G369" s="68" t="n">
        <v>6</v>
      </c>
      <c r="H369" s="70" t="n">
        <v>0</v>
      </c>
      <c r="I369" s="68" t="n"/>
      <c r="J369" s="69" t="n"/>
      <c r="K369" s="69" t="inlineStr">
        <is>
          <t>https://amazon.com/dp/B0CTTWQWXK</t>
        </is>
      </c>
      <c r="L369" s="114">
        <f>HYPERLINK(Table3054[[#This Row],[Column1]])</f>
        <v/>
      </c>
    </row>
    <row r="370" ht="45" customHeight="1" s="314">
      <c r="A370" s="35" t="inlineStr">
        <is>
          <t>Scanner Diagnostic Tool Service System IDSS Hardware and Software Solution for Truck Diagnosis and Repair for Isuzu G-IDSS Products are unive (G-IDSS with Laptop)</t>
        </is>
      </c>
      <c r="B370" s="35" t="inlineStr">
        <is>
          <t>B0CLGSCRKN</t>
        </is>
      </c>
      <c r="C370" s="35" t="inlineStr">
        <is>
          <t>VCI</t>
        </is>
      </c>
      <c r="D370" s="359" t="n">
        <v>1782</v>
      </c>
      <c r="E370" s="66" t="n">
        <v>4662.71</v>
      </c>
      <c r="F370" s="66" t="n">
        <v>0</v>
      </c>
      <c r="G370" s="68" t="n">
        <v>3</v>
      </c>
      <c r="H370" s="70" t="n">
        <v>0</v>
      </c>
      <c r="I370" s="68" t="n"/>
      <c r="J370" s="69" t="n"/>
      <c r="K370" s="69" t="inlineStr">
        <is>
          <t>https://amazon.com/dp/B0CLGSCRKN</t>
        </is>
      </c>
      <c r="L370" s="114">
        <f>HYPERLINK(Table3054[[#This Row],[Column1]])</f>
        <v/>
      </c>
    </row>
    <row r="371" ht="30" customHeight="1" s="314">
      <c r="A371" s="35" t="inlineStr">
        <is>
          <t>LCD Screen for Autel MaxiCOM MX808 DS808 MP808 MK808 MK808TS MK808</t>
        </is>
      </c>
      <c r="B371" s="35" t="inlineStr">
        <is>
          <t>B0DSHVB5CH</t>
        </is>
      </c>
      <c r="C371" s="35" t="inlineStr">
        <is>
          <t>Tablet</t>
        </is>
      </c>
      <c r="D371" s="359" t="n">
        <v>58.9</v>
      </c>
      <c r="E371" s="66" t="n">
        <v>197.6</v>
      </c>
      <c r="F371" s="66" t="n">
        <v>0</v>
      </c>
      <c r="G371" s="68" t="n">
        <v>3</v>
      </c>
      <c r="H371" s="70" t="n">
        <v>0</v>
      </c>
      <c r="I371" s="68" t="n"/>
      <c r="J371" s="69" t="n"/>
      <c r="K371" s="69" t="inlineStr">
        <is>
          <t>https://amazon.com/dp/B0DSHVB5CH</t>
        </is>
      </c>
      <c r="L371" s="114">
        <f>HYPERLINK(Table3054[[#This Row],[Column1]])</f>
        <v/>
      </c>
    </row>
    <row r="372" ht="45" customHeight="1" s="314">
      <c r="A372" s="35" t="inlineStr">
        <is>
          <t>SDP3 2.50.1 for SCA-nia VCI-3 VCI3 Scanner WiFi Wireless SCAN Trucks Heavy Duty Diagnostic Tool</t>
        </is>
      </c>
      <c r="B372" s="35" t="inlineStr">
        <is>
          <t>B0CJ6JKXT1</t>
        </is>
      </c>
      <c r="C372" s="35" t="inlineStr">
        <is>
          <t>VCI</t>
        </is>
      </c>
      <c r="D372" s="359" t="n">
        <v>115</v>
      </c>
      <c r="E372" s="66" t="n">
        <v>886.51</v>
      </c>
      <c r="F372" s="66" t="n">
        <v>0</v>
      </c>
      <c r="G372" s="68" t="n">
        <v>7</v>
      </c>
      <c r="H372" s="70" t="n">
        <v>0</v>
      </c>
      <c r="I372" s="68" t="n"/>
      <c r="J372" s="69" t="n"/>
      <c r="K372" s="69" t="inlineStr">
        <is>
          <t>https://amazon.com/dp/B0CJ6JKXT1</t>
        </is>
      </c>
      <c r="L372" s="114">
        <f>HYPERLINK(Table3054[[#This Row],[Column1]])</f>
        <v/>
      </c>
    </row>
    <row r="373" ht="45" customHeight="1" s="314">
      <c r="A373" s="35" t="inlineStr">
        <is>
          <t>for Nexiq 3 121054 USB Link 3 Wired Edition,Universal Truck Excavator Diagnostic Scanner Repair for Heavy Duty Diesel Engine Code Reader Tool (Nexiq 3)</t>
        </is>
      </c>
      <c r="B373" s="35" t="inlineStr">
        <is>
          <t>B0FNR1N6TM</t>
        </is>
      </c>
      <c r="C373" s="35" t="inlineStr">
        <is>
          <t>VCI</t>
        </is>
      </c>
      <c r="D373" s="359" t="n">
        <v>658</v>
      </c>
      <c r="E373" s="66" t="n">
        <v>2609.97</v>
      </c>
      <c r="F373" s="66" t="n">
        <v>0</v>
      </c>
      <c r="G373" s="68" t="n">
        <v>5</v>
      </c>
      <c r="H373" s="70" t="n">
        <v>0</v>
      </c>
      <c r="I373" s="68" t="n"/>
      <c r="J373" s="69" t="n"/>
      <c r="K373" s="69" t="inlineStr">
        <is>
          <t>https://amazon.com/dp/B0FNR1N6TM</t>
        </is>
      </c>
      <c r="L373" s="114">
        <f>HYPERLINK(Table3054[[#This Row],[Column1]])</f>
        <v/>
      </c>
    </row>
    <row r="374" ht="30" customHeight="1" s="314">
      <c r="A374" s="35" t="inlineStr">
        <is>
          <t>88894000 for Vocom II Communications Unit Adapter - Diagnostic Tool with Software for Trucks, Excavators, Buses and Yachts (Tool with Laptop CF53)</t>
        </is>
      </c>
      <c r="B374" s="35" t="inlineStr">
        <is>
          <t>B0FH4RW9GG</t>
        </is>
      </c>
      <c r="C374" s="35" t="inlineStr">
        <is>
          <t>VCI</t>
        </is>
      </c>
      <c r="D374" s="359" t="n">
        <v>920</v>
      </c>
      <c r="E374" s="66" t="n">
        <v>950.99</v>
      </c>
      <c r="F374" s="66" t="n">
        <v>0</v>
      </c>
      <c r="G374" s="68" t="n">
        <v>1</v>
      </c>
      <c r="H374" s="70" t="n">
        <v>0</v>
      </c>
      <c r="I374" s="68" t="n"/>
      <c r="J374" s="69" t="n"/>
      <c r="K374" s="69" t="inlineStr">
        <is>
          <t>https://amazon.com/dp/B0FH4RW9GG</t>
        </is>
      </c>
      <c r="L374" s="114">
        <f>HYPERLINK(Table3054[[#This Row],[Column1]])</f>
        <v/>
      </c>
    </row>
    <row r="375" ht="45" customHeight="1" s="314">
      <c r="A375" s="35" t="inlineStr">
        <is>
          <t>for Nexiq 3 121054 USB Link 3 Wired Edition,Universal Truck Excavator Diagnostic Scanner Repair for Heavy Duty Diesel Engine Code Reader Tool (Nexiq3 Laptop with All Software)</t>
        </is>
      </c>
      <c r="B375" s="35" t="inlineStr">
        <is>
          <t>B0FNR29DJB</t>
        </is>
      </c>
      <c r="C375" s="35" t="inlineStr">
        <is>
          <t>VCI</t>
        </is>
      </c>
      <c r="D375" s="359" t="n">
        <v>1499</v>
      </c>
      <c r="E375" s="66" t="n">
        <v>0</v>
      </c>
      <c r="F375" s="66" t="n">
        <v>0</v>
      </c>
      <c r="G375" s="68" t="n">
        <v>0</v>
      </c>
      <c r="H375" s="70" t="n">
        <v>0</v>
      </c>
      <c r="I375" s="68" t="n"/>
      <c r="J375" s="69" t="n"/>
      <c r="K375" s="69" t="inlineStr">
        <is>
          <t>https://amazon.com/dp/B0FNR29DJB</t>
        </is>
      </c>
      <c r="L375" s="114">
        <f>HYPERLINK(Table3054[[#This Row],[Column1]])</f>
        <v/>
      </c>
    </row>
    <row r="376" ht="45" customHeight="1" s="314">
      <c r="A376" s="35" t="inlineStr">
        <is>
          <t>OBD2 USB KKL COM 409.1 Interface V-AG 409.1 with FT232RL Chip</t>
        </is>
      </c>
      <c r="B376" s="35" t="inlineStr">
        <is>
          <t>B0D6GVTD8S</t>
        </is>
      </c>
      <c r="C376" s="35" t="inlineStr">
        <is>
          <t>Cable/Adapter</t>
        </is>
      </c>
      <c r="D376" s="359" t="n">
        <v>14.99</v>
      </c>
      <c r="E376" s="66" t="n">
        <v>1005.84</v>
      </c>
      <c r="F376" s="66" t="n">
        <v>0</v>
      </c>
      <c r="G376" s="68" t="n">
        <v>62</v>
      </c>
      <c r="H376" s="70" t="n">
        <v>0</v>
      </c>
      <c r="I376" s="68" t="n">
        <v>7</v>
      </c>
      <c r="J376" s="69" t="n">
        <v>4.1</v>
      </c>
      <c r="K376" s="69" t="inlineStr">
        <is>
          <t>https://amazon.com/dp/B0D6GVTD8S</t>
        </is>
      </c>
      <c r="L376" s="114">
        <f>HYPERLINK(Table3054[[#This Row],[Column1]])</f>
        <v/>
      </c>
    </row>
    <row r="377" ht="45" customHeight="1" s="314">
      <c r="A377" s="35" t="inlineStr">
        <is>
          <t>317-7485 for Caterpillar ET3 Communication Adapter Diagnostic Tool Truck Excavator Engine with 2019C 6+9+14pin Cable</t>
        </is>
      </c>
      <c r="B377" s="35" t="inlineStr">
        <is>
          <t>B0CJ6JS9M1</t>
        </is>
      </c>
      <c r="C377" s="35" t="inlineStr">
        <is>
          <t>VCI</t>
        </is>
      </c>
      <c r="D377" s="359" t="n">
        <v>260</v>
      </c>
      <c r="E377" s="66" t="n">
        <v>1786.74</v>
      </c>
      <c r="F377" s="66" t="n">
        <v>0</v>
      </c>
      <c r="G377" s="68" t="n">
        <v>7</v>
      </c>
      <c r="H377" s="70" t="n">
        <v>0</v>
      </c>
      <c r="I377" s="68" t="n">
        <v>3</v>
      </c>
      <c r="J377" s="69" t="n">
        <v>2.2</v>
      </c>
      <c r="K377" s="69" t="inlineStr">
        <is>
          <t>https://amazon.com/dp/B0CJ6JS9M1</t>
        </is>
      </c>
      <c r="L377" s="114">
        <f>HYPERLINK(Table3054[[#This Row],[Column1]])</f>
        <v/>
      </c>
    </row>
    <row r="378" ht="45" customHeight="1" s="314">
      <c r="A378" s="35" t="inlineStr">
        <is>
          <t>Diagnostic for DOOSAN uvim Scanner kit Heavy Duty Communication Interface Forklift Excavator Loader Diagnostic Tool (Tool with 2024 Software)</t>
        </is>
      </c>
      <c r="B378" s="35" t="inlineStr">
        <is>
          <t>B0CJTYN26R</t>
        </is>
      </c>
      <c r="C378" s="35" t="inlineStr">
        <is>
          <t>VCI</t>
        </is>
      </c>
      <c r="D378" s="359" t="n">
        <v>895</v>
      </c>
      <c r="E378" s="66" t="n">
        <v>3833.6</v>
      </c>
      <c r="F378" s="66" t="n">
        <v>0</v>
      </c>
      <c r="G378" s="68" t="n">
        <v>5</v>
      </c>
      <c r="H378" s="70" t="n">
        <v>0</v>
      </c>
      <c r="I378" s="68" t="n"/>
      <c r="J378" s="69" t="n"/>
      <c r="K378" s="69" t="inlineStr">
        <is>
          <t>https://amazon.com/dp/B0CJTYN26R</t>
        </is>
      </c>
      <c r="L378" s="114">
        <f>HYPERLINK(Table3054[[#This Row],[Column1]])</f>
        <v/>
      </c>
    </row>
    <row r="379" ht="30" customHeight="1" s="314">
      <c r="A379" s="35" t="inlineStr">
        <is>
          <t>478-0235 538-5051 317-7485 ET4 Communication Adapter 3 2023A 2021B 2019C for Caterpillar Adapter 3 Heavy Duty Truck Diagnostic Tool (with Laptop)</t>
        </is>
      </c>
      <c r="B379" s="35" t="inlineStr">
        <is>
          <t>B0CJ6JK5Q4</t>
        </is>
      </c>
      <c r="C379" s="35" t="inlineStr">
        <is>
          <t>VCI</t>
        </is>
      </c>
      <c r="D379" s="359" t="n">
        <v>800</v>
      </c>
      <c r="E379" s="66" t="n">
        <v>5124.71</v>
      </c>
      <c r="F379" s="66" t="n">
        <v>0</v>
      </c>
      <c r="G379" s="68" t="n">
        <v>7</v>
      </c>
      <c r="H379" s="70" t="n">
        <v>0</v>
      </c>
      <c r="I379" s="68" t="n">
        <v>4</v>
      </c>
      <c r="J379" s="69" t="n">
        <v>3.8</v>
      </c>
      <c r="K379" s="69" t="inlineStr">
        <is>
          <t>https://amazon.com/dp/B0CJ6JK5Q4</t>
        </is>
      </c>
      <c r="L379" s="114">
        <f>HYPERLINK(Table3054[[#This Row],[Column1]])</f>
        <v/>
      </c>
    </row>
    <row r="380" ht="45" customHeight="1" s="314">
      <c r="A380" s="35" t="inlineStr">
        <is>
          <t>Diagnostic for DOOSAN uvim Scanner kit Heavy Duty Communication Interface Forklift Excavator Loader Diagnostic Tool (2016 Software)</t>
        </is>
      </c>
      <c r="B380" s="35" t="inlineStr">
        <is>
          <t>B0CJTWYTVB</t>
        </is>
      </c>
      <c r="C380" s="35" t="inlineStr">
        <is>
          <t>VCI</t>
        </is>
      </c>
      <c r="D380" s="359" t="n">
        <v>880</v>
      </c>
      <c r="E380" s="66" t="n">
        <v>12320.74</v>
      </c>
      <c r="F380" s="66" t="n">
        <v>0</v>
      </c>
      <c r="G380" s="68" t="n">
        <v>15</v>
      </c>
      <c r="H380" s="70" t="n">
        <v>0</v>
      </c>
      <c r="I380" s="68" t="n"/>
      <c r="J380" s="69" t="n"/>
      <c r="K380" s="69" t="inlineStr">
        <is>
          <t>https://amazon.com/dp/B0CJTWYTVB</t>
        </is>
      </c>
      <c r="L380" s="114">
        <f>HYPERLINK(Table3054[[#This Row],[Column1]])</f>
        <v/>
      </c>
    </row>
    <row r="381" ht="45" customHeight="1" s="314">
      <c r="A381" s="35" t="inlineStr">
        <is>
          <t>V750 OBDII Auto Scanner Diagnostic Tool for 12V Cars, Check Engine Light Fault Code Reader, CAN EOBD Scanner for 1996+ Vehicles Scan Tool</t>
        </is>
      </c>
      <c r="B381" s="35" t="inlineStr">
        <is>
          <t>B0GWFJDBN3</t>
        </is>
      </c>
      <c r="C381" s="35" t="inlineStr">
        <is>
          <t>Handheld</t>
        </is>
      </c>
      <c r="D381" s="359" t="n">
        <v>17.99</v>
      </c>
      <c r="E381" s="66" t="n">
        <v>0</v>
      </c>
      <c r="F381" s="66" t="n">
        <v>0</v>
      </c>
      <c r="G381" s="68" t="n">
        <v>0</v>
      </c>
      <c r="H381" s="70" t="n">
        <v>0</v>
      </c>
      <c r="I381" s="68" t="n"/>
      <c r="J381" s="69" t="n"/>
      <c r="K381" s="69" t="inlineStr">
        <is>
          <t>https://amazon.com/dp/B0GWFJDBN3</t>
        </is>
      </c>
      <c r="L381" s="114">
        <f>HYPERLINK(Table3054[[#This Row],[Column1]])</f>
        <v/>
      </c>
    </row>
    <row r="382" ht="45" customHeight="1" s="314">
      <c r="A382" s="35" t="inlineStr">
        <is>
          <t>NEXIQ USB Link 3 Wired Bundle with J560 PLC Adapter</t>
        </is>
      </c>
      <c r="B382" s="35" t="inlineStr">
        <is>
          <t>B0D684VLV2</t>
        </is>
      </c>
      <c r="C382" s="35" t="inlineStr">
        <is>
          <t>VCI</t>
        </is>
      </c>
      <c r="D382" s="359" t="n">
        <v>1075</v>
      </c>
      <c r="E382" s="66" t="n">
        <v>9326.380000000001</v>
      </c>
      <c r="F382" s="66" t="n">
        <v>0</v>
      </c>
      <c r="G382" s="68" t="n">
        <v>10</v>
      </c>
      <c r="H382" s="70" t="n">
        <v>0</v>
      </c>
      <c r="I382" s="68" t="n"/>
      <c r="J382" s="69" t="n"/>
      <c r="K382" s="69" t="inlineStr">
        <is>
          <t>https://amazon.com/dp/B0D684VLV2</t>
        </is>
      </c>
      <c r="L382" s="114">
        <f>HYPERLINK(Table3054[[#This Row],[Column1]])</f>
        <v/>
      </c>
    </row>
    <row r="383" ht="45" customHeight="1" s="314">
      <c r="A383" s="35" t="inlineStr">
        <is>
          <t>EOKING OBD2 Scanner Diagnostic Tool, Check Engine Code Reader OBD2 Scanner with Reset 65,000+DTCs Auto Check Engine Light Fixd Car Scan OBD/EOBD Reset &amp; I/M for All OBDII Vehicles Since 1996 &amp; Newer</t>
        </is>
      </c>
      <c r="B383" s="35" t="inlineStr">
        <is>
          <t>B0D8TF3XR6</t>
        </is>
      </c>
      <c r="C383" s="35" t="inlineStr">
        <is>
          <t>Handheld</t>
        </is>
      </c>
      <c r="D383" s="359" t="n">
        <v>49.99</v>
      </c>
      <c r="E383" s="66" t="n">
        <v>933.48</v>
      </c>
      <c r="F383" s="66" t="n">
        <v>0</v>
      </c>
      <c r="G383" s="68" t="n">
        <v>29</v>
      </c>
      <c r="H383" s="70" t="n">
        <v>0</v>
      </c>
      <c r="I383" s="68" t="n">
        <v>71</v>
      </c>
      <c r="J383" s="69" t="n">
        <v>3.9</v>
      </c>
      <c r="K383" s="69" t="inlineStr">
        <is>
          <t>https://amazon.com/dp/B0D8TF3XR6</t>
        </is>
      </c>
      <c r="L383" s="114">
        <f>HYPERLINK(Table3054[[#This Row],[Column1]])</f>
        <v/>
      </c>
    </row>
    <row r="384" ht="30" customHeight="1" s="314">
      <c r="A384" s="35" t="inlineStr">
        <is>
          <t>Diagnostic Cable Fit for Paccar MX13 EPA17 ACM,for Heavy Duty/Commercial Vehicles,Engine Diagnose Issues Wiring Harness</t>
        </is>
      </c>
      <c r="B384" s="35" t="inlineStr">
        <is>
          <t>B0G1LLDH6C</t>
        </is>
      </c>
      <c r="C384" s="35" t="inlineStr">
        <is>
          <t>Cable/Adapter</t>
        </is>
      </c>
      <c r="D384" s="359" t="n">
        <v>59.99</v>
      </c>
      <c r="E384" s="66" t="n">
        <v>854.09</v>
      </c>
      <c r="F384" s="66" t="n">
        <v>0</v>
      </c>
      <c r="G384" s="68" t="n">
        <v>10</v>
      </c>
      <c r="H384" s="70" t="n">
        <v>0</v>
      </c>
      <c r="I384" s="68" t="n">
        <v>1</v>
      </c>
      <c r="J384" s="69" t="n">
        <v>1</v>
      </c>
      <c r="K384" s="69" t="inlineStr">
        <is>
          <t>https://amazon.com/dp/B0G1LLDH6C</t>
        </is>
      </c>
      <c r="L384" s="114">
        <f>HYPERLINK(Table3054[[#This Row],[Column1]])</f>
        <v/>
      </c>
    </row>
    <row r="385" ht="30" customHeight="1" s="314">
      <c r="A385" s="35" t="inlineStr">
        <is>
          <t>DC24K Bluetooth OBD2 Scanner Diagnostic Tool 24V for iOS &amp; Android | Car Code Reader &amp; Engine Light Reset | Wireless Car Computer Diagnostic | OBDII Scanner for All Vehicles (RED)</t>
        </is>
      </c>
      <c r="B385" s="35" t="inlineStr">
        <is>
          <t>B0F8H9MCNW</t>
        </is>
      </c>
      <c r="C385" s="35" t="inlineStr">
        <is>
          <t>Dongle</t>
        </is>
      </c>
      <c r="D385" s="359" t="n">
        <v>34.99</v>
      </c>
      <c r="E385" s="66" t="n">
        <v>545.89</v>
      </c>
      <c r="F385" s="66" t="n">
        <v>0</v>
      </c>
      <c r="G385" s="68" t="n">
        <v>17</v>
      </c>
      <c r="H385" s="70" t="n">
        <v>0</v>
      </c>
      <c r="I385" s="68" t="n">
        <v>3</v>
      </c>
      <c r="J385" s="69" t="n">
        <v>3.4</v>
      </c>
      <c r="K385" s="69" t="inlineStr">
        <is>
          <t>https://amazon.com/dp/B0F8H9MCNW</t>
        </is>
      </c>
      <c r="L385" s="114">
        <f>HYPERLINK(Table3054[[#This Row],[Column1]])</f>
        <v/>
      </c>
    </row>
    <row r="386" ht="17" customHeight="1" s="314">
      <c r="A386" s="35" t="inlineStr">
        <is>
          <t>DC24K Bluetooth OBD2 Scanner Diagnostic Tool 24V for iOS &amp; Android | Car Code Reader &amp; Engine Light Reset | Wireless Car Computer Diagnostic | OBDII Scanner for All Vehicles (Black)</t>
        </is>
      </c>
      <c r="B386" s="35" t="inlineStr">
        <is>
          <t>B0F8HHHCB4</t>
        </is>
      </c>
      <c r="C386" s="35" t="inlineStr">
        <is>
          <t>Dongle</t>
        </is>
      </c>
      <c r="D386" s="359" t="n">
        <v>34.99</v>
      </c>
      <c r="E386" s="66" t="n">
        <v>543.96</v>
      </c>
      <c r="F386" s="66" t="n">
        <v>0</v>
      </c>
      <c r="G386" s="68" t="n">
        <v>17</v>
      </c>
      <c r="H386" s="70" t="n">
        <v>0</v>
      </c>
      <c r="I386" s="68" t="n">
        <v>3</v>
      </c>
      <c r="J386" s="69" t="n">
        <v>3.4</v>
      </c>
      <c r="K386" s="69" t="inlineStr">
        <is>
          <t>https://amazon.com/dp/B0F8HHHCB4</t>
        </is>
      </c>
      <c r="L386" s="114">
        <f>HYPERLINK(Table3054[[#This Row],[Column1]])</f>
        <v/>
      </c>
    </row>
    <row r="387" ht="30" customHeight="1" s="314">
      <c r="A387" s="35" t="inlineStr">
        <is>
          <t>DC24K Bluetooth OBD2 Scanner Diagnostic Tool 24V for iOS &amp; Android | Car Code Reader &amp; Engine Light Reset | Wireless Car Computer Diagnostic | OBDII Scanner for All Vehicles (Green)</t>
        </is>
      </c>
      <c r="B387" s="35" t="inlineStr">
        <is>
          <t>B0F8HFRDHR</t>
        </is>
      </c>
      <c r="C387" s="35" t="inlineStr">
        <is>
          <t>Dongle</t>
        </is>
      </c>
      <c r="D387" s="359" t="n">
        <v>34.99</v>
      </c>
      <c r="E387" s="66" t="n">
        <v>545.3500000000001</v>
      </c>
      <c r="F387" s="66" t="n">
        <v>0</v>
      </c>
      <c r="G387" s="68" t="n">
        <v>16</v>
      </c>
      <c r="H387" s="70" t="n">
        <v>0</v>
      </c>
      <c r="I387" s="68" t="n">
        <v>3</v>
      </c>
      <c r="J387" s="69" t="n">
        <v>3.4</v>
      </c>
      <c r="K387" s="69" t="inlineStr">
        <is>
          <t>https://amazon.com/dp/B0F8HFRDHR</t>
        </is>
      </c>
      <c r="L387" s="114">
        <f>HYPERLINK(Table3054[[#This Row],[Column1]])</f>
        <v/>
      </c>
    </row>
    <row r="388" ht="45" customHeight="1" s="314">
      <c r="A388" s="35" t="inlineStr">
        <is>
          <t>OBD2 Scanner Code Reader – Plug-in Car Diagnostic Tool for Check Engine Light – Compatible with Most 1996 &amp; Newer Cars, Trucks &amp; SUVs – Easy-to-Use OBD II Reader for DIY Mechanics</t>
        </is>
      </c>
      <c r="B388" s="35" t="inlineStr">
        <is>
          <t>B0CVKZNZPJ</t>
        </is>
      </c>
      <c r="C388" s="35" t="inlineStr">
        <is>
          <t>Handheld</t>
        </is>
      </c>
      <c r="D388" s="359" t="n">
        <v>49.95</v>
      </c>
      <c r="E388" s="66" t="n">
        <v>1323.26</v>
      </c>
      <c r="F388" s="66" t="n">
        <v>0</v>
      </c>
      <c r="G388" s="68" t="n">
        <v>35</v>
      </c>
      <c r="H388" s="70" t="n">
        <v>0</v>
      </c>
      <c r="I388" s="68" t="n">
        <v>45</v>
      </c>
      <c r="J388" s="69" t="n">
        <v>4.5</v>
      </c>
      <c r="K388" s="69" t="inlineStr">
        <is>
          <t>https://amazon.com/dp/B0CVKZNZPJ</t>
        </is>
      </c>
      <c r="L388" s="114">
        <f>HYPERLINK(Table3054[[#This Row],[Column1]])</f>
        <v/>
      </c>
    </row>
    <row r="389" ht="45" customHeight="1" s="314">
      <c r="A389" s="35" t="inlineStr">
        <is>
          <t>HPT MPVI4 Diagnostic Code Reader Scanner and Tool</t>
        </is>
      </c>
      <c r="B389" s="35" t="inlineStr">
        <is>
          <t>B0GWCVGPKN</t>
        </is>
      </c>
      <c r="C389" s="35" t="inlineStr">
        <is>
          <t>Dongle</t>
        </is>
      </c>
      <c r="D389" s="359" t="n">
        <v>399.99</v>
      </c>
      <c r="E389" s="66" t="n">
        <v>0</v>
      </c>
      <c r="F389" s="66" t="n">
        <v>0</v>
      </c>
      <c r="G389" s="68" t="n">
        <v>0</v>
      </c>
      <c r="H389" s="70" t="n">
        <v>0</v>
      </c>
      <c r="I389" s="68" t="n"/>
      <c r="J389" s="69" t="n"/>
      <c r="K389" s="69" t="inlineStr">
        <is>
          <t>https://amazon.com/dp/B0GWCVGPKN</t>
        </is>
      </c>
      <c r="L389" s="114">
        <f>HYPERLINK(Table3054[[#This Row],[Column1]])</f>
        <v/>
      </c>
    </row>
    <row r="390" ht="17" customHeight="1" s="314">
      <c r="A390" s="35" t="inlineStr">
        <is>
          <t>Generic NEXIQ J1962 Adapter (16-Pin OBD II) - 1 Meter, Black, 493113</t>
        </is>
      </c>
      <c r="B390" s="35" t="inlineStr">
        <is>
          <t>B0CRVW3MQT</t>
        </is>
      </c>
      <c r="C390" s="35" t="inlineStr">
        <is>
          <t>Cable/Adapter</t>
        </is>
      </c>
      <c r="D390" s="359" t="n">
        <v>183.75</v>
      </c>
      <c r="E390" s="66" t="n">
        <v>6052.94</v>
      </c>
      <c r="F390" s="66" t="n">
        <v>0</v>
      </c>
      <c r="G390" s="68" t="n">
        <v>34</v>
      </c>
      <c r="H390" s="70" t="n">
        <v>0</v>
      </c>
      <c r="I390" s="68" t="n">
        <v>4</v>
      </c>
      <c r="J390" s="69" t="n">
        <v>3.6</v>
      </c>
      <c r="K390" s="69" t="inlineStr">
        <is>
          <t>https://amazon.com/dp/B0CRVW3MQT</t>
        </is>
      </c>
      <c r="L390" s="114">
        <f>HYPERLINK(Table3054[[#This Row],[Column1]])</f>
        <v/>
      </c>
    </row>
    <row r="391" ht="45" customHeight="1" s="314">
      <c r="A391" s="35" t="inlineStr">
        <is>
          <t>OBD2 Scanner MaxiScan MS309 Car Check Engine Code Reader, Check Emission Monitor Status, CAN Diagnostic Scan Tool for All OBD II Protocol Vehicles After 1996</t>
        </is>
      </c>
      <c r="B391" s="35" t="inlineStr">
        <is>
          <t>B0CPLZ7CC5</t>
        </is>
      </c>
      <c r="C391" s="35" t="inlineStr">
        <is>
          <t>Handheld</t>
        </is>
      </c>
      <c r="D391" s="359" t="n">
        <v>14.99</v>
      </c>
      <c r="E391" s="66" t="n">
        <v>110.41</v>
      </c>
      <c r="F391" s="66" t="n">
        <v>0</v>
      </c>
      <c r="G391" s="68" t="n">
        <v>7</v>
      </c>
      <c r="H391" s="70" t="n">
        <v>0</v>
      </c>
      <c r="I391" s="68" t="n">
        <v>2</v>
      </c>
      <c r="J391" s="69" t="n">
        <v>4.6</v>
      </c>
      <c r="K391" s="69" t="inlineStr">
        <is>
          <t>https://amazon.com/dp/B0CPLZ7CC5</t>
        </is>
      </c>
      <c r="L391" s="114">
        <f>HYPERLINK(Table3054[[#This Row],[Column1]])</f>
        <v/>
      </c>
    </row>
    <row r="392" ht="45" customHeight="1" s="314">
      <c r="A392" s="35" t="inlineStr">
        <is>
          <t>VTech OBD2 Bluetooth Scanner Car Diagnostic Tool, Auto Code Reader with Real-time Data, Engine Fault Check for Android iOS Windows, 2-Pack Value Bundle</t>
        </is>
      </c>
      <c r="B392" s="35" t="inlineStr">
        <is>
          <t>B0GMDGH1CB</t>
        </is>
      </c>
      <c r="C392" s="35" t="inlineStr">
        <is>
          <t>Handheld</t>
        </is>
      </c>
      <c r="D392" s="359" t="n">
        <v>25.94</v>
      </c>
      <c r="E392" s="66" t="n">
        <v>91.73999999999999</v>
      </c>
      <c r="F392" s="66" t="n">
        <v>0</v>
      </c>
      <c r="G392" s="68" t="n">
        <v>4</v>
      </c>
      <c r="H392" s="70" t="n">
        <v>0</v>
      </c>
      <c r="I392" s="68" t="n"/>
      <c r="J392" s="69" t="n"/>
      <c r="K392" s="69" t="inlineStr">
        <is>
          <t>https://amazon.com/dp/B0GMDGH1CB</t>
        </is>
      </c>
      <c r="L392" s="114">
        <f>HYPERLINK(Table3054[[#This Row],[Column1]])</f>
        <v/>
      </c>
    </row>
    <row r="393" ht="45" customHeight="1" s="314">
      <c r="A393" s="35" t="inlineStr">
        <is>
          <t>for Z-TEK FTDI chip USB Connector for Wintrac Thermo King Diagnostic Tool with V5.7 Software Diagnostic Cable Auto Scanner</t>
        </is>
      </c>
      <c r="B393" s="35" t="inlineStr">
        <is>
          <t>B0CJHK9F2Y</t>
        </is>
      </c>
      <c r="C393" s="35" t="inlineStr">
        <is>
          <t>Cable/Adapter</t>
        </is>
      </c>
      <c r="D393" s="359" t="n">
        <v>264</v>
      </c>
      <c r="E393" s="66" t="n">
        <v>2757.63</v>
      </c>
      <c r="F393" s="66" t="n">
        <v>0</v>
      </c>
      <c r="G393" s="68" t="n">
        <v>11</v>
      </c>
      <c r="H393" s="70" t="n">
        <v>0</v>
      </c>
      <c r="I393" s="68" t="n"/>
      <c r="J393" s="69" t="n"/>
      <c r="K393" s="69" t="inlineStr">
        <is>
          <t>https://amazon.com/dp/B0CJHK9F2Y</t>
        </is>
      </c>
      <c r="L393" s="114">
        <f>HYPERLINK(Table3054[[#This Row],[Column1]])</f>
        <v/>
      </c>
    </row>
    <row r="394" ht="45" customHeight="1" s="314">
      <c r="A394" s="35" t="inlineStr">
        <is>
          <t>ET-4 478-0235 538-5051 Diagnostic Adapter Tool for Cat Heavy Equipment, Truck Excavator CAT ET4 Diagnostic Tool (ET4 with Software v2025A) (Tool with Software,Small)</t>
        </is>
      </c>
      <c r="B394" s="35" t="inlineStr">
        <is>
          <t>B0FHDMZDM6</t>
        </is>
      </c>
      <c r="C394" s="35" t="inlineStr">
        <is>
          <t>VCI</t>
        </is>
      </c>
      <c r="D394" s="359" t="n">
        <v>337</v>
      </c>
      <c r="E394" s="66" t="n">
        <v>0</v>
      </c>
      <c r="F394" s="66" t="n">
        <v>0</v>
      </c>
      <c r="G394" s="68" t="n">
        <v>0</v>
      </c>
      <c r="H394" s="70" t="n">
        <v>0</v>
      </c>
      <c r="I394" s="68" t="n"/>
      <c r="J394" s="69" t="n"/>
      <c r="K394" s="69" t="inlineStr">
        <is>
          <t>https://amazon.com/dp/B0FHDMZDM6</t>
        </is>
      </c>
      <c r="L394" s="114">
        <f>HYPERLINK(Table3054[[#This Row],[Column1]])</f>
        <v/>
      </c>
    </row>
    <row r="395" ht="30" customHeight="1" s="314">
      <c r="A395" s="35" t="inlineStr">
        <is>
          <t>Heavy Duty Cable Diagnostic Tool Tester MPDR Software 3.9 The Latest Version for EX Dr Full Range of Excavator</t>
        </is>
      </c>
      <c r="B395" s="35" t="inlineStr">
        <is>
          <t>B0CHF8557B</t>
        </is>
      </c>
      <c r="C395" s="35" t="inlineStr">
        <is>
          <t>Cable/Adapter</t>
        </is>
      </c>
      <c r="D395" s="359" t="n">
        <v>171.6</v>
      </c>
      <c r="E395" s="66" t="n">
        <v>0</v>
      </c>
      <c r="F395" s="66" t="n">
        <v>0</v>
      </c>
      <c r="G395" s="68" t="n">
        <v>0</v>
      </c>
      <c r="H395" s="70" t="n">
        <v>0</v>
      </c>
      <c r="I395" s="68" t="n"/>
      <c r="J395" s="69" t="n"/>
      <c r="K395" s="69" t="inlineStr">
        <is>
          <t>https://amazon.com/dp/B0CHF8557B</t>
        </is>
      </c>
      <c r="L395" s="114">
        <f>HYPERLINK(Table3054[[#This Row],[Column1]])</f>
        <v/>
      </c>
    </row>
    <row r="396" ht="45" customHeight="1" s="314">
      <c r="A396" s="35" t="inlineStr">
        <is>
          <t>Car OBD2 Scanner, Diagnostic Error Finder, Fault Code Detection and Real-Time Data Stream, Compatible with All OBD II Protocol Vehicles from 1996+</t>
        </is>
      </c>
      <c r="B396" s="35" t="inlineStr">
        <is>
          <t>B0G4QSCH81</t>
        </is>
      </c>
      <c r="C396" s="35" t="inlineStr">
        <is>
          <t>Handheld</t>
        </is>
      </c>
      <c r="D396" s="359" t="n">
        <v>39.9</v>
      </c>
      <c r="E396" s="66" t="n">
        <v>58.21</v>
      </c>
      <c r="F396" s="66" t="n">
        <v>0</v>
      </c>
      <c r="G396" s="68" t="n">
        <v>1</v>
      </c>
      <c r="H396" s="70" t="n">
        <v>0</v>
      </c>
      <c r="I396" s="68" t="n"/>
      <c r="J396" s="69" t="n"/>
      <c r="K396" s="69" t="inlineStr">
        <is>
          <t>https://amazon.com/dp/B0G4QSCH81</t>
        </is>
      </c>
      <c r="L396" s="114">
        <f>HYPERLINK(Table3054[[#This Row],[Column1]])</f>
        <v/>
      </c>
    </row>
    <row r="397" ht="17" customHeight="1" s="314">
      <c r="A397" s="35" t="inlineStr">
        <is>
          <t>MS310 Automobile Diagnostic Instrument Car Engine Fault Code Reader CAN Tool OBD II Scanner LCD OBD2/EOBD for All OBD2 Vehicles Since 1996&amp;Newer</t>
        </is>
      </c>
      <c r="B397" s="35" t="inlineStr">
        <is>
          <t>B0DFH2V1V5</t>
        </is>
      </c>
      <c r="C397" s="35" t="inlineStr">
        <is>
          <t>Handheld</t>
        </is>
      </c>
      <c r="D397" s="359" t="n">
        <v>29.99</v>
      </c>
      <c r="E397" s="66" t="n">
        <v>61.43</v>
      </c>
      <c r="F397" s="66" t="n">
        <v>0</v>
      </c>
      <c r="G397" s="68" t="n">
        <v>2</v>
      </c>
      <c r="H397" s="70" t="n">
        <v>0</v>
      </c>
      <c r="I397" s="68" t="n"/>
      <c r="J397" s="69" t="n"/>
      <c r="K397" s="69" t="inlineStr">
        <is>
          <t>https://amazon.com/dp/B0DFH2V1V5</t>
        </is>
      </c>
      <c r="L397" s="114">
        <f>HYPERLINK(Table3054[[#This Row],[Column1]])</f>
        <v/>
      </c>
    </row>
    <row r="398" ht="45" customHeight="1" s="314">
      <c r="A398" s="35" t="inlineStr">
        <is>
          <t>for AK90+ AK90 Auto Key Programmer for EWS Version V3.19 AK90 Key Maker for Programming Tool</t>
        </is>
      </c>
      <c r="B398" s="35" t="inlineStr">
        <is>
          <t>B0FC6M4J5H</t>
        </is>
      </c>
      <c r="C398" s="35" t="inlineStr">
        <is>
          <t>Handheld</t>
        </is>
      </c>
      <c r="D398" s="359" t="n">
        <v>39</v>
      </c>
      <c r="E398" s="66" t="n">
        <v>1202.38</v>
      </c>
      <c r="F398" s="66" t="n">
        <v>0</v>
      </c>
      <c r="G398" s="68" t="n">
        <v>31</v>
      </c>
      <c r="H398" s="70" t="n">
        <v>0</v>
      </c>
      <c r="I398" s="68" t="n">
        <v>5</v>
      </c>
      <c r="J398" s="69" t="n">
        <v>2.7</v>
      </c>
      <c r="K398" s="69" t="inlineStr">
        <is>
          <t>https://amazon.com/dp/B0FC6M4J5H</t>
        </is>
      </c>
      <c r="L398" s="114">
        <f>HYPERLINK(Table3054[[#This Row],[Column1]])</f>
        <v/>
      </c>
    </row>
    <row r="399" ht="45" customHeight="1" s="314">
      <c r="A399" s="35" t="inlineStr">
        <is>
          <t>VN-CI 6154A Diagnostic Scanner for VW/Audi/Skoda/Seat Vehicles, Compatible with origianl ODIS Driver and Software.</t>
        </is>
      </c>
      <c r="B399" s="35" t="inlineStr">
        <is>
          <t>B0FX3SQSSG</t>
        </is>
      </c>
      <c r="C399" s="35" t="inlineStr">
        <is>
          <t>Cable/Adapter</t>
        </is>
      </c>
      <c r="D399" s="359" t="n">
        <v>215</v>
      </c>
      <c r="E399" s="66" t="n">
        <v>388.34</v>
      </c>
      <c r="F399" s="66" t="n">
        <v>0</v>
      </c>
      <c r="G399" s="68" t="n">
        <v>2</v>
      </c>
      <c r="H399" s="70" t="n">
        <v>0</v>
      </c>
      <c r="I399" s="68" t="n"/>
      <c r="J399" s="69" t="n"/>
      <c r="K399" s="69" t="inlineStr">
        <is>
          <t>https://amazon.com/dp/B0FX3SQSSG</t>
        </is>
      </c>
      <c r="L399" s="114">
        <f>HYPERLINK(Table3054[[#This Row],[Column1]])</f>
        <v/>
      </c>
    </row>
    <row r="400" ht="45" customHeight="1" s="314">
      <c r="A400" s="35" t="inlineStr">
        <is>
          <t>V100 Professional OBD2 Scanner, Car Diagnostic Code Reader, Red, LCD Display, Multi-Protocol Support, Compatible with Vehicles After 1996, 9 Languages (Black)</t>
        </is>
      </c>
      <c r="B400" s="35" t="inlineStr">
        <is>
          <t>B0FGQ9ZFCV</t>
        </is>
      </c>
      <c r="C400" s="35" t="inlineStr">
        <is>
          <t>Handheld</t>
        </is>
      </c>
      <c r="D400" s="359" t="n">
        <v>19.9</v>
      </c>
      <c r="E400" s="66" t="n">
        <v>20.96</v>
      </c>
      <c r="F400" s="66" t="n">
        <v>0</v>
      </c>
      <c r="G400" s="68" t="n">
        <v>2</v>
      </c>
      <c r="H400" s="70" t="n">
        <v>0</v>
      </c>
      <c r="I400" s="68" t="n"/>
      <c r="J400" s="69" t="n"/>
      <c r="K400" s="69" t="inlineStr">
        <is>
          <t>https://amazon.com/dp/B0FGQ9ZFCV</t>
        </is>
      </c>
      <c r="L400" s="114">
        <f>HYPERLINK(Table3054[[#This Row],[Column1]])</f>
        <v/>
      </c>
    </row>
    <row r="401" ht="30" customHeight="1" s="314">
      <c r="A401" s="35" t="inlineStr">
        <is>
          <t>V100 Professional OBD2 Scanner, Car Diagnostic Code Reader, Red, LCD Display, Multi-Protocol Support, Compatible with Vehicles After 1996, 9 Languages (Red)</t>
        </is>
      </c>
      <c r="B401" s="35" t="inlineStr">
        <is>
          <t>B0FGPY6BPN</t>
        </is>
      </c>
      <c r="C401" s="35" t="inlineStr">
        <is>
          <t>Handheld</t>
        </is>
      </c>
      <c r="D401" s="359" t="n">
        <v>19.89</v>
      </c>
      <c r="E401" s="66" t="n">
        <v>20.63</v>
      </c>
      <c r="F401" s="66" t="n">
        <v>0</v>
      </c>
      <c r="G401" s="68" t="n">
        <v>2</v>
      </c>
      <c r="H401" s="70" t="n">
        <v>0</v>
      </c>
      <c r="I401" s="68" t="n"/>
      <c r="J401" s="69" t="n"/>
      <c r="K401" s="69" t="inlineStr">
        <is>
          <t>https://amazon.com/dp/B0FGPY6BPN</t>
        </is>
      </c>
      <c r="L401" s="114">
        <f>HYPERLINK(Table3054[[#This Row],[Column1]])</f>
        <v/>
      </c>
    </row>
    <row r="402" ht="45" customHeight="1" s="314">
      <c r="A402" s="35" t="inlineStr">
        <is>
          <t>Diagnostic OBD-II Port Adapter Service Cable OBD2 for Tesla Model 3 2017-2018</t>
        </is>
      </c>
      <c r="B402" s="35" t="inlineStr">
        <is>
          <t>B0C6YNHLFB</t>
        </is>
      </c>
      <c r="C402" s="35" t="inlineStr">
        <is>
          <t>Handheld</t>
        </is>
      </c>
      <c r="D402" s="359" t="n">
        <v>44.95</v>
      </c>
      <c r="E402" s="66" t="n">
        <v>172.94</v>
      </c>
      <c r="F402" s="66" t="n">
        <v>0</v>
      </c>
      <c r="G402" s="68" t="n">
        <v>6</v>
      </c>
      <c r="H402" s="70" t="n">
        <v>0</v>
      </c>
      <c r="I402" s="68" t="n">
        <v>2</v>
      </c>
      <c r="J402" s="69" t="n">
        <v>3.5</v>
      </c>
      <c r="K402" s="69" t="inlineStr">
        <is>
          <t>https://amazon.com/dp/B0C6YNHLFB</t>
        </is>
      </c>
      <c r="L402" s="114">
        <f>HYPERLINK(Table3054[[#This Row],[Column1]])</f>
        <v/>
      </c>
    </row>
    <row r="403" ht="45" customHeight="1" s="314">
      <c r="A403" s="35" t="inlineStr">
        <is>
          <t>for Isuzu IDSS Diagnostic Tool Kit E-IDSS for Isuzu Vehicles Excavator Diagnostic Scanner Tool with Program (for excavators)</t>
        </is>
      </c>
      <c r="B403" s="35" t="inlineStr">
        <is>
          <t>B0CJ6PHM9X</t>
        </is>
      </c>
      <c r="C403" s="35" t="inlineStr">
        <is>
          <t>VCI</t>
        </is>
      </c>
      <c r="D403" s="359" t="n">
        <v>485.89</v>
      </c>
      <c r="E403" s="66" t="n">
        <v>1482.16</v>
      </c>
      <c r="F403" s="66" t="n">
        <v>0</v>
      </c>
      <c r="G403" s="68" t="n">
        <v>3</v>
      </c>
      <c r="H403" s="70" t="n">
        <v>0</v>
      </c>
      <c r="I403" s="68" t="n"/>
      <c r="J403" s="69" t="n"/>
      <c r="K403" s="69" t="inlineStr">
        <is>
          <t>https://amazon.com/dp/B0CJ6PHM9X</t>
        </is>
      </c>
      <c r="L403" s="114">
        <f>HYPERLINK(Table3054[[#This Row],[Column1]])</f>
        <v/>
      </c>
    </row>
    <row r="404" ht="45" customHeight="1" s="314">
      <c r="A404" s="35" t="inlineStr">
        <is>
          <t>for MTU Diagnostic Kit USB-to-CAN Diasys 2.72 MEDC ADEC Full Kit Diesel Engine Truck Diagnosis Scanner Tool (Only MTU Tool)</t>
        </is>
      </c>
      <c r="B404" s="35" t="inlineStr">
        <is>
          <t>B0CLHY5XFK</t>
        </is>
      </c>
      <c r="C404" s="35" t="inlineStr">
        <is>
          <t>VCI</t>
        </is>
      </c>
      <c r="D404" s="359" t="n">
        <v>1206</v>
      </c>
      <c r="E404" s="66" t="n">
        <v>9122.08</v>
      </c>
      <c r="F404" s="66" t="n">
        <v>0</v>
      </c>
      <c r="G404" s="68" t="n">
        <v>8</v>
      </c>
      <c r="H404" s="70" t="n">
        <v>0</v>
      </c>
      <c r="I404" s="68" t="n"/>
      <c r="J404" s="69" t="n"/>
      <c r="K404" s="69" t="inlineStr">
        <is>
          <t>https://amazon.com/dp/B0CLHY5XFK</t>
        </is>
      </c>
      <c r="L404" s="114">
        <f>HYPERLINK(Table3054[[#This Row],[Column1]])</f>
        <v/>
      </c>
    </row>
    <row r="405" ht="30" customHeight="1" s="314">
      <c r="A405" s="35" t="inlineStr">
        <is>
          <t>for MTU Diagnostic Kit USB-to-CAN Diasys 2.72 MEDC ADEC Full Kit Diesel Engine Truck Diagnosis Scanner Tool (MTU Tool with Software)</t>
        </is>
      </c>
      <c r="B405" s="35" t="inlineStr">
        <is>
          <t>B0CLHZY179</t>
        </is>
      </c>
      <c r="C405" s="35" t="inlineStr">
        <is>
          <t>VCI</t>
        </is>
      </c>
      <c r="D405" s="359" t="n">
        <v>1407</v>
      </c>
      <c r="E405" s="66" t="n">
        <v>2896.53</v>
      </c>
      <c r="F405" s="66" t="n">
        <v>0</v>
      </c>
      <c r="G405" s="68" t="n">
        <v>2</v>
      </c>
      <c r="H405" s="70" t="n">
        <v>0</v>
      </c>
      <c r="I405" s="68" t="n"/>
      <c r="J405" s="69" t="n"/>
      <c r="K405" s="69" t="inlineStr">
        <is>
          <t>https://amazon.com/dp/B0CLHZY179</t>
        </is>
      </c>
      <c r="L405" s="114">
        <f>HYPERLINK(Table3054[[#This Row],[Column1]])</f>
        <v/>
      </c>
    </row>
    <row r="406" ht="30" customHeight="1" s="314">
      <c r="A406" s="35" t="inlineStr">
        <is>
          <t>ET-4 478-0235 538-5051 Diagnostic Adapter Tool for Cat Heavy Equipment, Truck Excavator CAT ET4 Diagnostic Tool (ET4 with Software v2025A) (Tool with 53 Laptop,Small)</t>
        </is>
      </c>
      <c r="B406" s="35" t="inlineStr">
        <is>
          <t>B0FHD7J611</t>
        </is>
      </c>
      <c r="C406" s="35" t="inlineStr">
        <is>
          <t>VCI</t>
        </is>
      </c>
      <c r="D406" s="359" t="n">
        <v>977</v>
      </c>
      <c r="E406" s="66" t="n">
        <v>0</v>
      </c>
      <c r="F406" s="66" t="n">
        <v>0</v>
      </c>
      <c r="G406" s="68" t="n">
        <v>0</v>
      </c>
      <c r="H406" s="70" t="n">
        <v>0</v>
      </c>
      <c r="I406" s="68" t="n"/>
      <c r="J406" s="69" t="n"/>
      <c r="K406" s="69" t="inlineStr">
        <is>
          <t>https://amazon.com/dp/B0FHD7J611</t>
        </is>
      </c>
      <c r="L406" s="114">
        <f>HYPERLINK(Table3054[[#This Row],[Column1]])</f>
        <v/>
      </c>
    </row>
    <row r="407" ht="45" customHeight="1" s="314">
      <c r="A407" s="35" t="inlineStr">
        <is>
          <t>CAR Diagnostic Scanner G-SCAN Zenith Z5: Basic KIT 12, 24 vl Automotive Diagnosis Best Asian Vehicle Coverage Nissan, Hyundai, and Kia</t>
        </is>
      </c>
      <c r="B407" s="35" t="inlineStr">
        <is>
          <t>B0CZ7K5VGB</t>
        </is>
      </c>
      <c r="C407" s="35" t="inlineStr">
        <is>
          <t>Handheld</t>
        </is>
      </c>
      <c r="D407" s="359" t="n">
        <v>1590</v>
      </c>
      <c r="E407" s="66" t="n">
        <v>4170</v>
      </c>
      <c r="F407" s="66" t="n">
        <v>0</v>
      </c>
      <c r="G407" s="68" t="n">
        <v>3</v>
      </c>
      <c r="H407" s="70" t="n">
        <v>0</v>
      </c>
      <c r="I407" s="68" t="n"/>
      <c r="J407" s="69" t="n"/>
      <c r="K407" s="69" t="inlineStr">
        <is>
          <t>https://amazon.com/dp/B0CZ7K5VGB</t>
        </is>
      </c>
      <c r="L407" s="114">
        <f>HYPERLINK(Table3054[[#This Row],[Column1]])</f>
        <v/>
      </c>
    </row>
    <row r="408" ht="30" customHeight="1" s="314">
      <c r="A408" s="35" t="inlineStr">
        <is>
          <t>OBD2 Scanner MS309 Automotive Check Engine Code Reader, Check Emission Monitor Status, CAN Diagnostic Scan Tool for All OBDII Protocol Vehicles After 1996</t>
        </is>
      </c>
      <c r="B408" s="35" t="inlineStr">
        <is>
          <t>B0D1YNQNWZ</t>
        </is>
      </c>
      <c r="C408" s="35" t="inlineStr">
        <is>
          <t>Handheld</t>
        </is>
      </c>
      <c r="D408" s="359" t="n">
        <v>14.99</v>
      </c>
      <c r="E408" s="66" t="n">
        <v>28.54</v>
      </c>
      <c r="F408" s="66" t="n">
        <v>0</v>
      </c>
      <c r="G408" s="68" t="n">
        <v>2</v>
      </c>
      <c r="H408" s="70" t="n">
        <v>0</v>
      </c>
      <c r="I408" s="68" t="n"/>
      <c r="J408" s="69" t="n"/>
      <c r="K408" s="69" t="inlineStr">
        <is>
          <t>https://amazon.com/dp/B0D1YNQNWZ</t>
        </is>
      </c>
      <c r="L408" s="114">
        <f>HYPERLINK(Table3054[[#This Row],[Column1]])</f>
        <v/>
      </c>
    </row>
    <row r="409" ht="30" customHeight="1" s="314">
      <c r="A409" s="35" t="inlineStr">
        <is>
          <t>DDEC Marine Adapter (Locking) for NEXIQ USB Link 2 &amp; 3</t>
        </is>
      </c>
      <c r="B409" s="35" t="inlineStr">
        <is>
          <t>B0CRWLRQQ9</t>
        </is>
      </c>
      <c r="C409" s="35" t="inlineStr">
        <is>
          <t>Cable/Adapter</t>
        </is>
      </c>
      <c r="D409" s="359" t="n">
        <v>178.95</v>
      </c>
      <c r="E409" s="66" t="n">
        <v>345.98</v>
      </c>
      <c r="F409" s="66" t="n">
        <v>0</v>
      </c>
      <c r="G409" s="68" t="n">
        <v>2</v>
      </c>
      <c r="H409" s="70" t="n">
        <v>0</v>
      </c>
      <c r="I409" s="68" t="n"/>
      <c r="J409" s="69" t="n"/>
      <c r="K409" s="69" t="inlineStr">
        <is>
          <t>https://amazon.com/dp/B0CRWLRQQ9</t>
        </is>
      </c>
      <c r="L409" s="114">
        <f>HYPERLINK(Table3054[[#This Row],[Column1]])</f>
        <v/>
      </c>
    </row>
    <row r="410" ht="60" customHeight="1" s="314">
      <c r="A410" s="35" t="inlineStr">
        <is>
          <t>for Kobelco Engine Failure Diagnostic Tool for Hino Excavator Scaner Detector 09993-E9070 Data Link Communication</t>
        </is>
      </c>
      <c r="B410" s="35" t="inlineStr">
        <is>
          <t>B0CLD4QGH2</t>
        </is>
      </c>
      <c r="C410" s="35" t="inlineStr">
        <is>
          <t>VCI</t>
        </is>
      </c>
      <c r="D410" s="359" t="n">
        <v>288</v>
      </c>
      <c r="E410" s="66" t="n">
        <v>1678.03</v>
      </c>
      <c r="F410" s="66" t="n">
        <v>0</v>
      </c>
      <c r="G410" s="68" t="n">
        <v>6</v>
      </c>
      <c r="H410" s="70" t="n">
        <v>0</v>
      </c>
      <c r="I410" s="68" t="n"/>
      <c r="J410" s="69" t="n"/>
      <c r="K410" s="69" t="inlineStr">
        <is>
          <t>https://amazon.com/dp/B0CLD4QGH2</t>
        </is>
      </c>
      <c r="L410" s="114">
        <f>HYPERLINK(Table3054[[#This Row],[Column1]])</f>
        <v/>
      </c>
    </row>
    <row r="411" ht="30" customHeight="1" s="314">
      <c r="A411" s="35" t="inlineStr">
        <is>
          <t>478-0235 538-5051 317-7485 ET4 Communication Adapter 2023A Heavy Duty Diagnostic Tester Tool for Caterpillar Truck Excavator Scanner</t>
        </is>
      </c>
      <c r="B411" s="35" t="inlineStr">
        <is>
          <t>B0CJ6GMTGV</t>
        </is>
      </c>
      <c r="C411" s="35" t="inlineStr">
        <is>
          <t>VCI</t>
        </is>
      </c>
      <c r="D411" s="359" t="n">
        <v>340</v>
      </c>
      <c r="E411" s="66" t="n">
        <v>1026.77</v>
      </c>
      <c r="F411" s="66" t="n">
        <v>0</v>
      </c>
      <c r="G411" s="68" t="n">
        <v>3</v>
      </c>
      <c r="H411" s="70" t="n">
        <v>0</v>
      </c>
      <c r="I411" s="68" t="n"/>
      <c r="J411" s="69" t="n"/>
      <c r="K411" s="69" t="inlineStr">
        <is>
          <t>https://amazon.com/dp/B0CJ6GMTGV</t>
        </is>
      </c>
      <c r="L411" s="114">
        <f>HYPERLINK(Table3054[[#This Row],[Column1]])</f>
        <v/>
      </c>
    </row>
    <row r="412" ht="30" customHeight="1" s="314">
      <c r="A412" s="35" t="inlineStr">
        <is>
          <t>OBD Code Reader Automotive OBD2 Scanner Car Check Engine Fault Diagnostic Tool</t>
        </is>
      </c>
      <c r="B412" s="35" t="inlineStr">
        <is>
          <t>B0CPLYXDBH</t>
        </is>
      </c>
      <c r="C412" s="35" t="inlineStr">
        <is>
          <t>Handheld</t>
        </is>
      </c>
      <c r="D412" s="359" t="n">
        <v>14.99</v>
      </c>
      <c r="E412" s="66" t="n">
        <v>0</v>
      </c>
      <c r="F412" s="66" t="n">
        <v>0</v>
      </c>
      <c r="G412" s="68" t="n">
        <v>0</v>
      </c>
      <c r="H412" s="70" t="n">
        <v>0</v>
      </c>
      <c r="I412" s="68" t="n"/>
      <c r="J412" s="69" t="n"/>
      <c r="K412" s="69" t="inlineStr">
        <is>
          <t>https://amazon.com/dp/B0CPLYXDBH</t>
        </is>
      </c>
      <c r="L412" s="114">
        <f>HYPERLINK(Table3054[[#This Row],[Column1]])</f>
        <v/>
      </c>
    </row>
    <row r="413" ht="60" customHeight="1" s="314">
      <c r="A413" s="35" t="inlineStr">
        <is>
          <t>Code Reader, Check Engine Code Reader,Your Ultimate Road-Trip Assistant, Enabling Swift Vehicle Diagnostics,for OM123，OBDMATE,OBDII,OBD2,EOBD+CAN,Highly Portable&amp;Reliable,Scanner for Car (Orange)</t>
        </is>
      </c>
      <c r="B413" s="35" t="inlineStr">
        <is>
          <t>B0CCCV38MM</t>
        </is>
      </c>
      <c r="C413" s="35" t="inlineStr">
        <is>
          <t>Handheld</t>
        </is>
      </c>
      <c r="D413" s="359" t="n">
        <v>49.88</v>
      </c>
      <c r="E413" s="66" t="n">
        <v>208.13</v>
      </c>
      <c r="F413" s="66" t="n">
        <v>0</v>
      </c>
      <c r="G413" s="68" t="n">
        <v>4</v>
      </c>
      <c r="H413" s="70" t="n">
        <v>0</v>
      </c>
      <c r="I413" s="68" t="n"/>
      <c r="J413" s="69" t="n"/>
      <c r="K413" s="69" t="inlineStr">
        <is>
          <t>https://amazon.com/dp/B0CCCV38MM</t>
        </is>
      </c>
      <c r="L413" s="114">
        <f>HYPERLINK(Table3054[[#This Row],[Column1]])</f>
        <v/>
      </c>
    </row>
    <row r="414" ht="30" customHeight="1" s="314">
      <c r="A414" s="35" t="inlineStr">
        <is>
          <t>FOXWELL NT530 for Dodge - All Systems, All Maintenance Service - Bidirectional Diagnostic Scan Tool OBD2 Scanner Automotive Code Reader ABS Bleed SRS Airbag SAS TPMS TPS EPB Oil Reset CKP</t>
        </is>
      </c>
      <c r="B414" s="35" t="inlineStr">
        <is>
          <t>B0C2DBCPQ5</t>
        </is>
      </c>
      <c r="C414" s="35" t="inlineStr">
        <is>
          <t>Handheld</t>
        </is>
      </c>
      <c r="D414" s="359" t="n">
        <v>169.95</v>
      </c>
      <c r="E414" s="66" t="n">
        <v>1198.44</v>
      </c>
      <c r="F414" s="66" t="n">
        <v>0</v>
      </c>
      <c r="G414" s="68" t="n">
        <v>8</v>
      </c>
      <c r="H414" s="70" t="n">
        <v>0</v>
      </c>
      <c r="I414" s="68" t="n"/>
      <c r="J414" s="69" t="n"/>
      <c r="K414" s="69" t="inlineStr">
        <is>
          <t>https://amazon.com/dp/B0C2DBCPQ5</t>
        </is>
      </c>
      <c r="L414" s="114">
        <f>HYPERLINK(Table3054[[#This Row],[Column1]])</f>
        <v/>
      </c>
    </row>
    <row r="415" ht="30" customHeight="1" s="314">
      <c r="A415" s="35" t="inlineStr">
        <is>
          <t>for Isuzu IDSS Diagnostic Tool Kit G-IDSS E-IDSS for Isuzu Vehicles Excavator Diagnostic Scanner Tool with Program (for excavators)</t>
        </is>
      </c>
      <c r="B415" s="35" t="inlineStr">
        <is>
          <t>B0CJRNCP8R</t>
        </is>
      </c>
      <c r="C415" s="35" t="inlineStr">
        <is>
          <t>VCI</t>
        </is>
      </c>
      <c r="D415" s="359" t="n">
        <v>485.89</v>
      </c>
      <c r="E415" s="66" t="n">
        <v>311.11</v>
      </c>
      <c r="F415" s="66" t="n">
        <v>0</v>
      </c>
      <c r="G415" s="68" t="n">
        <v>1</v>
      </c>
      <c r="H415" s="70" t="n">
        <v>0</v>
      </c>
      <c r="I415" s="68" t="n"/>
      <c r="J415" s="69" t="n"/>
      <c r="K415" s="69" t="inlineStr">
        <is>
          <t>https://amazon.com/dp/B0CJRNCP8R</t>
        </is>
      </c>
      <c r="L415" s="114">
        <f>HYPERLINK(Table3054[[#This Row],[Column1]])</f>
        <v/>
      </c>
    </row>
    <row r="416" ht="30" customHeight="1" s="314">
      <c r="A416" s="35" t="inlineStr">
        <is>
          <t>Multi-Function LED BDM Frame Holder ECU Read/Write Station with 4 Probe pens for BDM100 Kess KTAG</t>
        </is>
      </c>
      <c r="B416" s="35" t="inlineStr">
        <is>
          <t>B0DH1KLHB8</t>
        </is>
      </c>
      <c r="C416" s="35" t="inlineStr">
        <is>
          <t>Other</t>
        </is>
      </c>
      <c r="D416" s="359" t="n">
        <v>49.99</v>
      </c>
      <c r="E416" s="66" t="n">
        <v>605.6099999999999</v>
      </c>
      <c r="F416" s="66" t="n">
        <v>0</v>
      </c>
      <c r="G416" s="68" t="n">
        <v>12</v>
      </c>
      <c r="H416" s="70" t="n">
        <v>0</v>
      </c>
      <c r="I416" s="68" t="n">
        <v>1</v>
      </c>
      <c r="J416" s="69" t="n">
        <v>5</v>
      </c>
      <c r="K416" s="69" t="inlineStr">
        <is>
          <t>https://amazon.com/dp/B0DH1KLHB8</t>
        </is>
      </c>
      <c r="L416" s="114">
        <f>HYPERLINK(Table3054[[#This Row],[Column1]])</f>
        <v/>
      </c>
    </row>
    <row r="417" ht="45" customHeight="1" s="314">
      <c r="A417" s="35" t="inlineStr">
        <is>
          <t>for Isuzu IDSS Diagnostic Tool Kit G-IDSS E-IDSS for Isuzu Vehicles Excavator Diagnostic Scanner Tool with Program (for Trucks)</t>
        </is>
      </c>
      <c r="B417" s="35" t="inlineStr">
        <is>
          <t>B0CJRMR5HP</t>
        </is>
      </c>
      <c r="C417" s="35" t="inlineStr">
        <is>
          <t>VCI</t>
        </is>
      </c>
      <c r="D417" s="359" t="n">
        <v>428</v>
      </c>
      <c r="E417" s="66" t="n">
        <v>2052.01</v>
      </c>
      <c r="F417" s="66" t="n">
        <v>0</v>
      </c>
      <c r="G417" s="68" t="n">
        <v>5</v>
      </c>
      <c r="H417" s="70" t="n">
        <v>0</v>
      </c>
      <c r="I417" s="68" t="n"/>
      <c r="J417" s="69" t="n"/>
      <c r="K417" s="69" t="inlineStr">
        <is>
          <t>https://amazon.com/dp/B0CJRMR5HP</t>
        </is>
      </c>
      <c r="L417" s="114">
        <f>HYPERLINK(Table3054[[#This Row],[Column1]])</f>
        <v/>
      </c>
    </row>
    <row r="418" ht="45" customHeight="1" s="314">
      <c r="A418" s="35" t="inlineStr">
        <is>
          <t>OBD2 Scanner Diagnostic Tool - Professional Car Code Reader, Check Engine Code Reader with Real-Time Data, Freeze Frame, I/M Readiness for All OBDII Protocol Cars Since 1996 (MS 309)</t>
        </is>
      </c>
      <c r="B418" s="35" t="inlineStr">
        <is>
          <t>B0DLW7YST8</t>
        </is>
      </c>
      <c r="C418" s="35" t="inlineStr">
        <is>
          <t>Handheld</t>
        </is>
      </c>
      <c r="D418" s="359" t="n">
        <v>14.99</v>
      </c>
      <c r="E418" s="66" t="n">
        <v>88.12</v>
      </c>
      <c r="F418" s="66" t="n">
        <v>0</v>
      </c>
      <c r="G418" s="68" t="n">
        <v>6</v>
      </c>
      <c r="H418" s="70" t="n">
        <v>0</v>
      </c>
      <c r="I418" s="68" t="n">
        <v>1</v>
      </c>
      <c r="J418" s="69" t="n">
        <v>5</v>
      </c>
      <c r="K418" s="69" t="inlineStr">
        <is>
          <t>https://amazon.com/dp/B0DLW7YST8</t>
        </is>
      </c>
      <c r="L418" s="114">
        <f>HYPERLINK(Table3054[[#This Row],[Column1]])</f>
        <v/>
      </c>
    </row>
    <row r="419" ht="45" customHeight="1" s="314">
      <c r="A419" s="35" t="inlineStr">
        <is>
          <t>for Isuzu IDSS Diagnostic Tool Kit G-IDSS for Isuzu Vehicles Excavator Diagnostic Scanner Tool with Program (for Trucks)</t>
        </is>
      </c>
      <c r="B419" s="35" t="inlineStr">
        <is>
          <t>B0CJ6QLJHW</t>
        </is>
      </c>
      <c r="C419" s="35" t="inlineStr">
        <is>
          <t>VCI</t>
        </is>
      </c>
      <c r="D419" s="359" t="n">
        <v>428</v>
      </c>
      <c r="E419" s="66" t="n">
        <v>0</v>
      </c>
      <c r="F419" s="66" t="n">
        <v>0</v>
      </c>
      <c r="G419" s="68" t="n">
        <v>0</v>
      </c>
      <c r="H419" s="70" t="n">
        <v>0</v>
      </c>
      <c r="I419" s="68" t="n"/>
      <c r="J419" s="69" t="n"/>
      <c r="K419" s="69" t="inlineStr">
        <is>
          <t>https://amazon.com/dp/B0CJ6QLJHW</t>
        </is>
      </c>
      <c r="L419" s="114">
        <f>HYPERLINK(Table3054[[#This Row],[Column1]])</f>
        <v/>
      </c>
    </row>
    <row r="420" ht="30" customHeight="1" s="314">
      <c r="A420" s="35" t="n"/>
      <c r="B420" s="35" t="n"/>
      <c r="C420" s="35" t="n"/>
      <c r="D420" s="359" t="n"/>
      <c r="E420" s="66" t="n"/>
      <c r="F420" s="66" t="n"/>
      <c r="G420" s="68" t="n"/>
      <c r="H420" s="70" t="n"/>
      <c r="I420" s="68" t="n"/>
      <c r="J420" s="69" t="n"/>
      <c r="K420" s="69" t="n"/>
      <c r="L420" s="114">
        <f>HYPERLINK(Table3054[[#This Row],[Column1]])</f>
        <v/>
      </c>
    </row>
    <row r="421" ht="45" customHeight="1" s="314">
      <c r="A421" s="35" t="n"/>
      <c r="B421" s="35" t="n"/>
      <c r="C421" s="35" t="n"/>
      <c r="D421" s="359" t="n"/>
      <c r="E421" s="66" t="n"/>
      <c r="F421" s="66" t="n"/>
      <c r="G421" s="68" t="n"/>
      <c r="H421" s="70" t="n"/>
      <c r="I421" s="68" t="n"/>
      <c r="J421" s="69" t="n"/>
      <c r="K421" s="69" t="n"/>
      <c r="L421" s="114">
        <f>HYPERLINK(Table3054[[#This Row],[Column1]])</f>
        <v/>
      </c>
    </row>
    <row r="422" ht="30" customHeight="1" s="314">
      <c r="A422" s="35" t="n"/>
      <c r="B422" s="35" t="n"/>
      <c r="C422" s="35" t="n"/>
      <c r="D422" s="359" t="n"/>
      <c r="E422" s="66" t="n"/>
      <c r="F422" s="66" t="n"/>
      <c r="G422" s="68" t="n"/>
      <c r="H422" s="70" t="n"/>
      <c r="I422" s="68" t="n"/>
      <c r="J422" s="69" t="n"/>
      <c r="K422" s="69" t="n"/>
      <c r="L422" s="114">
        <f>HYPERLINK(Table3054[[#This Row],[Column1]])</f>
        <v/>
      </c>
    </row>
    <row r="423" ht="30" customHeight="1" s="314">
      <c r="A423" s="35" t="n"/>
      <c r="B423" s="35" t="n"/>
      <c r="C423" s="35" t="n"/>
      <c r="D423" s="359" t="n"/>
      <c r="E423" s="66" t="n"/>
      <c r="F423" s="66" t="n"/>
      <c r="G423" s="68" t="n"/>
      <c r="H423" s="70" t="n"/>
      <c r="I423" s="68" t="n"/>
      <c r="J423" s="69" t="n"/>
      <c r="K423" s="69" t="n"/>
      <c r="L423" s="114">
        <f>HYPERLINK(Table3054[[#This Row],[Column1]])</f>
        <v/>
      </c>
    </row>
    <row r="424" ht="17" customHeight="1" s="314">
      <c r="A424" s="41" t="inlineStr">
        <is>
          <t>Total</t>
        </is>
      </c>
      <c r="B424" s="41" t="n"/>
      <c r="C424" s="365" t="n"/>
      <c r="D424" s="122" t="n"/>
      <c r="E424" s="122" t="n"/>
      <c r="G424" s="123">
        <f>SUM(G219:G423)</f>
        <v/>
      </c>
      <c r="H424" s="123">
        <f>SUM(H219:H423)</f>
        <v/>
      </c>
      <c r="I424" s="128" t="n"/>
      <c r="J424" s="134" t="n"/>
    </row>
    <row r="639">
      <c r="A639" s="35" t="n"/>
      <c r="B639" s="35" t="n"/>
      <c r="C639" s="359" t="n"/>
      <c r="D639" s="66" t="n"/>
      <c r="E639" s="66" t="n"/>
      <c r="F639" s="68" t="n"/>
      <c r="G639" s="68" t="n"/>
      <c r="H639" s="68" t="n"/>
      <c r="I639" s="69" t="n"/>
    </row>
    <row r="640">
      <c r="A640" s="35" t="n"/>
      <c r="B640" s="35" t="n"/>
      <c r="C640" s="359" t="n"/>
      <c r="D640" s="66" t="n"/>
      <c r="E640" s="66" t="n"/>
      <c r="F640" s="68" t="n"/>
      <c r="G640" s="68" t="n"/>
      <c r="H640" s="68" t="n"/>
      <c r="I640" s="69" t="n"/>
    </row>
    <row r="641">
      <c r="A641" s="35" t="n"/>
      <c r="B641" s="35" t="n"/>
      <c r="C641" s="359" t="n"/>
      <c r="D641" s="66" t="n"/>
      <c r="E641" s="66" t="n"/>
      <c r="F641" s="68" t="n"/>
      <c r="G641" s="68" t="n"/>
      <c r="H641" s="68" t="n"/>
      <c r="I641" s="69" t="n"/>
    </row>
    <row r="642">
      <c r="A642" s="35" t="n"/>
      <c r="B642" s="35" t="n"/>
      <c r="C642" s="367" t="n"/>
      <c r="D642" s="118" t="n"/>
      <c r="E642" s="118" t="n"/>
      <c r="F642" s="119" t="n"/>
      <c r="G642" s="119" t="n"/>
      <c r="H642" s="119" t="n"/>
      <c r="I642" s="120" t="n"/>
    </row>
    <row r="643">
      <c r="A643" s="35" t="n"/>
      <c r="B643" s="35" t="n"/>
      <c r="C643" s="367" t="n"/>
      <c r="D643" s="118" t="n"/>
      <c r="E643" s="118" t="n"/>
      <c r="F643" s="119" t="n"/>
      <c r="G643" s="119" t="n"/>
      <c r="H643" s="119" t="n"/>
      <c r="I643" s="120" t="n"/>
    </row>
    <row r="644">
      <c r="A644" s="35" t="n"/>
      <c r="B644" s="35" t="n"/>
      <c r="C644" s="367" t="n"/>
      <c r="D644" s="118" t="n"/>
      <c r="E644" s="118" t="n"/>
      <c r="F644" s="119" t="n"/>
      <c r="G644" s="119" t="n"/>
      <c r="H644" s="119" t="n"/>
      <c r="I644" s="120" t="n"/>
    </row>
    <row r="645">
      <c r="A645" s="35" t="n"/>
      <c r="B645" s="35" t="n"/>
      <c r="C645" s="367" t="n"/>
      <c r="D645" s="118" t="n"/>
      <c r="E645" s="118" t="n"/>
      <c r="F645" s="119" t="n"/>
      <c r="G645" s="119" t="n"/>
      <c r="H645" s="119" t="n"/>
      <c r="I645" s="120" t="n"/>
    </row>
    <row r="646">
      <c r="A646" s="35" t="n"/>
      <c r="B646" s="35" t="n"/>
      <c r="C646" s="367" t="n"/>
      <c r="D646" s="118" t="n"/>
      <c r="E646" s="118" t="n"/>
      <c r="F646" s="119" t="n"/>
      <c r="G646" s="119" t="n"/>
      <c r="H646" s="119" t="n"/>
      <c r="I646" s="120" t="n"/>
    </row>
    <row r="647">
      <c r="A647" s="35" t="n"/>
      <c r="B647" s="35" t="n"/>
      <c r="C647" s="367" t="n"/>
      <c r="D647" s="118" t="n"/>
      <c r="E647" s="118" t="n"/>
      <c r="F647" s="119" t="n"/>
      <c r="G647" s="119" t="n"/>
      <c r="H647" s="119" t="n"/>
      <c r="I647" s="120" t="n"/>
    </row>
    <row r="648">
      <c r="A648" s="35" t="n"/>
      <c r="B648" s="35" t="n"/>
      <c r="C648" s="367" t="n"/>
      <c r="D648" s="118" t="n"/>
      <c r="E648" s="118" t="n"/>
      <c r="F648" s="119" t="n"/>
      <c r="G648" s="119" t="n"/>
      <c r="H648" s="119" t="n"/>
      <c r="I648" s="120" t="n"/>
    </row>
    <row r="649">
      <c r="A649" s="35" t="n"/>
      <c r="B649" s="35" t="n"/>
      <c r="C649" s="367" t="n"/>
      <c r="D649" s="118" t="n"/>
      <c r="E649" s="118" t="n"/>
      <c r="F649" s="119" t="n"/>
      <c r="G649" s="119" t="n"/>
      <c r="H649" s="119" t="n"/>
      <c r="I649" s="120" t="n"/>
    </row>
    <row r="650">
      <c r="A650" s="35" t="n"/>
      <c r="B650" s="35" t="n"/>
      <c r="C650" s="367" t="n"/>
      <c r="D650" s="118" t="n"/>
      <c r="E650" s="118" t="n"/>
      <c r="F650" s="119" t="n"/>
      <c r="G650" s="119" t="n"/>
      <c r="H650" s="119" t="n"/>
      <c r="I650" s="120" t="n"/>
    </row>
    <row r="651">
      <c r="A651" s="35" t="n"/>
      <c r="B651" s="35" t="n"/>
      <c r="C651" s="367" t="n"/>
      <c r="D651" s="118" t="n"/>
      <c r="E651" s="118" t="n"/>
      <c r="F651" s="119" t="n"/>
      <c r="G651" s="119" t="n"/>
      <c r="H651" s="119" t="n"/>
      <c r="I651" s="120" t="n"/>
    </row>
    <row r="652">
      <c r="A652" s="35" t="n"/>
      <c r="B652" s="35" t="n"/>
      <c r="C652" s="367" t="n"/>
      <c r="D652" s="118" t="n"/>
      <c r="E652" s="118" t="n"/>
      <c r="F652" s="119" t="n"/>
      <c r="G652" s="119" t="n"/>
      <c r="H652" s="119" t="n"/>
      <c r="I652" s="120" t="n"/>
    </row>
    <row r="653">
      <c r="A653" s="35" t="n"/>
      <c r="B653" s="35" t="n"/>
      <c r="C653" s="367" t="n"/>
      <c r="D653" s="118" t="n"/>
      <c r="E653" s="118" t="n"/>
      <c r="F653" s="119" t="n"/>
      <c r="G653" s="119" t="n"/>
      <c r="H653" s="119" t="n"/>
      <c r="I653" s="120" t="n"/>
    </row>
    <row r="654">
      <c r="A654" s="35" t="n"/>
      <c r="B654" s="35" t="n"/>
      <c r="C654" s="367" t="n"/>
      <c r="D654" s="118" t="n"/>
      <c r="E654" s="118" t="n"/>
      <c r="F654" s="119" t="n"/>
      <c r="G654" s="119" t="n"/>
      <c r="H654" s="119" t="n"/>
      <c r="I654" s="120" t="n"/>
    </row>
    <row r="655">
      <c r="A655" s="35" t="n"/>
      <c r="B655" s="35" t="n"/>
      <c r="C655" s="367" t="n"/>
      <c r="D655" s="118" t="n"/>
      <c r="E655" s="118" t="n"/>
      <c r="F655" s="119" t="n"/>
      <c r="G655" s="119" t="n"/>
      <c r="H655" s="119" t="n"/>
      <c r="I655" s="120" t="n"/>
    </row>
    <row r="656">
      <c r="A656" s="35" t="n"/>
      <c r="B656" s="35" t="n"/>
      <c r="C656" s="367" t="n"/>
      <c r="D656" s="118" t="n"/>
      <c r="E656" s="118" t="n"/>
      <c r="F656" s="119" t="n"/>
      <c r="G656" s="119" t="n"/>
      <c r="H656" s="119" t="n"/>
      <c r="I656" s="120" t="n"/>
    </row>
    <row r="657">
      <c r="A657" s="35" t="n"/>
      <c r="B657" s="35" t="n"/>
      <c r="C657" s="367" t="n"/>
      <c r="D657" s="118" t="n"/>
      <c r="E657" s="118" t="n"/>
      <c r="F657" s="119" t="n"/>
      <c r="G657" s="119" t="n"/>
      <c r="H657" s="119" t="n"/>
      <c r="I657" s="120" t="n"/>
    </row>
    <row r="658">
      <c r="A658" s="35" t="n"/>
      <c r="B658" s="35" t="n"/>
      <c r="C658" s="367" t="n"/>
      <c r="D658" s="118" t="n"/>
      <c r="E658" s="118" t="n"/>
      <c r="F658" s="119" t="n"/>
      <c r="G658" s="119" t="n"/>
      <c r="H658" s="119" t="n"/>
      <c r="I658" s="120" t="n"/>
    </row>
    <row r="659">
      <c r="A659" s="35" t="n"/>
      <c r="B659" s="35" t="n"/>
      <c r="C659" s="367" t="n"/>
      <c r="D659" s="118" t="n"/>
      <c r="E659" s="118" t="n"/>
      <c r="F659" s="119" t="n"/>
      <c r="G659" s="119" t="n"/>
      <c r="H659" s="119" t="n"/>
      <c r="I659" s="120" t="n"/>
    </row>
    <row r="660">
      <c r="A660" s="35" t="n"/>
      <c r="B660" s="35" t="n"/>
      <c r="C660" s="367" t="n"/>
      <c r="D660" s="118" t="n"/>
      <c r="E660" s="118" t="n"/>
      <c r="F660" s="119" t="n"/>
      <c r="G660" s="119" t="n"/>
      <c r="H660" s="119" t="n"/>
      <c r="I660" s="120" t="n"/>
    </row>
    <row r="661">
      <c r="A661" s="35" t="n"/>
      <c r="B661" s="35" t="n"/>
      <c r="C661" s="367" t="n"/>
      <c r="D661" s="118" t="n"/>
      <c r="E661" s="118" t="n"/>
      <c r="F661" s="119" t="n"/>
      <c r="G661" s="119" t="n"/>
      <c r="H661" s="119" t="n"/>
      <c r="I661" s="120" t="n"/>
    </row>
    <row r="662">
      <c r="A662" s="35" t="n"/>
      <c r="B662" s="35" t="n"/>
      <c r="C662" s="367" t="n"/>
      <c r="D662" s="118" t="n"/>
      <c r="E662" s="118" t="n"/>
      <c r="F662" s="119" t="n"/>
      <c r="G662" s="119" t="n"/>
      <c r="H662" s="119" t="n"/>
      <c r="I662" s="120" t="n"/>
    </row>
    <row r="663">
      <c r="I663" s="120" t="n"/>
    </row>
    <row r="664">
      <c r="I664" s="120" t="n"/>
    </row>
    <row r="665">
      <c r="I665" s="120" t="n"/>
    </row>
    <row r="666">
      <c r="I666" s="120" t="n"/>
    </row>
    <row r="667">
      <c r="I667" s="120" t="n"/>
    </row>
    <row r="668">
      <c r="I668" s="120" t="n"/>
    </row>
    <row r="669">
      <c r="I669" s="120" t="n"/>
    </row>
    <row r="670">
      <c r="I670" s="120" t="n"/>
    </row>
    <row r="671">
      <c r="I671" s="120" t="n"/>
    </row>
    <row r="672">
      <c r="I672" s="120" t="n"/>
    </row>
    <row r="673">
      <c r="I673" s="120" t="n"/>
    </row>
    <row r="674">
      <c r="I674" s="120" t="n"/>
    </row>
    <row r="675">
      <c r="I675" s="120" t="n"/>
    </row>
    <row r="676">
      <c r="I676" s="120" t="n"/>
    </row>
  </sheetData>
  <mergeCells count="3">
    <mergeCell ref="A1:L5"/>
    <mergeCell ref="A217:L217"/>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outlinePr summaryBelow="1" summaryRight="1"/>
    <pageSetUpPr/>
  </sheetPr>
  <dimension ref="A1:L360"/>
  <sheetViews>
    <sheetView workbookViewId="0">
      <selection activeCell="E20" sqref="E20"/>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3" bestFit="1" customWidth="1" style="308" min="10" max="10"/>
    <col hidden="1" width="28.6640625" customWidth="1" style="308" min="11" max="11"/>
    <col width="35.6640625" customWidth="1" style="308" min="12" max="12"/>
    <col width="12.6640625" customWidth="1" style="308" min="13" max="16384"/>
  </cols>
  <sheetData>
    <row r="1">
      <c r="A1" s="323" t="inlineStr">
        <is>
          <t>iCarsoft Monthly Summary</t>
        </is>
      </c>
    </row>
    <row r="2"/>
    <row r="3"/>
    <row r="4"/>
    <row r="5"/>
    <row r="6">
      <c r="A6" s="34" t="n"/>
      <c r="B6" s="34" t="n"/>
      <c r="C6" s="358" t="n"/>
      <c r="D6" s="56" t="n"/>
      <c r="E6" s="56" t="n"/>
      <c r="F6" s="57" t="n"/>
      <c r="G6" s="57" t="n"/>
      <c r="H6" s="57" t="n"/>
      <c r="I6" s="58" t="n"/>
      <c r="J6" s="59"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Bidirectional Diagnostic Tool for Most Mercedes-Benz/Sprinter/Smart from 1996-2023 iCarsoft MB V3.0 2026 Version 38+ Reset Service OBD2 Full System Scanner Battery Test Actuation Test AutoVIN</t>
        </is>
      </c>
      <c r="B9" s="35" t="inlineStr">
        <is>
          <t>B0D3DQQK1S</t>
        </is>
      </c>
      <c r="C9" s="35" t="inlineStr">
        <is>
          <t>Tablet</t>
        </is>
      </c>
      <c r="D9" s="359" t="n">
        <v>194.4485950413223</v>
      </c>
      <c r="E9" s="66" t="n">
        <v>580396.8999999999</v>
      </c>
      <c r="F9" s="67" t="n">
        <v>47056.56</v>
      </c>
      <c r="G9" s="68" t="n">
        <v>2676</v>
      </c>
      <c r="H9" s="68" t="n">
        <v>242</v>
      </c>
      <c r="I9" s="68" t="n">
        <v>157</v>
      </c>
      <c r="J9" s="69" t="n">
        <v>3.9</v>
      </c>
      <c r="K9" s="69" t="inlineStr">
        <is>
          <t>https://amazon.com/dp/B0D3DQQK1S</t>
        </is>
      </c>
      <c r="L9" s="114">
        <f>HYPERLINK(Table3155[[#This Row],[Column1]])</f>
        <v/>
      </c>
    </row>
    <row r="10" ht="45" customHeight="1" s="314">
      <c r="A10" s="35" t="inlineStr">
        <is>
          <t>iCarsoft POR V4.0 Bidirectional Diagnostic Tool for Porsche + 2 Extra Car Brands, OBD2 Scanner with 1333 Test Items/ 26 Services (177 Subservices)/ 66 Extra Services/Battery Registration-Free Update</t>
        </is>
      </c>
      <c r="B10" s="35" t="inlineStr">
        <is>
          <t>B0G4M5G2CR</t>
        </is>
      </c>
      <c r="C10" s="35" t="inlineStr">
        <is>
          <t>Tablet</t>
        </is>
      </c>
      <c r="D10" s="359" t="n">
        <v>269.8357142857143</v>
      </c>
      <c r="E10" s="66" t="n">
        <v>459229.4707692307</v>
      </c>
      <c r="F10" s="67" t="n">
        <v>45332.4</v>
      </c>
      <c r="G10" s="68" t="n">
        <v>306</v>
      </c>
      <c r="H10" s="68" t="n">
        <v>168</v>
      </c>
      <c r="I10" s="68" t="n">
        <v>1</v>
      </c>
      <c r="J10" s="69" t="n">
        <v>5</v>
      </c>
      <c r="K10" s="69" t="inlineStr">
        <is>
          <t>https://amazon.com/dp/B0G4M5G2CR</t>
        </is>
      </c>
      <c r="L10" s="114">
        <f>HYPERLINK(Table3155[[#This Row],[Column1]])</f>
        <v/>
      </c>
    </row>
    <row r="11" ht="17" customHeight="1" s="314">
      <c r="A11" s="35" t="inlineStr">
        <is>
          <t>iCarsoft Auto Diagnostic Scanner POR V2.0</t>
        </is>
      </c>
      <c r="B11" s="35" t="inlineStr">
        <is>
          <t>B07F2WF96Y</t>
        </is>
      </c>
      <c r="C11" s="35" t="inlineStr">
        <is>
          <t>Tablet</t>
        </is>
      </c>
      <c r="D11" s="359" t="n">
        <v>120.2065680473373</v>
      </c>
      <c r="E11" s="66" t="n">
        <v>168265.11</v>
      </c>
      <c r="F11" s="67" t="n">
        <v>20314.91</v>
      </c>
      <c r="G11" s="68" t="n">
        <v>1247</v>
      </c>
      <c r="H11" s="68" t="n">
        <v>169</v>
      </c>
      <c r="I11" s="68" t="n">
        <v>784</v>
      </c>
      <c r="J11" s="69" t="n">
        <v>4.1</v>
      </c>
      <c r="K11" s="69" t="inlineStr">
        <is>
          <t>https://amazon.com/dp/B07F2WF96Y</t>
        </is>
      </c>
      <c r="L11" s="114">
        <f>HYPERLINK(Table3155[[#This Row],[Column1]])</f>
        <v/>
      </c>
    </row>
    <row r="12" ht="45" customHeight="1" s="314">
      <c r="A12" s="35" t="inlineStr">
        <is>
          <t>iCarsoft Auto Diagnostic Scanner P700 V2.0 for Porsche with Engine/Transmission/ABS/Airbag Diagnosis Scan,OBD2 Code Reader with Oil Reset EPB ETC+Battery/O2 Sensor/EVAP Test</t>
        </is>
      </c>
      <c r="B12" s="35" t="inlineStr">
        <is>
          <t>B07FP9QJLN</t>
        </is>
      </c>
      <c r="C12" s="35" t="inlineStr">
        <is>
          <t>Tablet</t>
        </is>
      </c>
      <c r="D12" s="359" t="n">
        <v>149.5688034188034</v>
      </c>
      <c r="E12" s="66" t="n">
        <v>104958.29</v>
      </c>
      <c r="F12" s="67" t="n">
        <v>17499.55</v>
      </c>
      <c r="G12" s="68" t="n">
        <v>703</v>
      </c>
      <c r="H12" s="68" t="n">
        <v>117</v>
      </c>
      <c r="I12" s="68" t="n">
        <v>202</v>
      </c>
      <c r="J12" s="69" t="n">
        <v>4.3</v>
      </c>
      <c r="K12" s="69" t="inlineStr">
        <is>
          <t>https://amazon.com/dp/B07FP9QJLN</t>
        </is>
      </c>
      <c r="L12" s="114">
        <f>HYPERLINK(Table3155[[#This Row],[Column1]])</f>
        <v/>
      </c>
    </row>
    <row r="13" ht="60" customHeight="1" s="314">
      <c r="A13" s="35" t="inlineStr">
        <is>
          <t>iCarsoft MB V4.0 Bidirectional Diagnostic Tool for Mercedes-Benz/Sprinter/Smart and 2 Extra Brands 38 Resets+26 Extra Service, 10 OBD2 Modes, Full System Scanner Battery Test/4-in-1 Live Data/Auto VIN</t>
        </is>
      </c>
      <c r="B13" s="35" t="inlineStr">
        <is>
          <t>B0FS6XSNP6</t>
        </is>
      </c>
      <c r="C13" s="35" t="inlineStr">
        <is>
          <t>Tablet</t>
        </is>
      </c>
      <c r="D13" s="359" t="n">
        <v>268.4403389830508</v>
      </c>
      <c r="E13" s="66" t="n">
        <v>160026.3730769231</v>
      </c>
      <c r="F13" s="67" t="n">
        <v>15837.98</v>
      </c>
      <c r="G13" s="68" t="n">
        <v>268</v>
      </c>
      <c r="H13" s="68" t="n">
        <v>59</v>
      </c>
      <c r="I13" s="68" t="n">
        <v>12</v>
      </c>
      <c r="J13" s="69" t="n">
        <v>3.4</v>
      </c>
      <c r="K13" s="69" t="inlineStr">
        <is>
          <t>https://amazon.com/dp/B0FS6XSNP6</t>
        </is>
      </c>
      <c r="L13" s="114">
        <f>HYPERLINK(Table3155[[#This Row],[Column1]])</f>
        <v/>
      </c>
    </row>
    <row r="14" ht="45" customHeight="1" s="314">
      <c r="A14" s="35" t="inlineStr">
        <is>
          <t>iCarsoft MB V2.0 for Mercedes Benz OBD2 Scanner, Full System Diagnostic Scan Tool, 8 Resets Auto VIN, Oil/SAS/EPB/ETC/DP-F/BLD/INJ/SAS/TPMS, Free Update, Automotive Code Reader with Battery Test</t>
        </is>
      </c>
      <c r="B14" s="35" t="inlineStr">
        <is>
          <t>B0DX2BSRYM</t>
        </is>
      </c>
      <c r="C14" s="35" t="inlineStr">
        <is>
          <t>Tablet</t>
        </is>
      </c>
      <c r="D14" s="359" t="n">
        <v>146.1356862745098</v>
      </c>
      <c r="E14" s="66" t="n">
        <v>187220.8369230769</v>
      </c>
      <c r="F14" s="67" t="n">
        <v>14905.84</v>
      </c>
      <c r="G14" s="68" t="n">
        <v>1096</v>
      </c>
      <c r="H14" s="68" t="n">
        <v>102</v>
      </c>
      <c r="I14" s="68" t="n">
        <v>154</v>
      </c>
      <c r="J14" s="69" t="n">
        <v>4</v>
      </c>
      <c r="K14" s="69" t="inlineStr">
        <is>
          <t>https://amazon.com/dp/B0DX2BSRYM</t>
        </is>
      </c>
      <c r="L14" s="114">
        <f>HYPERLINK(Table3155[[#This Row],[Column1]])</f>
        <v/>
      </c>
    </row>
    <row r="15" ht="45" customHeight="1" s="314">
      <c r="A15" s="35" t="inlineStr">
        <is>
          <t>Bidirectional Diagnostic Tool for Porsche/Cayenne, iCarsoft 2026 POR V3.0 All System OBD2 Scanner, 27 Resets +12 Extra Services Battery Registration Code Reader for Porsche, Auto VIN</t>
        </is>
      </c>
      <c r="B15" s="35" t="inlineStr">
        <is>
          <t>B0D3DPDV86</t>
        </is>
      </c>
      <c r="C15" s="35" t="inlineStr">
        <is>
          <t>Tablet</t>
        </is>
      </c>
      <c r="D15" s="359" t="n">
        <v>184.1218461538461</v>
      </c>
      <c r="E15" s="66" t="n">
        <v>505870.76</v>
      </c>
      <c r="F15" s="67" t="n">
        <v>11967.92</v>
      </c>
      <c r="G15" s="68" t="n">
        <v>2445</v>
      </c>
      <c r="H15" s="68" t="n">
        <v>65</v>
      </c>
      <c r="I15" s="68" t="n">
        <v>784</v>
      </c>
      <c r="J15" s="69" t="n">
        <v>4.1</v>
      </c>
      <c r="K15" s="69" t="inlineStr">
        <is>
          <t>https://amazon.com/dp/B0D3DPDV86</t>
        </is>
      </c>
      <c r="L15" s="114">
        <f>HYPERLINK(Table3155[[#This Row],[Column1]])</f>
        <v/>
      </c>
    </row>
    <row r="16" ht="45" customHeight="1" s="314">
      <c r="A16" s="35" t="inlineStr">
        <is>
          <t>iCarsoft CR Pro+ All System Diagnostic Bidirectional Scan Tool for All Cars, 49 Resets+46 Extra Services+Active Test OBD2 Scanner+ECU Coding for BMW/Audi/VW-Oil/ETC/EPB/BMS/TPMS, etc. Free Update</t>
        </is>
      </c>
      <c r="B16" s="35" t="inlineStr">
        <is>
          <t>B0D3HDJQ9P</t>
        </is>
      </c>
      <c r="C16" s="35" t="inlineStr">
        <is>
          <t>Tablet</t>
        </is>
      </c>
      <c r="D16" s="359" t="n">
        <v>299.4294594594595</v>
      </c>
      <c r="E16" s="66" t="n">
        <v>226905.89</v>
      </c>
      <c r="F16" s="67" t="n">
        <v>11078.89</v>
      </c>
      <c r="G16" s="68" t="n">
        <v>747</v>
      </c>
      <c r="H16" s="68" t="n">
        <v>37</v>
      </c>
      <c r="I16" s="68" t="n">
        <v>35</v>
      </c>
      <c r="J16" s="69" t="n">
        <v>4.2</v>
      </c>
      <c r="K16" s="69" t="inlineStr">
        <is>
          <t>https://amazon.com/dp/B0D3HDJQ9P</t>
        </is>
      </c>
      <c r="L16" s="114">
        <f>HYPERLINK(Table3155[[#This Row],[Column1]])</f>
        <v/>
      </c>
    </row>
    <row r="17" ht="45" customHeight="1" s="314">
      <c r="A17" s="35" t="inlineStr">
        <is>
          <t>iCarsoft E660 2025 Version 4 Systems OBD2 Scanner, ABS SRS Engine Transmission Car Code Reader with 6 Reset Service Clear Fault Codes Battery Test Diagnostic Scan Tools Lifetime Free Upgrade</t>
        </is>
      </c>
      <c r="B17" s="35" t="inlineStr">
        <is>
          <t>B0F9FP9KPH</t>
        </is>
      </c>
      <c r="C17" s="35" t="inlineStr">
        <is>
          <t>Handheld</t>
        </is>
      </c>
      <c r="D17" s="359" t="n">
        <v>133.55475</v>
      </c>
      <c r="E17" s="66" t="n">
        <v>119822.4438461539</v>
      </c>
      <c r="F17" s="67" t="n">
        <v>10684.38</v>
      </c>
      <c r="G17" s="68" t="n">
        <v>661</v>
      </c>
      <c r="H17" s="68" t="n">
        <v>80</v>
      </c>
      <c r="I17" s="68" t="n">
        <v>463</v>
      </c>
      <c r="J17" s="69" t="n">
        <v>4.3</v>
      </c>
      <c r="K17" s="69" t="inlineStr">
        <is>
          <t>https://amazon.com/dp/B0F9FP9KPH</t>
        </is>
      </c>
      <c r="L17" s="114">
        <f>HYPERLINK(Table3155[[#This Row],[Column1]])</f>
        <v/>
      </c>
    </row>
    <row r="18" ht="45" customHeight="1" s="314">
      <c r="A18" s="35" t="inlineStr">
        <is>
          <t>Bidirectional Diagnostic Tool for Porsche/BMW, iCarsoft POR V3.0 (Enhanced Ver) All System OBD2 Scanner Code Reader for Porsche, for BMW, Auto VIN</t>
        </is>
      </c>
      <c r="B18" s="35" t="inlineStr">
        <is>
          <t>B0DWFQ69VV</t>
        </is>
      </c>
      <c r="C18" s="35" t="inlineStr">
        <is>
          <t>Handheld</t>
        </is>
      </c>
      <c r="D18" s="359" t="n">
        <v>162.491568627451</v>
      </c>
      <c r="E18" s="66" t="n">
        <v>51563.52923076924</v>
      </c>
      <c r="F18" s="67" t="n">
        <v>8287.07</v>
      </c>
      <c r="G18" s="68" t="n">
        <v>157</v>
      </c>
      <c r="H18" s="68" t="n">
        <v>51</v>
      </c>
      <c r="I18" s="68" t="n">
        <v>5</v>
      </c>
      <c r="J18" s="69" t="n">
        <v>4.5</v>
      </c>
      <c r="K18" s="69" t="inlineStr">
        <is>
          <t>https://amazon.com/dp/B0DWFQ69VV</t>
        </is>
      </c>
      <c r="L18" s="114">
        <f>HYPERLINK(Table3155[[#This Row],[Column1]])</f>
        <v/>
      </c>
    </row>
    <row r="19" ht="60" customHeight="1" s="314">
      <c r="A19" s="35" t="inlineStr">
        <is>
          <t>iCarsoft CR Max BT Wireless OBD2 Scanner, All System Car Diagnostic Tool, 49 Reset+Extra 46 Service, 40000+Bidirectional Tests, ECU Coding, Battery Registration,CANFD, Auto VIN, Free Update</t>
        </is>
      </c>
      <c r="B19" s="35" t="inlineStr">
        <is>
          <t>B0D1BTBQZN</t>
        </is>
      </c>
      <c r="C19" s="35" t="inlineStr">
        <is>
          <t>Tablet</t>
        </is>
      </c>
      <c r="D19" s="359" t="n">
        <v>416.338947368421</v>
      </c>
      <c r="E19" s="66" t="n">
        <v>119633.85</v>
      </c>
      <c r="F19" s="67" t="n">
        <v>7910.44</v>
      </c>
      <c r="G19" s="68" t="n">
        <v>263</v>
      </c>
      <c r="H19" s="68" t="n">
        <v>19</v>
      </c>
      <c r="I19" s="68" t="n">
        <v>76</v>
      </c>
      <c r="J19" s="69" t="n">
        <v>4.3</v>
      </c>
      <c r="K19" s="69" t="inlineStr">
        <is>
          <t>https://amazon.com/dp/B0D1BTBQZN</t>
        </is>
      </c>
      <c r="L19" s="114">
        <f>HYPERLINK(Table3155[[#This Row],[Column1]])</f>
        <v/>
      </c>
    </row>
    <row r="20" ht="45" customHeight="1" s="314">
      <c r="A20" s="35" t="inlineStr">
        <is>
          <t>iCarsoft MT V6 Motorcycle Diagnostic Scan Tool for Harley, All System Motorcycle OBD2 Scanner with 57Actuation Tests,43 Special Function, Oil/ETC/ABS/ESA/Engine Idle Resets,Battery Test</t>
        </is>
      </c>
      <c r="B20" s="35" t="inlineStr">
        <is>
          <t>B0DFQ4S4SH</t>
        </is>
      </c>
      <c r="C20" s="35" t="inlineStr">
        <is>
          <t>Tablet</t>
        </is>
      </c>
      <c r="D20" s="359" t="n">
        <v>199.8246153846154</v>
      </c>
      <c r="E20" s="66" t="n">
        <v>76468.07846153846</v>
      </c>
      <c r="F20" s="67" t="n">
        <v>7793.16</v>
      </c>
      <c r="G20" s="68" t="n">
        <v>249</v>
      </c>
      <c r="H20" s="68" t="n">
        <v>39</v>
      </c>
      <c r="I20" s="68" t="n">
        <v>21</v>
      </c>
      <c r="J20" s="69" t="n">
        <v>3.2</v>
      </c>
      <c r="K20" s="69" t="inlineStr">
        <is>
          <t>https://amazon.com/dp/B0DFQ4S4SH</t>
        </is>
      </c>
      <c r="L20" s="114">
        <f>HYPERLINK(Table3155[[#This Row],[Column1]])</f>
        <v/>
      </c>
    </row>
    <row r="21" ht="45" customHeight="1" s="314">
      <c r="A21" s="35" t="inlineStr">
        <is>
          <t>iCarsoft POR V2.0 fit for Porsche/Cayenne/911 Full Systems Diagnostic Scan Tool, OBD2 Scanner with 8 Resets, Live Data, Battery Test Module Info, Lifetime F-Ree Update</t>
        </is>
      </c>
      <c r="B21" s="35" t="inlineStr">
        <is>
          <t>B0DXW2DJR6</t>
        </is>
      </c>
      <c r="C21" s="35" t="inlineStr">
        <is>
          <t>Tablet</t>
        </is>
      </c>
      <c r="D21" s="359" t="n">
        <v>169.1276086956522</v>
      </c>
      <c r="E21" s="66" t="n">
        <v>100905.5207692307</v>
      </c>
      <c r="F21" s="67" t="n">
        <v>7779.87</v>
      </c>
      <c r="G21" s="68" t="n">
        <v>349</v>
      </c>
      <c r="H21" s="68" t="n">
        <v>46</v>
      </c>
      <c r="I21" s="68" t="n">
        <v>7</v>
      </c>
      <c r="J21" s="69" t="n">
        <v>3.7</v>
      </c>
      <c r="K21" s="69" t="inlineStr">
        <is>
          <t>https://amazon.com/dp/B0DXW2DJR6</t>
        </is>
      </c>
      <c r="L21" s="114">
        <f>HYPERLINK(Table3155[[#This Row],[Column1]])</f>
        <v/>
      </c>
    </row>
    <row r="22" ht="30" customHeight="1" s="314">
      <c r="A22" s="35" t="inlineStr">
        <is>
          <t>iCarsoft VOL V 4.0 Diagnostic Scan Tool for Volvo/SAAB + 2 Car Brand Vehicles, OBD2 Scanner with 29 Resets (317 Sub-Services) +234 Extra Services, 1599 Bidirectional Test Items, All System Diagnose</t>
        </is>
      </c>
      <c r="B22" s="35" t="inlineStr">
        <is>
          <t>B0G4M4L59R</t>
        </is>
      </c>
      <c r="C22" s="35" t="inlineStr">
        <is>
          <t>Tablet</t>
        </is>
      </c>
      <c r="D22" s="359" t="n">
        <v>267.7313793103448</v>
      </c>
      <c r="E22" s="66" t="n">
        <v>86600.80384615385</v>
      </c>
      <c r="F22" s="67" t="n">
        <v>7764.21</v>
      </c>
      <c r="G22" s="68" t="n">
        <v>29</v>
      </c>
      <c r="H22" s="68" t="n">
        <v>29</v>
      </c>
      <c r="I22" s="68" t="n"/>
      <c r="J22" s="69" t="n"/>
      <c r="K22" s="69" t="inlineStr">
        <is>
          <t>https://amazon.com/dp/B0G4M4L59R</t>
        </is>
      </c>
      <c r="L22" s="114">
        <f>HYPERLINK(Table3155[[#This Row],[Column1]])</f>
        <v/>
      </c>
    </row>
    <row r="23" ht="60" customHeight="1" s="314">
      <c r="A23" s="35" t="inlineStr">
        <is>
          <t>iCarsoft Bidirectional Scan Tool, CR Max OBD2 Diagnostic Scanner for All Vehicles, Full System 49 Resets+46 Extra Services, 40000+Active Tests,ECU Coding, Battery Registration, Oil Reset/ABS,CAN FD</t>
        </is>
      </c>
      <c r="B23" s="35" t="inlineStr">
        <is>
          <t>B0D1BJTGLL</t>
        </is>
      </c>
      <c r="C23" s="35" t="inlineStr">
        <is>
          <t>Tablet</t>
        </is>
      </c>
      <c r="D23" s="359" t="n">
        <v>365.9238095238095</v>
      </c>
      <c r="E23" s="66" t="n">
        <v>133372.8223076923</v>
      </c>
      <c r="F23" s="67" t="n">
        <v>7684.4</v>
      </c>
      <c r="G23" s="68" t="n">
        <v>337</v>
      </c>
      <c r="H23" s="68" t="n">
        <v>21</v>
      </c>
      <c r="I23" s="68" t="n">
        <v>230</v>
      </c>
      <c r="J23" s="69" t="n">
        <v>4.2</v>
      </c>
      <c r="K23" s="69" t="inlineStr">
        <is>
          <t>https://amazon.com/dp/B0D1BJTGLL</t>
        </is>
      </c>
      <c r="L23" s="114">
        <f>HYPERLINK(Table3155[[#This Row],[Column1]])</f>
        <v/>
      </c>
    </row>
    <row r="24" ht="45" customHeight="1" s="314">
      <c r="A24" s="35" t="inlineStr">
        <is>
          <t>iCarsoft MB V3.0 Bidirectional Diagnostic Tool for Mercedes-Benz/Sprinter/Smart/Maybach 38+ Service All Systems OBD2 Scanner Quick Scan Battery Test Full Actuation Test Auto VIN Free Lifetime Update</t>
        </is>
      </c>
      <c r="B24" s="35" t="inlineStr">
        <is>
          <t>B0FBWTJ9S4</t>
        </is>
      </c>
      <c r="C24" s="35" t="inlineStr">
        <is>
          <t>Tablet</t>
        </is>
      </c>
      <c r="D24" s="359" t="n">
        <v>191.595641025641</v>
      </c>
      <c r="E24" s="66" t="n">
        <v>82907.06923076924</v>
      </c>
      <c r="F24" s="67" t="n">
        <v>7472.23</v>
      </c>
      <c r="G24" s="68" t="n">
        <v>307</v>
      </c>
      <c r="H24" s="68" t="n">
        <v>39</v>
      </c>
      <c r="I24" s="68" t="n">
        <v>17</v>
      </c>
      <c r="J24" s="69" t="n">
        <v>4.2</v>
      </c>
      <c r="K24" s="69" t="inlineStr">
        <is>
          <t>https://amazon.com/dp/B0FBWTJ9S4</t>
        </is>
      </c>
      <c r="L24" s="114">
        <f>HYPERLINK(Table3155[[#This Row],[Column1]])</f>
        <v/>
      </c>
    </row>
    <row r="25" ht="45" customHeight="1" s="314">
      <c r="A25" s="35" t="inlineStr">
        <is>
          <t>iCarsoft LR V3.0 2026 Version Bidirectional OBD2 Scanner for Most Land Rover/Jaguar from 1996-2023 Full Systems 37 Service Diagnostic Scan Tool Graphic Data Car Code Reader with Lifetime Free Update</t>
        </is>
      </c>
      <c r="B25" s="35" t="inlineStr">
        <is>
          <t>B0FZ8JJY1T</t>
        </is>
      </c>
      <c r="C25" s="35" t="inlineStr">
        <is>
          <t>Tablet</t>
        </is>
      </c>
      <c r="D25" s="359" t="n">
        <v>218.8990625</v>
      </c>
      <c r="E25" s="66" t="n">
        <v>93506.13230769234</v>
      </c>
      <c r="F25" s="67" t="n">
        <v>7004.77</v>
      </c>
      <c r="G25" s="68" t="n">
        <v>190</v>
      </c>
      <c r="H25" s="68" t="n">
        <v>32</v>
      </c>
      <c r="I25" s="68" t="n">
        <v>5</v>
      </c>
      <c r="J25" s="69" t="n">
        <v>3.8</v>
      </c>
      <c r="K25" s="69" t="inlineStr">
        <is>
          <t>https://amazon.com/dp/B0FZ8JJY1T</t>
        </is>
      </c>
      <c r="L25" s="114">
        <f>HYPERLINK(Table3155[[#This Row],[Column1]])</f>
        <v/>
      </c>
    </row>
    <row r="26" ht="45" customHeight="1" s="314">
      <c r="A26" s="35" t="inlineStr">
        <is>
          <t>iCarsoft LR V4.0 Full Systems Bidirectional Diagnostic Scan Tool for Most Land Rover/Jaguar and Other 2 Car Makes from 1996-2023 Automotive OBD2 Scanner Up to 51 Service Graphic Data Car Code Reader</t>
        </is>
      </c>
      <c r="B26" s="35" t="inlineStr">
        <is>
          <t>B0FS6NB462</t>
        </is>
      </c>
      <c r="C26" s="35" t="inlineStr">
        <is>
          <t>Handheld</t>
        </is>
      </c>
      <c r="D26" s="359" t="n">
        <v>273.8068</v>
      </c>
      <c r="E26" s="66" t="n">
        <v>95545.27769230767</v>
      </c>
      <c r="F26" s="67" t="n">
        <v>6845.17</v>
      </c>
      <c r="G26" s="68" t="n">
        <v>167</v>
      </c>
      <c r="H26" s="68" t="n">
        <v>25</v>
      </c>
      <c r="I26" s="68" t="n">
        <v>4</v>
      </c>
      <c r="J26" s="69" t="n">
        <v>2.9</v>
      </c>
      <c r="K26" s="69" t="inlineStr">
        <is>
          <t>https://amazon.com/dp/B0FS6NB462</t>
        </is>
      </c>
      <c r="L26" s="114">
        <f>HYPERLINK(Table3155[[#This Row],[Column1]])</f>
        <v/>
      </c>
    </row>
    <row r="27" ht="45" customHeight="1" s="314">
      <c r="A27" s="35" t="inlineStr">
        <is>
          <t>iCarsoft CR Genius 5'' Multi-Brand Vehicle Multi-Systems/Quick Test/Actuation Test/Touch Screen Car Diagnostic Scan Tool</t>
        </is>
      </c>
      <c r="B27" s="35" t="inlineStr">
        <is>
          <t>B09RZKRQP5</t>
        </is>
      </c>
      <c r="C27" s="35" t="inlineStr">
        <is>
          <t>Tablet</t>
        </is>
      </c>
      <c r="D27" s="359" t="n">
        <v>277.6604166666667</v>
      </c>
      <c r="E27" s="66" t="n">
        <v>98843.16</v>
      </c>
      <c r="F27" s="67" t="n">
        <v>6663.85</v>
      </c>
      <c r="G27" s="68" t="n">
        <v>307</v>
      </c>
      <c r="H27" s="68" t="n">
        <v>24</v>
      </c>
      <c r="I27" s="68" t="n">
        <v>232</v>
      </c>
      <c r="J27" s="69" t="n">
        <v>4.1</v>
      </c>
      <c r="K27" s="69" t="inlineStr">
        <is>
          <t>https://amazon.com/dp/B09RZKRQP5</t>
        </is>
      </c>
      <c r="L27" s="114">
        <f>HYPERLINK(Table3155[[#This Row],[Column1]])</f>
        <v/>
      </c>
    </row>
    <row r="28" ht="45" customHeight="1" s="314">
      <c r="A28" s="35" t="inlineStr">
        <is>
          <t>iCarsoft MB V4.0 Full System Bidirectional Diagnostic Scan Tool for Most Benz/Sprinter/Smart and Other 2 Car Makes from 1996-2023 Automotive OBD2 Scanner Up to 42 Service Graphic Data Car Code Reader</t>
        </is>
      </c>
      <c r="B28" s="35" t="inlineStr">
        <is>
          <t>B0G4MR79SY</t>
        </is>
      </c>
      <c r="C28" s="35" t="inlineStr">
        <is>
          <t>Handheld</t>
        </is>
      </c>
      <c r="D28" s="359" t="n">
        <v>266.59625</v>
      </c>
      <c r="E28" s="66" t="n">
        <v>86952.84307692311</v>
      </c>
      <c r="F28" s="67" t="n">
        <v>6398.31</v>
      </c>
      <c r="G28" s="68" t="n">
        <v>103</v>
      </c>
      <c r="H28" s="68" t="n">
        <v>24</v>
      </c>
      <c r="I28" s="68" t="n">
        <v>4</v>
      </c>
      <c r="J28" s="69" t="n">
        <v>3</v>
      </c>
      <c r="K28" s="69" t="inlineStr">
        <is>
          <t>https://amazon.com/dp/B0G4MR79SY</t>
        </is>
      </c>
      <c r="L28" s="114">
        <f>HYPERLINK(Table3155[[#This Row],[Column1]])</f>
        <v/>
      </c>
    </row>
    <row r="29" ht="45" customHeight="1" s="314">
      <c r="A29" s="35" t="inlineStr">
        <is>
          <t>iCarsoft MB V2.0 OBD2 Scanner Diagnostic Tool for Benz/Sprinter/Smart, Full System Code Reader with 8 Resets, Auto VIN, Oil/SAS/EPB/ETC/BLD/INJ/SAS/TPMS, Free Update, Live Data, Battery Test</t>
        </is>
      </c>
      <c r="B29" s="35" t="inlineStr">
        <is>
          <t>B0FPF9S6RV</t>
        </is>
      </c>
      <c r="C29" s="35" t="inlineStr">
        <is>
          <t>Tablet</t>
        </is>
      </c>
      <c r="D29" s="359" t="n">
        <v>170.3544117647059</v>
      </c>
      <c r="E29" s="66" t="n">
        <v>58367.83384615384</v>
      </c>
      <c r="F29" s="67" t="n">
        <v>5792.05</v>
      </c>
      <c r="G29" s="68" t="n">
        <v>133</v>
      </c>
      <c r="H29" s="68" t="n">
        <v>34</v>
      </c>
      <c r="I29" s="68" t="n">
        <v>5</v>
      </c>
      <c r="J29" s="69" t="n">
        <v>4.5</v>
      </c>
      <c r="K29" s="69" t="inlineStr">
        <is>
          <t>https://amazon.com/dp/B0FPF9S6RV</t>
        </is>
      </c>
      <c r="L29" s="114">
        <f>HYPERLINK(Table3155[[#This Row],[Column1]])</f>
        <v/>
      </c>
    </row>
    <row r="30" ht="45" customHeight="1" s="314">
      <c r="A30" s="35" t="inlineStr">
        <is>
          <t>iCarsoft CR MAX P Bidirectional Scan Tools 10-inch Full System Diagnostic Tool Up to 51 Services All Active Test OBD2 Scanner ECU Coding CAN FD/DoIP Free Update Car Code Reader for 10000+ Vehicles</t>
        </is>
      </c>
      <c r="B30" s="35" t="inlineStr">
        <is>
          <t>B0GLFPC298</t>
        </is>
      </c>
      <c r="C30" s="35" t="inlineStr">
        <is>
          <t>Tablet</t>
        </is>
      </c>
      <c r="D30" s="359" t="n">
        <v>663.10375</v>
      </c>
      <c r="E30" s="66" t="n">
        <v>61116.25769230769</v>
      </c>
      <c r="F30" s="67" t="n">
        <v>5304.83</v>
      </c>
      <c r="G30" s="68" t="n">
        <v>11</v>
      </c>
      <c r="H30" s="68" t="n">
        <v>8</v>
      </c>
      <c r="I30" s="68" t="n"/>
      <c r="J30" s="69" t="n"/>
      <c r="K30" s="69" t="inlineStr">
        <is>
          <t>https://amazon.com/dp/B0GLFPC298</t>
        </is>
      </c>
      <c r="L30" s="114">
        <f>HYPERLINK(Table3155[[#This Row],[Column1]])</f>
        <v/>
      </c>
    </row>
    <row r="31" ht="60" customHeight="1" s="314">
      <c r="A31" s="35" t="inlineStr">
        <is>
          <t>iCarsoft CR Max - Wireless Professional Car Scanner Diagnostic Case for EU-Protocol Vehicles - Original Model with European Warranties</t>
        </is>
      </c>
      <c r="B31" s="35" t="inlineStr">
        <is>
          <t>B09B2M6T6N</t>
        </is>
      </c>
      <c r="C31" s="35" t="inlineStr">
        <is>
          <t>Handheld</t>
        </is>
      </c>
      <c r="D31" s="359" t="n">
        <v>398.5623076923077</v>
      </c>
      <c r="E31" s="66" t="n">
        <v>54257.19076923076</v>
      </c>
      <c r="F31" s="67" t="n">
        <v>5181.31</v>
      </c>
      <c r="G31" s="68" t="n">
        <v>82</v>
      </c>
      <c r="H31" s="68" t="n">
        <v>13</v>
      </c>
      <c r="I31" s="68" t="n">
        <v>608</v>
      </c>
      <c r="J31" s="69" t="n">
        <v>4.3</v>
      </c>
      <c r="K31" s="69" t="inlineStr">
        <is>
          <t>https://amazon.com/dp/B09B2M6T6N</t>
        </is>
      </c>
      <c r="L31" s="114">
        <f>HYPERLINK(Table3155[[#This Row],[Column1]])</f>
        <v/>
      </c>
    </row>
    <row r="32" ht="60" customHeight="1" s="314">
      <c r="A32" s="35" t="inlineStr">
        <is>
          <t>OBD2 Diagnostic Scan Tool for Mercedes Benz/Sprinter, iCarsoft M900 V2.0 Scanner Code Reader for Engine, Transmission, ABS, Airbag Systems, Oil/SAS/EPB/ETC/INJ Reset,Battery Test</t>
        </is>
      </c>
      <c r="B32" s="35" t="inlineStr">
        <is>
          <t>B07BFPKLMY</t>
        </is>
      </c>
      <c r="C32" s="35" t="inlineStr">
        <is>
          <t>Tablet</t>
        </is>
      </c>
      <c r="D32" s="359" t="n">
        <v>151.7615151515151</v>
      </c>
      <c r="E32" s="66" t="n">
        <v>73636.83</v>
      </c>
      <c r="F32" s="67" t="n">
        <v>5008.13</v>
      </c>
      <c r="G32" s="68" t="n">
        <v>529</v>
      </c>
      <c r="H32" s="68" t="n">
        <v>33</v>
      </c>
      <c r="I32" s="68" t="n">
        <v>154</v>
      </c>
      <c r="J32" s="69" t="n">
        <v>4</v>
      </c>
      <c r="K32" s="69" t="inlineStr">
        <is>
          <t>https://amazon.com/dp/B07BFPKLMY</t>
        </is>
      </c>
      <c r="L32" s="114">
        <f>HYPERLINK(Table3155[[#This Row],[Column1]])</f>
        <v/>
      </c>
    </row>
    <row r="33" ht="60" customHeight="1" s="314">
      <c r="A33" s="35" t="inlineStr">
        <is>
          <t>iCarsoft LR V3.0 2026 Ver Bidirectional OBD2 Scanner for Most Land Rover/Jaguar from 1996-2023 Full Systems Diagnostic Scan Tool 37 Service/118 Graphic Data Engine Transmission ABS Car Code Reader</t>
        </is>
      </c>
      <c r="B33" s="35" t="inlineStr">
        <is>
          <t>B0DBDDLS9F</t>
        </is>
      </c>
      <c r="C33" s="35" t="inlineStr">
        <is>
          <t>Tablet</t>
        </is>
      </c>
      <c r="D33" s="359" t="n">
        <v>187.6280769230769</v>
      </c>
      <c r="E33" s="66" t="n">
        <v>273399.64</v>
      </c>
      <c r="F33" s="67" t="n">
        <v>4878.33</v>
      </c>
      <c r="G33" s="68" t="n">
        <v>1341</v>
      </c>
      <c r="H33" s="68" t="n">
        <v>26</v>
      </c>
      <c r="I33" s="68" t="n">
        <v>202</v>
      </c>
      <c r="J33" s="69" t="n">
        <v>4.3</v>
      </c>
      <c r="K33" s="69" t="inlineStr">
        <is>
          <t>https://amazon.com/dp/B0DBDDLS9F</t>
        </is>
      </c>
      <c r="L33" s="114">
        <f>HYPERLINK(Table3155[[#This Row],[Column1]])</f>
        <v/>
      </c>
    </row>
    <row r="34" ht="45" customHeight="1" s="314">
      <c r="A34" s="35" t="inlineStr">
        <is>
          <t>iCarsoft CR MAX 2026 Ver Bidirectional Scan Tool All System Diagnosis 49+ Services 47+ Special Functions Full Active Test OBD2 Scanner Diagnostic Tool Car Code Reader ECU Coding CAN FD Free Update</t>
        </is>
      </c>
      <c r="B34" s="35" t="inlineStr">
        <is>
          <t>B0DXLCFJ1L</t>
        </is>
      </c>
      <c r="C34" s="35" t="inlineStr">
        <is>
          <t>Tablet</t>
        </is>
      </c>
      <c r="D34" s="359" t="n">
        <v>342.5846153846154</v>
      </c>
      <c r="E34" s="66" t="n">
        <v>141980.27</v>
      </c>
      <c r="F34" s="67" t="n">
        <v>4453.6</v>
      </c>
      <c r="G34" s="68" t="n">
        <v>374</v>
      </c>
      <c r="H34" s="68" t="n">
        <v>13</v>
      </c>
      <c r="I34" s="68" t="n">
        <v>48</v>
      </c>
      <c r="J34" s="69" t="n">
        <v>4.1</v>
      </c>
      <c r="K34" s="69" t="inlineStr">
        <is>
          <t>https://amazon.com/dp/B0DXLCFJ1L</t>
        </is>
      </c>
      <c r="L34" s="114">
        <f>HYPERLINK(Table3155[[#This Row],[Column1]])</f>
        <v/>
      </c>
    </row>
    <row r="35" ht="30" customHeight="1" s="314">
      <c r="A35" s="35" t="inlineStr">
        <is>
          <t>iCarsoft Wireless Bidirectional Diagnostic Tool, CR Eagle ECU Coding &amp; TPMS Programming &amp; Battery Registration, All System 49 Reset,10000+Extra Services OBD2 Scanner with 4 Sensors/Endoscope</t>
        </is>
      </c>
      <c r="B35" s="35" t="inlineStr">
        <is>
          <t>B0F1TD28WF</t>
        </is>
      </c>
      <c r="C35" s="35" t="inlineStr">
        <is>
          <t>Tablet</t>
        </is>
      </c>
      <c r="D35" s="359" t="n">
        <v>846.96</v>
      </c>
      <c r="E35" s="66" t="n">
        <v>47251.92846153846</v>
      </c>
      <c r="F35" s="67" t="n">
        <v>4234.8</v>
      </c>
      <c r="G35" s="68" t="n">
        <v>35</v>
      </c>
      <c r="H35" s="68" t="n">
        <v>5</v>
      </c>
      <c r="I35" s="68" t="n">
        <v>1</v>
      </c>
      <c r="J35" s="69" t="n">
        <v>2</v>
      </c>
      <c r="K35" s="69" t="inlineStr">
        <is>
          <t>https://amazon.com/dp/B0F1TD28WF</t>
        </is>
      </c>
      <c r="L35" s="114">
        <f>HYPERLINK(Table3155[[#This Row],[Column1]])</f>
        <v/>
      </c>
    </row>
    <row r="36" ht="45" customHeight="1" s="314">
      <c r="A36" s="35" t="inlineStr">
        <is>
          <t>iCarsoft MB II OBD2 Scanner for Mercedes Benz/Sprinter/Smart, All System in-Depth Diagnostic Scan Tool, with Oil Reset/SAS/EPB/ETC/DF/BLD/INJ, Battery Test, Live Graph Data</t>
        </is>
      </c>
      <c r="B36" s="35" t="inlineStr">
        <is>
          <t>B0D769KCX6</t>
        </is>
      </c>
      <c r="C36" s="35" t="inlineStr">
        <is>
          <t>Tablet</t>
        </is>
      </c>
      <c r="D36" s="359" t="n">
        <v>145.4282142857143</v>
      </c>
      <c r="E36" s="66" t="n">
        <v>41537.39999999999</v>
      </c>
      <c r="F36" s="67" t="n">
        <v>4071.99</v>
      </c>
      <c r="G36" s="68" t="n">
        <v>266</v>
      </c>
      <c r="H36" s="68" t="n">
        <v>28</v>
      </c>
      <c r="I36" s="68" t="n">
        <v>60</v>
      </c>
      <c r="J36" s="69" t="n">
        <v>3.8</v>
      </c>
      <c r="K36" s="69" t="inlineStr">
        <is>
          <t>https://amazon.com/dp/B0D769KCX6</t>
        </is>
      </c>
      <c r="L36" s="114">
        <f>HYPERLINK(Table3155[[#This Row],[Column1]])</f>
        <v/>
      </c>
    </row>
    <row r="37" ht="45" customHeight="1" s="314">
      <c r="A37" s="35" t="inlineStr">
        <is>
          <t>iCarsoft CR MAX 2026 Version Bidirectional Scan Tools Full System Diagnosis 49 Services All Active Test OBD2 Scanner Diagnostic Tool Car Code Reader ECU Coding CAN FD Free Update for 10000+ Vehicles</t>
        </is>
      </c>
      <c r="B37" s="35" t="inlineStr">
        <is>
          <t>B0FZ89PCWN</t>
        </is>
      </c>
      <c r="C37" s="35" t="inlineStr">
        <is>
          <t>Tablet</t>
        </is>
      </c>
      <c r="D37" s="359" t="n">
        <v>451.39</v>
      </c>
      <c r="E37" s="66" t="n">
        <v>49478.79384615386</v>
      </c>
      <c r="F37" s="67" t="n">
        <v>4062.51</v>
      </c>
      <c r="G37" s="68" t="n">
        <v>45</v>
      </c>
      <c r="H37" s="68" t="n">
        <v>9</v>
      </c>
      <c r="I37" s="68" t="n">
        <v>1</v>
      </c>
      <c r="J37" s="69" t="n">
        <v>5</v>
      </c>
      <c r="K37" s="69" t="inlineStr">
        <is>
          <t>https://amazon.com/dp/B0FZ89PCWN</t>
        </is>
      </c>
      <c r="L37" s="114">
        <f>HYPERLINK(Table3155[[#This Row],[Column1]])</f>
        <v/>
      </c>
    </row>
    <row r="38" ht="45" customHeight="1" s="314">
      <c r="A38" s="35" t="inlineStr">
        <is>
          <t>iCarsoft CR Plus OBD2 Scanner Diagnostic Tool, Code Reader for ABS Transmission Engine Airbag System. Car Scan Tool with EVAP and O2 Sensor Test,On-Board,Freeze Frame,Oil Reset-Free Update</t>
        </is>
      </c>
      <c r="B38" s="35" t="inlineStr">
        <is>
          <t>B0D1CS59GX</t>
        </is>
      </c>
      <c r="C38" s="35" t="inlineStr">
        <is>
          <t>Tablet</t>
        </is>
      </c>
      <c r="D38" s="359" t="n">
        <v>203.9894444444444</v>
      </c>
      <c r="E38" s="66" t="n">
        <v>48352.04000000001</v>
      </c>
      <c r="F38" s="67" t="n">
        <v>3671.81</v>
      </c>
      <c r="G38" s="68" t="n">
        <v>231</v>
      </c>
      <c r="H38" s="68" t="n">
        <v>18</v>
      </c>
      <c r="I38" s="68" t="n">
        <v>10</v>
      </c>
      <c r="J38" s="69" t="n">
        <v>4.1</v>
      </c>
      <c r="K38" s="69" t="inlineStr">
        <is>
          <t>https://amazon.com/dp/B0D1CS59GX</t>
        </is>
      </c>
      <c r="L38" s="114">
        <f>HYPERLINK(Table3155[[#This Row],[Column1]])</f>
        <v/>
      </c>
    </row>
    <row r="39" ht="30" customHeight="1" s="314">
      <c r="A39" s="35" t="inlineStr">
        <is>
          <t>iCarsoft POR V4.0 Bidirectional Diagnostic Tool for Porsche, All System Full Active Tests 27 Services OBD2 Scanner for Porsche, Code Reader, Auto VIN</t>
        </is>
      </c>
      <c r="B39" s="35" t="inlineStr">
        <is>
          <t>B0FKN6LJRN</t>
        </is>
      </c>
      <c r="C39" s="35" t="inlineStr">
        <is>
          <t>Tablet</t>
        </is>
      </c>
      <c r="D39" s="359" t="n">
        <v>253.6707142857143</v>
      </c>
      <c r="E39" s="66" t="n">
        <v>82848.86692307694</v>
      </c>
      <c r="F39" s="67" t="n">
        <v>3551.39</v>
      </c>
      <c r="G39" s="68" t="n">
        <v>236</v>
      </c>
      <c r="H39" s="68" t="n">
        <v>14</v>
      </c>
      <c r="I39" s="68" t="n">
        <v>11</v>
      </c>
      <c r="J39" s="69" t="n">
        <v>3.6</v>
      </c>
      <c r="K39" s="69" t="inlineStr">
        <is>
          <t>https://amazon.com/dp/B0FKN6LJRN</t>
        </is>
      </c>
      <c r="L39" s="114">
        <f>HYPERLINK(Table3155[[#This Row],[Column1]])</f>
        <v/>
      </c>
    </row>
    <row r="40" ht="30" customHeight="1" s="314">
      <c r="A40" s="35" t="inlineStr">
        <is>
          <t>iCarsoft POR V3.0(Upgraded) Bidirectional Diagnostic Tool for Porsche, 27 Resets (234Sub-Resets) + 66 Extra Services + 1333Test Items, All System OBD2 Scanner, Battery Registration Code Reader</t>
        </is>
      </c>
      <c r="B40" s="35" t="inlineStr">
        <is>
          <t>B0FRF2ZMMG</t>
        </is>
      </c>
      <c r="C40" s="35" t="inlineStr">
        <is>
          <t>Tablet</t>
        </is>
      </c>
      <c r="D40" s="359" t="n">
        <v>223.2713333333333</v>
      </c>
      <c r="E40" s="66" t="n">
        <v>47989.57307692309</v>
      </c>
      <c r="F40" s="67" t="n">
        <v>3349.07</v>
      </c>
      <c r="G40" s="68" t="n">
        <v>91</v>
      </c>
      <c r="H40" s="68" t="n">
        <v>15</v>
      </c>
      <c r="I40" s="68" t="n">
        <v>1</v>
      </c>
      <c r="J40" s="69" t="n">
        <v>5</v>
      </c>
      <c r="K40" s="69" t="inlineStr">
        <is>
          <t>https://amazon.com/dp/B0FRF2ZMMG</t>
        </is>
      </c>
      <c r="L40" s="114">
        <f>HYPERLINK(Table3155[[#This Row],[Column1]])</f>
        <v/>
      </c>
    </row>
    <row r="41" ht="45" customHeight="1" s="314">
      <c r="A41" s="35" t="inlineStr">
        <is>
          <t>iCarsoft MBII for Mercedes Benz, Reads and Clears Trouble Codes, EPB,SAS, ETC Reset</t>
        </is>
      </c>
      <c r="B41" s="35" t="inlineStr">
        <is>
          <t>B074224KTH</t>
        </is>
      </c>
      <c r="C41" s="35" t="inlineStr">
        <is>
          <t>Tablet</t>
        </is>
      </c>
      <c r="D41" s="359" t="n">
        <v>139.2725</v>
      </c>
      <c r="E41" s="66" t="n">
        <v>57061.17999999999</v>
      </c>
      <c r="F41" s="67" t="n">
        <v>3342.54</v>
      </c>
      <c r="G41" s="68" t="n">
        <v>438</v>
      </c>
      <c r="H41" s="68" t="n">
        <v>24</v>
      </c>
      <c r="I41" s="68" t="n">
        <v>591</v>
      </c>
      <c r="J41" s="69" t="n">
        <v>4.2</v>
      </c>
      <c r="K41" s="69" t="inlineStr">
        <is>
          <t>https://amazon.com/dp/B074224KTH</t>
        </is>
      </c>
      <c r="L41" s="114">
        <f>HYPERLINK(Table3155[[#This Row],[Column1]])</f>
        <v/>
      </c>
    </row>
    <row r="42" ht="45" customHeight="1" s="314">
      <c r="A42" s="35" t="inlineStr">
        <is>
          <t>iCarsoft US V3.0 for GM/Ford/Chrysler/Jeep Bi-Directional Scan Tool, Full System Diagnostic Code Reader Scanner, 37 Reset Functions, AUTOVIN, Full OBD2, Lifetime Free Update- 2025</t>
        </is>
      </c>
      <c r="B42" s="35" t="inlineStr">
        <is>
          <t>B07FPS53NG</t>
        </is>
      </c>
      <c r="C42" s="35" t="inlineStr">
        <is>
          <t>Tablet</t>
        </is>
      </c>
      <c r="D42" s="359" t="n">
        <v>235.3653846153846</v>
      </c>
      <c r="E42" s="66" t="n">
        <v>27809.57</v>
      </c>
      <c r="F42" s="67" t="n">
        <v>3059.75</v>
      </c>
      <c r="G42" s="68" t="n">
        <v>122</v>
      </c>
      <c r="H42" s="68" t="n">
        <v>13</v>
      </c>
      <c r="I42" s="68" t="n">
        <v>98</v>
      </c>
      <c r="J42" s="69" t="n">
        <v>4.1</v>
      </c>
      <c r="K42" s="69" t="inlineStr">
        <is>
          <t>https://amazon.com/dp/B07FPS53NG</t>
        </is>
      </c>
      <c r="L42" s="114">
        <f>HYPERLINK(Table3155[[#This Row],[Column1]])</f>
        <v/>
      </c>
    </row>
    <row r="43" ht="45" customHeight="1" s="314">
      <c r="A43" s="35" t="inlineStr">
        <is>
          <t>iCarsoft MB V3.0 Bidirectional Scan Tool for Most Mercedes-Benz/Sprinter/Smart 38+ Reset Service All System Scanner Full Active Test Quick Auto VIN Diagnostic Tool Car Code Reader with 38 Pin for Benz</t>
        </is>
      </c>
      <c r="B43" s="35" t="inlineStr">
        <is>
          <t>B0DV5F3G46</t>
        </is>
      </c>
      <c r="C43" s="35" t="inlineStr">
        <is>
          <t>Tablet</t>
        </is>
      </c>
      <c r="D43" s="359" t="n">
        <v>234.5661538461539</v>
      </c>
      <c r="E43" s="66" t="n">
        <v>90665.47999999998</v>
      </c>
      <c r="F43" s="67" t="n">
        <v>3049.36</v>
      </c>
      <c r="G43" s="68" t="n">
        <v>368</v>
      </c>
      <c r="H43" s="68" t="n">
        <v>13</v>
      </c>
      <c r="I43" s="68" t="n">
        <v>17</v>
      </c>
      <c r="J43" s="69" t="n">
        <v>4.1</v>
      </c>
      <c r="K43" s="69" t="inlineStr">
        <is>
          <t>https://amazon.com/dp/B0DV5F3G46</t>
        </is>
      </c>
      <c r="L43" s="114">
        <f>HYPERLINK(Table3155[[#This Row],[Column1]])</f>
        <v/>
      </c>
    </row>
    <row r="44" ht="30" customHeight="1" s="314">
      <c r="A44" s="35" t="inlineStr">
        <is>
          <t>iCarsoft CR Ultra P Bidirectional Scan Tool with ECU Coding Topology Map 41+ Resets, All System Automotive Diagnostic Scanner, Upgraded Ver. of CR Ultra, Full Active Test/CANFD/DoIP/3Years Free Update</t>
        </is>
      </c>
      <c r="B44" s="35" t="inlineStr">
        <is>
          <t>B0FRMFBS1L</t>
        </is>
      </c>
      <c r="C44" s="35" t="inlineStr">
        <is>
          <t>Tablet</t>
        </is>
      </c>
      <c r="D44" s="359" t="n">
        <v>1499.935</v>
      </c>
      <c r="E44" s="66" t="n">
        <v>31455.01615384617</v>
      </c>
      <c r="F44" s="67" t="n">
        <v>2999.87</v>
      </c>
      <c r="G44" s="68" t="n">
        <v>6</v>
      </c>
      <c r="H44" s="68" t="n">
        <v>2</v>
      </c>
      <c r="I44" s="68" t="n"/>
      <c r="J44" s="69" t="n"/>
      <c r="K44" s="69" t="inlineStr">
        <is>
          <t>https://amazon.com/dp/B0FRMFBS1L</t>
        </is>
      </c>
      <c r="L44" s="114">
        <f>HYPERLINK(Table3155[[#This Row],[Column1]])</f>
        <v/>
      </c>
    </row>
    <row r="45" ht="45" customHeight="1" s="314">
      <c r="A45" s="35" t="inlineStr">
        <is>
          <t>OBD2 Scanner Diagnostic Tool for Porsche/Cayenne, iCarsoft POR V2.0 Code Reader Battery Registration for Porsche, All System in-Depth Scan, with Oil Reset/SAS/EPB/BMS/ETC/DP/BLD/INJ, Battery Test</t>
        </is>
      </c>
      <c r="B45" s="35" t="inlineStr">
        <is>
          <t>B0D766QB7N</t>
        </is>
      </c>
      <c r="C45" s="35" t="inlineStr">
        <is>
          <t>Tablet</t>
        </is>
      </c>
      <c r="D45" s="359" t="n">
        <v>142.9355</v>
      </c>
      <c r="E45" s="66" t="n">
        <v>75029.50769230768</v>
      </c>
      <c r="F45" s="67" t="n">
        <v>2858.71</v>
      </c>
      <c r="G45" s="68" t="n">
        <v>416</v>
      </c>
      <c r="H45" s="68" t="n">
        <v>20</v>
      </c>
      <c r="I45" s="68" t="n">
        <v>35</v>
      </c>
      <c r="J45" s="69" t="n">
        <v>3.9</v>
      </c>
      <c r="K45" s="69" t="inlineStr">
        <is>
          <t>https://amazon.com/dp/B0D766QB7N</t>
        </is>
      </c>
      <c r="L45" s="114">
        <f>HYPERLINK(Table3155[[#This Row],[Column1]])</f>
        <v/>
      </c>
    </row>
    <row r="46" ht="45" customHeight="1" s="314">
      <c r="A46" s="35" t="inlineStr">
        <is>
          <t>iCarsoft BMM V4.0 Bidirectional OBD2 Scanner for BMW/Rolls-Royce/Mini+ 2 Extra Brand, Diagnostic Scan Tool with ECU Coding 14 Resets, Full System Code Reader, Battery Registration, 4-in-1 Live Data</t>
        </is>
      </c>
      <c r="B46" s="35" t="inlineStr">
        <is>
          <t>B0FWXN93N5</t>
        </is>
      </c>
      <c r="C46" s="35" t="inlineStr">
        <is>
          <t>Tablet</t>
        </is>
      </c>
      <c r="D46" s="359" t="n">
        <v>252.5818181818182</v>
      </c>
      <c r="E46" s="66" t="n">
        <v>27556.90538461539</v>
      </c>
      <c r="F46" s="67" t="n">
        <v>2778.4</v>
      </c>
      <c r="G46" s="68" t="n">
        <v>28</v>
      </c>
      <c r="H46" s="68" t="n">
        <v>11</v>
      </c>
      <c r="I46" s="68" t="n"/>
      <c r="J46" s="69" t="n"/>
      <c r="K46" s="69" t="inlineStr">
        <is>
          <t>https://amazon.com/dp/B0FWXN93N5</t>
        </is>
      </c>
      <c r="L46" s="114">
        <f>HYPERLINK(Table3155[[#This Row],[Column1]])</f>
        <v/>
      </c>
    </row>
    <row r="47" ht="45" customHeight="1" s="314">
      <c r="A47" s="35" t="inlineStr">
        <is>
          <t>iCarsoft POR-II Porsche OBD-II Scanner Tool Multi-systems ABS SRS</t>
        </is>
      </c>
      <c r="B47" s="35" t="inlineStr">
        <is>
          <t>B011DKBXBK</t>
        </is>
      </c>
      <c r="C47" s="35" t="inlineStr">
        <is>
          <t>Tablet</t>
        </is>
      </c>
      <c r="D47" s="359" t="n">
        <v>119.64</v>
      </c>
      <c r="E47" s="66" t="n">
        <v>28897.44</v>
      </c>
      <c r="F47" s="67" t="n">
        <v>2751.72</v>
      </c>
      <c r="G47" s="68" t="n">
        <v>212</v>
      </c>
      <c r="H47" s="68" t="n">
        <v>23</v>
      </c>
      <c r="I47" s="68" t="n">
        <v>705</v>
      </c>
      <c r="J47" s="69" t="n">
        <v>4.1</v>
      </c>
      <c r="K47" s="69" t="inlineStr">
        <is>
          <t>https://amazon.com/dp/B011DKBXBK</t>
        </is>
      </c>
      <c r="L47" s="114">
        <f>HYPERLINK(Table3155[[#This Row],[Column1]])</f>
        <v/>
      </c>
    </row>
    <row r="48" ht="60" customHeight="1" s="314">
      <c r="A48" s="35" t="inlineStr">
        <is>
          <t>iCarsoft POR V3.0 for Porsche/Cayenne Diagnostic Tool with auto VIN/Quick Test</t>
        </is>
      </c>
      <c r="B48" s="35" t="inlineStr">
        <is>
          <t>B08ZHWHKPP</t>
        </is>
      </c>
      <c r="C48" s="35" t="inlineStr">
        <is>
          <t>Tablet</t>
        </is>
      </c>
      <c r="D48" s="359" t="n">
        <v>182.366</v>
      </c>
      <c r="E48" s="66" t="n">
        <v>42975.75000000001</v>
      </c>
      <c r="F48" s="67" t="n">
        <v>2735.49</v>
      </c>
      <c r="G48" s="68" t="n">
        <v>229</v>
      </c>
      <c r="H48" s="68" t="n">
        <v>15</v>
      </c>
      <c r="I48" s="68" t="n">
        <v>152</v>
      </c>
      <c r="J48" s="69" t="n">
        <v>4</v>
      </c>
      <c r="K48" s="69" t="inlineStr">
        <is>
          <t>https://amazon.com/dp/B08ZHWHKPP</t>
        </is>
      </c>
      <c r="L48" s="114">
        <f>HYPERLINK(Table3155[[#This Row],[Column1]])</f>
        <v/>
      </c>
    </row>
    <row r="49" ht="45" customHeight="1" s="314">
      <c r="A49" s="35" t="inlineStr">
        <is>
          <t>iCarsoft MT V6 Motorcycle Diagnostic Scan Tool for Ducati, All System Diagnose Motorcycle Scanner with 101 Active Tests, 85 Maintenance Services, Read/Clear Codes,Battery Test,for 99% Ducati Models</t>
        </is>
      </c>
      <c r="B49" s="35" t="inlineStr">
        <is>
          <t>B0FPQMYTNG</t>
        </is>
      </c>
      <c r="C49" s="35" t="inlineStr">
        <is>
          <t>Tablet</t>
        </is>
      </c>
      <c r="D49" s="359" t="n">
        <v>193.6321428571428</v>
      </c>
      <c r="E49" s="66" t="n">
        <v>25249.63461538461</v>
      </c>
      <c r="F49" s="67" t="n">
        <v>2710.85</v>
      </c>
      <c r="G49" s="68" t="n">
        <v>26</v>
      </c>
      <c r="H49" s="68" t="n">
        <v>14</v>
      </c>
      <c r="I49" s="68" t="n">
        <v>1</v>
      </c>
      <c r="J49" s="69" t="n">
        <v>2</v>
      </c>
      <c r="K49" s="69" t="inlineStr">
        <is>
          <t>https://amazon.com/dp/B0FPQMYTNG</t>
        </is>
      </c>
      <c r="L49" s="114">
        <f>HYPERLINK(Table3155[[#This Row],[Column1]])</f>
        <v/>
      </c>
    </row>
    <row r="50" ht="45" customHeight="1" s="314">
      <c r="A50" s="35" t="inlineStr">
        <is>
          <t>iCarsoft MT V6 Motorcycle Diagnostic Tool for BMW Full System 115 Reset /197 Actuation Test, Motorbike+Car OBD2 Scanner Code Reader with ABS Bleeding, Throttle Valve Reset, Battery Test, AutoVIN</t>
        </is>
      </c>
      <c r="B50" s="35" t="inlineStr">
        <is>
          <t>B0DGCGXZBJ</t>
        </is>
      </c>
      <c r="C50" s="35" t="inlineStr">
        <is>
          <t>Tablet</t>
        </is>
      </c>
      <c r="D50" s="359" t="n">
        <v>200.6853846153846</v>
      </c>
      <c r="E50" s="66" t="n">
        <v>38132.44</v>
      </c>
      <c r="F50" s="67" t="n">
        <v>2608.91</v>
      </c>
      <c r="G50" s="68" t="n">
        <v>156</v>
      </c>
      <c r="H50" s="68" t="n">
        <v>13</v>
      </c>
      <c r="I50" s="68" t="n">
        <v>7</v>
      </c>
      <c r="J50" s="69" t="n">
        <v>2.2</v>
      </c>
      <c r="K50" s="69" t="inlineStr">
        <is>
          <t>https://amazon.com/dp/B0DGCGXZBJ</t>
        </is>
      </c>
      <c r="L50" s="114">
        <f>HYPERLINK(Table3155[[#This Row],[Column1]])</f>
        <v/>
      </c>
    </row>
    <row r="51" ht="45" customHeight="1" s="314">
      <c r="A51" s="35" t="inlineStr">
        <is>
          <t>iCarsoft LR V3.0 for Land Rover/Jaguar Diagnostic Tool with auto VIN/Quick Test/Actuation Test</t>
        </is>
      </c>
      <c r="B51" s="35" t="inlineStr">
        <is>
          <t>B08R9MG5JM</t>
        </is>
      </c>
      <c r="C51" s="35" t="inlineStr">
        <is>
          <t>Tablet</t>
        </is>
      </c>
      <c r="D51" s="359" t="n">
        <v>171.7313333333333</v>
      </c>
      <c r="E51" s="66" t="n">
        <v>59752.15</v>
      </c>
      <c r="F51" s="67" t="n">
        <v>2575.97</v>
      </c>
      <c r="G51" s="68" t="n">
        <v>327</v>
      </c>
      <c r="H51" s="68" t="n">
        <v>15</v>
      </c>
      <c r="I51" s="68" t="n">
        <v>348</v>
      </c>
      <c r="J51" s="69" t="n">
        <v>3.9</v>
      </c>
      <c r="K51" s="69" t="inlineStr">
        <is>
          <t>https://amazon.com/dp/B08R9MG5JM</t>
        </is>
      </c>
      <c r="L51" s="114">
        <f>HYPERLINK(Table3155[[#This Row],[Column1]])</f>
        <v/>
      </c>
    </row>
    <row r="52" ht="30" customHeight="1" s="314">
      <c r="A52" s="35" t="inlineStr">
        <is>
          <t>iCarsoft VOL V2.0 OBD2 Scanner for Volvo/SAAB, Auto in-Depth Full Systems Scan OBD2 Diagnostic Tool, 118 Graph Data/Battery Test/Reset, ABS SRS Engine Transmission Code Reader</t>
        </is>
      </c>
      <c r="B52" s="35" t="inlineStr">
        <is>
          <t>B0DJRBLN3Y</t>
        </is>
      </c>
      <c r="C52" s="35" t="inlineStr">
        <is>
          <t>Tablet</t>
        </is>
      </c>
      <c r="D52" s="359" t="n">
        <v>159.96375</v>
      </c>
      <c r="E52" s="66" t="n">
        <v>20600.64153846154</v>
      </c>
      <c r="F52" s="67" t="n">
        <v>2559.42</v>
      </c>
      <c r="G52" s="68" t="n">
        <v>109</v>
      </c>
      <c r="H52" s="68" t="n">
        <v>16</v>
      </c>
      <c r="I52" s="68" t="n">
        <v>785</v>
      </c>
      <c r="J52" s="69" t="n">
        <v>4</v>
      </c>
      <c r="K52" s="69" t="inlineStr">
        <is>
          <t>https://amazon.com/dp/B0DJRBLN3Y</t>
        </is>
      </c>
      <c r="L52" s="114">
        <f>HYPERLINK(Table3155[[#This Row],[Column1]])</f>
        <v/>
      </c>
    </row>
    <row r="53" ht="30" customHeight="1" s="314">
      <c r="A53" s="35" t="inlineStr">
        <is>
          <t>Heavy Duty Truck Scanner, iCarsoft HD V3.0 (Enhance Version) Multi-System OBD2 Diagnostic Scan Tool for Truck, Car, Mini Van, Light Duty Vehicle,</t>
        </is>
      </c>
      <c r="B53" s="35" t="inlineStr">
        <is>
          <t>B075FGMWTV</t>
        </is>
      </c>
      <c r="C53" s="35" t="inlineStr">
        <is>
          <t>Handheld</t>
        </is>
      </c>
      <c r="D53" s="359" t="n">
        <v>91.00777777777778</v>
      </c>
      <c r="E53" s="66" t="n">
        <v>23462.30538461538</v>
      </c>
      <c r="F53" s="67" t="n">
        <v>2457.21</v>
      </c>
      <c r="G53" s="68" t="n">
        <v>134</v>
      </c>
      <c r="H53" s="68" t="n">
        <v>27</v>
      </c>
      <c r="I53" s="68" t="n">
        <v>109</v>
      </c>
      <c r="J53" s="69" t="n">
        <v>3.8</v>
      </c>
      <c r="K53" s="69" t="inlineStr">
        <is>
          <t>https://amazon.com/dp/B075FGMWTV</t>
        </is>
      </c>
      <c r="L53" s="114">
        <f>HYPERLINK(Table3155[[#This Row],[Column1]])</f>
        <v/>
      </c>
    </row>
    <row r="54" ht="17" customHeight="1" s="314">
      <c r="A54" s="35" t="inlineStr">
        <is>
          <t>iCarsoft CR Max BT (Enhanced) Wireless Bidirectional Diagnostic Tool, ECU Adaptation/Teach-in, 49+ Reset All System Touchscreen Battery Registration ECU Coding OBD2 Scanner with 38Pin + 20Pin Adapter</t>
        </is>
      </c>
      <c r="B54" s="35" t="inlineStr">
        <is>
          <t>B0DRJM17KL</t>
        </is>
      </c>
      <c r="C54" s="35" t="inlineStr">
        <is>
          <t>Tablet</t>
        </is>
      </c>
      <c r="D54" s="359" t="n">
        <v>478.542</v>
      </c>
      <c r="E54" s="66" t="n">
        <v>50005.79</v>
      </c>
      <c r="F54" s="67" t="n">
        <v>2392.71</v>
      </c>
      <c r="G54" s="68" t="n">
        <v>97</v>
      </c>
      <c r="H54" s="68" t="n">
        <v>5</v>
      </c>
      <c r="I54" s="68" t="n">
        <v>603</v>
      </c>
      <c r="J54" s="69" t="n">
        <v>4.3</v>
      </c>
      <c r="K54" s="69" t="inlineStr">
        <is>
          <t>https://amazon.com/dp/B0DRJM17KL</t>
        </is>
      </c>
      <c r="L54" s="114">
        <f>HYPERLINK(Table3155[[#This Row],[Column1]])</f>
        <v/>
      </c>
    </row>
    <row r="55" ht="45" customHeight="1" s="314">
      <c r="A55" s="35" t="inlineStr">
        <is>
          <t>iCarsoft Professional Multi-System Auto Diagnostic Tool LR V2.0 Compatible for Landrover/Jaguar ABS SRS Oil Reset Update for LR II</t>
        </is>
      </c>
      <c r="B55" s="35" t="inlineStr">
        <is>
          <t>B0791CF7T7</t>
        </is>
      </c>
      <c r="C55" s="35" t="inlineStr">
        <is>
          <t>Tablet</t>
        </is>
      </c>
      <c r="D55" s="359" t="n">
        <v>129.6738888888889</v>
      </c>
      <c r="E55" s="66" t="n">
        <v>21470.6</v>
      </c>
      <c r="F55" s="67" t="n">
        <v>2334.13</v>
      </c>
      <c r="G55" s="68" t="n">
        <v>159</v>
      </c>
      <c r="H55" s="68" t="n">
        <v>18</v>
      </c>
      <c r="I55" s="68" t="n">
        <v>438</v>
      </c>
      <c r="J55" s="69" t="n">
        <v>4.2</v>
      </c>
      <c r="K55" s="69" t="inlineStr">
        <is>
          <t>https://amazon.com/dp/B0791CF7T7</t>
        </is>
      </c>
      <c r="L55" s="114">
        <f>HYPERLINK(Table3155[[#This Row],[Column1]])</f>
        <v/>
      </c>
    </row>
    <row r="56" ht="45" customHeight="1" s="314">
      <c r="A56" s="35" t="inlineStr">
        <is>
          <t>iCarsoft MT V6 Motorcycle Diagnostic Scan Tool for Harley, 57 Reset Services, 43 Actuation Test, Battery Test, All Motorbike System Diagnose, Read/Clear Codes, Live Data,Also Car OBD2 Diagnose</t>
        </is>
      </c>
      <c r="B56" s="35" t="inlineStr">
        <is>
          <t>B0FRFFNCZ9</t>
        </is>
      </c>
      <c r="C56" s="35" t="inlineStr">
        <is>
          <t>Tablet</t>
        </is>
      </c>
      <c r="D56" s="359" t="n">
        <v>218.659</v>
      </c>
      <c r="E56" s="66" t="n">
        <v>23252.26769230769</v>
      </c>
      <c r="F56" s="67" t="n">
        <v>2186.59</v>
      </c>
      <c r="G56" s="68" t="n">
        <v>14</v>
      </c>
      <c r="H56" s="68" t="n">
        <v>10</v>
      </c>
      <c r="I56" s="68" t="n">
        <v>2</v>
      </c>
      <c r="J56" s="69" t="n">
        <v>5</v>
      </c>
      <c r="K56" s="69" t="inlineStr">
        <is>
          <t>https://amazon.com/dp/B0FRFFNCZ9</t>
        </is>
      </c>
      <c r="L56" s="114">
        <f>HYPERLINK(Table3155[[#This Row],[Column1]])</f>
        <v/>
      </c>
    </row>
    <row r="57" ht="45" customHeight="1" s="314">
      <c r="A57" s="35" t="inlineStr">
        <is>
          <t>iCarsoft 38 PIN Diagnostic Adapter for Benz OBD I Multi Systems diagnose 38 Pin Male to 16 Pin Female OBDII Connector</t>
        </is>
      </c>
      <c r="B57" s="35" t="inlineStr">
        <is>
          <t>B07SX7QHS9</t>
        </is>
      </c>
      <c r="C57" s="35" t="inlineStr">
        <is>
          <t>Cable/Adapter</t>
        </is>
      </c>
      <c r="D57" s="359" t="n">
        <v>58.0972972972973</v>
      </c>
      <c r="E57" s="66" t="n">
        <v>24716.37</v>
      </c>
      <c r="F57" s="67" t="n">
        <v>2149.6</v>
      </c>
      <c r="G57" s="68" t="n">
        <v>432</v>
      </c>
      <c r="H57" s="68" t="n">
        <v>37</v>
      </c>
      <c r="I57" s="68" t="n">
        <v>255</v>
      </c>
      <c r="J57" s="69" t="n">
        <v>4.5</v>
      </c>
      <c r="K57" s="69" t="inlineStr">
        <is>
          <t>https://amazon.com/dp/B07SX7QHS9</t>
        </is>
      </c>
      <c r="L57" s="114">
        <f>HYPERLINK(Table3155[[#This Row],[Column1]])</f>
        <v/>
      </c>
    </row>
    <row r="58" ht="45" customHeight="1" s="314">
      <c r="A58" s="35" t="inlineStr">
        <is>
          <t>OBD2 Scanner for Toyota/Honda (Acura) /Lexus, iCarsoft JP V3.0 All Reset+Full System Diagnostic Scan Car Code Reader for Nissan/Infiniti/Mitsubishi/Mazda/Suzuki/Hyundai</t>
        </is>
      </c>
      <c r="B58" s="35" t="inlineStr">
        <is>
          <t>B0FKGHKXHC</t>
        </is>
      </c>
      <c r="C58" s="35" t="inlineStr">
        <is>
          <t>Tablet</t>
        </is>
      </c>
      <c r="D58" s="359" t="n">
        <v>228.3966666666667</v>
      </c>
      <c r="E58" s="66" t="n">
        <v>15662.72692307692</v>
      </c>
      <c r="F58" s="67" t="n">
        <v>2055.57</v>
      </c>
      <c r="G58" s="68" t="n">
        <v>36</v>
      </c>
      <c r="H58" s="68" t="n">
        <v>9</v>
      </c>
      <c r="I58" s="68" t="n">
        <v>1</v>
      </c>
      <c r="J58" s="69" t="n">
        <v>5</v>
      </c>
      <c r="K58" s="69" t="inlineStr">
        <is>
          <t>https://amazon.com/dp/B0FKGHKXHC</t>
        </is>
      </c>
      <c r="L58" s="114">
        <f>HYPERLINK(Table3155[[#This Row],[Column1]])</f>
        <v/>
      </c>
    </row>
    <row r="59" ht="60" customHeight="1" s="314">
      <c r="A59" s="35" t="inlineStr">
        <is>
          <t>iCarsoft CR MAX 2025 Bidirectional Scan Tool All System 49+ Services and 47+ Special Functions Full Active Test OBD2 Scanner Diagnostic Tool Car Code Reader CAN FD with 38 Pin for Benz 20 Pin for BMW</t>
        </is>
      </c>
      <c r="B59" s="35" t="inlineStr">
        <is>
          <t>B0DNPHMWL2</t>
        </is>
      </c>
      <c r="C59" s="35" t="inlineStr">
        <is>
          <t>Tablet</t>
        </is>
      </c>
      <c r="D59" s="359" t="n">
        <v>391.42</v>
      </c>
      <c r="E59" s="66" t="n">
        <v>56137.97</v>
      </c>
      <c r="F59" s="67" t="n">
        <v>1957.1</v>
      </c>
      <c r="G59" s="68" t="n">
        <v>116</v>
      </c>
      <c r="H59" s="68" t="n">
        <v>5</v>
      </c>
      <c r="I59" s="68" t="n">
        <v>48</v>
      </c>
      <c r="J59" s="69" t="n">
        <v>4.1</v>
      </c>
      <c r="K59" s="69" t="inlineStr">
        <is>
          <t>https://amazon.com/dp/B0DNPHMWL2</t>
        </is>
      </c>
      <c r="L59" s="114">
        <f>HYPERLINK(Table3155[[#This Row],[Column1]])</f>
        <v/>
      </c>
    </row>
    <row r="60" ht="45" customHeight="1" s="314">
      <c r="A60" s="35" t="inlineStr">
        <is>
          <t>iCarsoft VAWS V4.0 Full System Bidirectional Diagnostic Scan Tool for Most V.A.G Models Such as VW/Audi/ect and Other 2 Car Make from 1996-2023 OBD2 Scanner Up to 51 Service Live Data Car Code Reader</t>
        </is>
      </c>
      <c r="B60" s="35" t="inlineStr">
        <is>
          <t>B0G38N7YV1</t>
        </is>
      </c>
      <c r="C60" s="35" t="inlineStr">
        <is>
          <t>Handheld</t>
        </is>
      </c>
      <c r="D60" s="359" t="n">
        <v>275.5028571428571</v>
      </c>
      <c r="E60" s="66" t="n">
        <v>25655.73846153846</v>
      </c>
      <c r="F60" s="67" t="n">
        <v>1928.52</v>
      </c>
      <c r="G60" s="68" t="n">
        <v>43</v>
      </c>
      <c r="H60" s="68" t="n">
        <v>7</v>
      </c>
      <c r="I60" s="68" t="n"/>
      <c r="J60" s="69" t="n"/>
      <c r="K60" s="69" t="inlineStr">
        <is>
          <t>https://amazon.com/dp/B0G38N7YV1</t>
        </is>
      </c>
      <c r="L60" s="114">
        <f>HYPERLINK(Table3155[[#This Row],[Column1]])</f>
        <v/>
      </c>
    </row>
    <row r="61" ht="30" customHeight="1" s="314">
      <c r="A61" s="35" t="inlineStr">
        <is>
          <t>iCarsoft VAWS V3.0 2026 Bidirectional Scan Tool for VW, Audi, Bentley, Bugatti, Seat, MAN LD, Skoda and etc, 40 Special Services Full Systems OBD2 Diagnostic Scanner ECU Coding in-Depth Code Reader</t>
        </is>
      </c>
      <c r="B61" s="35" t="inlineStr">
        <is>
          <t>B0DNMJSBM3</t>
        </is>
      </c>
      <c r="C61" s="35" t="inlineStr">
        <is>
          <t>Tablet</t>
        </is>
      </c>
      <c r="D61" s="359" t="n">
        <v>227.085</v>
      </c>
      <c r="E61" s="66" t="n">
        <v>45328.77</v>
      </c>
      <c r="F61" s="67" t="n">
        <v>1816.68</v>
      </c>
      <c r="G61" s="68" t="n">
        <v>206</v>
      </c>
      <c r="H61" s="68" t="n">
        <v>8</v>
      </c>
      <c r="I61" s="68" t="n">
        <v>40</v>
      </c>
      <c r="J61" s="69" t="n">
        <v>4.1</v>
      </c>
      <c r="K61" s="69" t="inlineStr">
        <is>
          <t>https://amazon.com/dp/B0DNMJSBM3</t>
        </is>
      </c>
      <c r="L61" s="114">
        <f>HYPERLINK(Table3155[[#This Row],[Column1]])</f>
        <v/>
      </c>
    </row>
    <row r="62" ht="30" customHeight="1" s="314">
      <c r="A62" s="35" t="inlineStr">
        <is>
          <t>Auto Diagnostic Scanner iCarsoft VOL V2.0 for Volvo/SAAB with ABS Scan,Oil Reset, ABS Bleeding, Injector Coding ect</t>
        </is>
      </c>
      <c r="B62" s="35" t="inlineStr">
        <is>
          <t>B07F36NJ5K</t>
        </is>
      </c>
      <c r="C62" s="35" t="inlineStr">
        <is>
          <t>Tablet</t>
        </is>
      </c>
      <c r="D62" s="359" t="n">
        <v>135.57</v>
      </c>
      <c r="E62" s="66" t="n">
        <v>18238.22</v>
      </c>
      <c r="F62" s="67" t="n">
        <v>1626.84</v>
      </c>
      <c r="G62" s="68" t="n">
        <v>130</v>
      </c>
      <c r="H62" s="68" t="n">
        <v>12</v>
      </c>
      <c r="I62" s="68" t="n">
        <v>239</v>
      </c>
      <c r="J62" s="69" t="n">
        <v>3.8</v>
      </c>
      <c r="K62" s="69" t="inlineStr">
        <is>
          <t>https://amazon.com/dp/B07F36NJ5K</t>
        </is>
      </c>
      <c r="L62" s="114">
        <f>HYPERLINK(Table3155[[#This Row],[Column1]])</f>
        <v/>
      </c>
    </row>
    <row r="63" ht="45" customHeight="1" s="314">
      <c r="A63" s="35" t="inlineStr">
        <is>
          <t>iCarsoft CR Max + Free Screen Protector - Professional Multibrand Automotive Diagnostic Scanner - Read/Erase Faults Codes - Reset Oil Service - Coding &amp; Programming</t>
        </is>
      </c>
      <c r="B63" s="35" t="inlineStr">
        <is>
          <t>B09RGBD8BQ</t>
        </is>
      </c>
      <c r="C63" s="35" t="inlineStr">
        <is>
          <t>Tablet</t>
        </is>
      </c>
      <c r="D63" s="359" t="n">
        <v>406.3575</v>
      </c>
      <c r="E63" s="66" t="n">
        <v>19557.39</v>
      </c>
      <c r="F63" s="67" t="n">
        <v>1625.43</v>
      </c>
      <c r="G63" s="68" t="n">
        <v>57</v>
      </c>
      <c r="H63" s="68" t="n">
        <v>4</v>
      </c>
      <c r="I63" s="68" t="n">
        <v>107</v>
      </c>
      <c r="J63" s="69" t="n">
        <v>3.8</v>
      </c>
      <c r="K63" s="69" t="inlineStr">
        <is>
          <t>https://amazon.com/dp/B09RGBD8BQ</t>
        </is>
      </c>
      <c r="L63" s="114">
        <f>HYPERLINK(Table3155[[#This Row],[Column1]])</f>
        <v/>
      </c>
    </row>
    <row r="64" ht="45" customHeight="1" s="314">
      <c r="A64" s="35" t="inlineStr">
        <is>
          <t>OBD2 Scanner AUTO Diagnostic Tool iCarsoft MB V1.0 for Benz/Sprinter/Smart, Full System ABS/SRS/Transmission/Check Engine Car Code Reader, MIL/SAS/Oil Reset/Battery Test/Live Data</t>
        </is>
      </c>
      <c r="B64" s="35" t="inlineStr">
        <is>
          <t>B07FCLPFNZ</t>
        </is>
      </c>
      <c r="C64" s="35" t="inlineStr">
        <is>
          <t>Handheld</t>
        </is>
      </c>
      <c r="D64" s="359" t="n">
        <v>128.3</v>
      </c>
      <c r="E64" s="66" t="n">
        <v>32584.54</v>
      </c>
      <c r="F64" s="67" t="n">
        <v>1539.6</v>
      </c>
      <c r="G64" s="68" t="n">
        <v>263</v>
      </c>
      <c r="H64" s="68" t="n">
        <v>12</v>
      </c>
      <c r="I64" s="68" t="n">
        <v>55</v>
      </c>
      <c r="J64" s="69" t="n">
        <v>3.9</v>
      </c>
      <c r="K64" s="69" t="inlineStr">
        <is>
          <t>https://amazon.com/dp/B07FCLPFNZ</t>
        </is>
      </c>
      <c r="L64" s="114">
        <f>HYPERLINK(Table3155[[#This Row],[Column1]])</f>
        <v/>
      </c>
    </row>
    <row r="65" ht="45" customHeight="1" s="314">
      <c r="A65" s="35" t="inlineStr">
        <is>
          <t>iCarsoft Genuine Mercedes Benz I980 Professional Diagnostic Scanner Tool</t>
        </is>
      </c>
      <c r="B65" s="35" t="inlineStr">
        <is>
          <t>B00IUIDFSS</t>
        </is>
      </c>
      <c r="C65" s="35" t="inlineStr">
        <is>
          <t>Handheld</t>
        </is>
      </c>
      <c r="D65" s="359" t="n">
        <v>109.5392857142857</v>
      </c>
      <c r="E65" s="66" t="n">
        <v>18773.38</v>
      </c>
      <c r="F65" s="67" t="n">
        <v>1533.55</v>
      </c>
      <c r="G65" s="68" t="n">
        <v>168</v>
      </c>
      <c r="H65" s="68" t="n">
        <v>14</v>
      </c>
      <c r="I65" s="68" t="n">
        <v>1101</v>
      </c>
      <c r="J65" s="69" t="n">
        <v>4.2</v>
      </c>
      <c r="K65" s="69" t="inlineStr">
        <is>
          <t>https://amazon.com/dp/B00IUIDFSS</t>
        </is>
      </c>
      <c r="L65" s="114">
        <f>HYPERLINK(Table3155[[#This Row],[Column1]])</f>
        <v/>
      </c>
    </row>
    <row r="66" ht="30" customHeight="1" s="314">
      <c r="A66" s="35" t="inlineStr">
        <is>
          <t>iCarsoft VOL V3.0 for Volvo/Saab Diagnostic Tool with auto VIN/Quick Test/Actuation Test</t>
        </is>
      </c>
      <c r="B66" s="35" t="inlineStr">
        <is>
          <t>B08V8L1VXB</t>
        </is>
      </c>
      <c r="C66" s="35" t="inlineStr">
        <is>
          <t>Tablet</t>
        </is>
      </c>
      <c r="D66" s="359" t="n">
        <v>168.7288888888889</v>
      </c>
      <c r="E66" s="66" t="n">
        <v>22091.21769230769</v>
      </c>
      <c r="F66" s="67" t="n">
        <v>1518.56</v>
      </c>
      <c r="G66" s="68" t="n">
        <v>113</v>
      </c>
      <c r="H66" s="68" t="n">
        <v>9</v>
      </c>
      <c r="I66" s="68" t="n">
        <v>64</v>
      </c>
      <c r="J66" s="69" t="n">
        <v>3.7</v>
      </c>
      <c r="K66" s="69" t="inlineStr">
        <is>
          <t>https://amazon.com/dp/B08V8L1VXB</t>
        </is>
      </c>
      <c r="L66" s="114">
        <f>HYPERLINK(Table3155[[#This Row],[Column1]])</f>
        <v/>
      </c>
    </row>
    <row r="67" ht="30" customHeight="1" s="314">
      <c r="A67" s="35" t="inlineStr">
        <is>
          <t>OBD2 Scanner Diagnostic Tool for Most Porsche from 1996-2019, iCarsoft POR II Car Code Reader, Full System Diagnosis Car Scan Tool with Oil Reset/EPB/DP/ETC/SAS, Live Data Graph-Free Update/Repair</t>
        </is>
      </c>
      <c r="B67" s="35" t="inlineStr">
        <is>
          <t>B0D769KZ59</t>
        </is>
      </c>
      <c r="C67" s="35" t="inlineStr">
        <is>
          <t>Tablet</t>
        </is>
      </c>
      <c r="D67" s="359" t="n">
        <v>168.5322222222222</v>
      </c>
      <c r="E67" s="66" t="n">
        <v>16498.03384615385</v>
      </c>
      <c r="F67" s="67" t="n">
        <v>1516.79</v>
      </c>
      <c r="G67" s="68" t="n">
        <v>90</v>
      </c>
      <c r="H67" s="68" t="n">
        <v>9</v>
      </c>
      <c r="I67" s="68" t="n">
        <v>21</v>
      </c>
      <c r="J67" s="69" t="n">
        <v>3.9</v>
      </c>
      <c r="K67" s="69" t="inlineStr">
        <is>
          <t>https://amazon.com/dp/B0D769KZ59</t>
        </is>
      </c>
      <c r="L67" s="114">
        <f>HYPERLINK(Table3155[[#This Row],[Column1]])</f>
        <v/>
      </c>
    </row>
    <row r="68" ht="45" customHeight="1" s="314">
      <c r="A68" s="35" t="inlineStr">
        <is>
          <t>iCarsoft MT V6 for Indian Motorcycle Full System Diagnostic Tool Motorbike and Car 2-in-1 OBD2 Scanner Engine Code Reader with 33+ Active Test of Engine, AutoVIN, Battery Test, Lifetime Free Update</t>
        </is>
      </c>
      <c r="B68" s="35" t="inlineStr">
        <is>
          <t>B0F6CGKV6K</t>
        </is>
      </c>
      <c r="C68" s="35" t="inlineStr">
        <is>
          <t>Tablet</t>
        </is>
      </c>
      <c r="D68" s="359" t="n">
        <v>231.1</v>
      </c>
      <c r="E68" s="66" t="n">
        <v>13619.63384615384</v>
      </c>
      <c r="F68" s="67" t="n">
        <v>1386.6</v>
      </c>
      <c r="G68" s="68" t="n">
        <v>37</v>
      </c>
      <c r="H68" s="68" t="n">
        <v>6</v>
      </c>
      <c r="I68" s="68" t="n">
        <v>2</v>
      </c>
      <c r="J68" s="69" t="n">
        <v>1</v>
      </c>
      <c r="K68" s="69" t="inlineStr">
        <is>
          <t>https://amazon.com/dp/B0F6CGKV6K</t>
        </is>
      </c>
      <c r="L68" s="114">
        <f>HYPERLINK(Table3155[[#This Row],[Column1]])</f>
        <v/>
      </c>
    </row>
    <row r="69" ht="45" customHeight="1" s="314">
      <c r="A69" s="35" t="inlineStr">
        <is>
          <t>iCarsoft DE V4.0 Full System Bidirectional Diagnostic Scan Tool for Most Mercedes-Benz, BMW, V.A.G and Porsche Manufacturing Group Car Models OBD2 Scanner Up to 42 Service Live Data Car Code Reader</t>
        </is>
      </c>
      <c r="B69" s="35" t="inlineStr">
        <is>
          <t>B0FS6CLZQY</t>
        </is>
      </c>
      <c r="C69" s="35" t="inlineStr">
        <is>
          <t>Handheld</t>
        </is>
      </c>
      <c r="D69" s="359" t="n">
        <v>276.424</v>
      </c>
      <c r="E69" s="66" t="n">
        <v>21351.99153846153</v>
      </c>
      <c r="F69" s="67" t="n">
        <v>1382.12</v>
      </c>
      <c r="G69" s="68" t="n">
        <v>43</v>
      </c>
      <c r="H69" s="68" t="n">
        <v>5</v>
      </c>
      <c r="I69" s="68" t="n"/>
      <c r="J69" s="69" t="n"/>
      <c r="K69" s="69" t="inlineStr">
        <is>
          <t>https://amazon.com/dp/B0FS6CLZQY</t>
        </is>
      </c>
      <c r="L69" s="114">
        <f>HYPERLINK(Table3155[[#This Row],[Column1]])</f>
        <v/>
      </c>
    </row>
    <row r="70" ht="45" customHeight="1" s="314">
      <c r="A70" s="35" t="inlineStr">
        <is>
          <t>iCarsoft DE V4.0 Bidirectional Diagnostic Scan Tool for Most Mercedes-Benz, BMW, V.A.G, Porsche Group Car Models from 1996-2023 All System OBD2 Scanner 44 Service Live Data Code Reader Free Update</t>
        </is>
      </c>
      <c r="B70" s="35" t="inlineStr">
        <is>
          <t>B0GBVY2B12</t>
        </is>
      </c>
      <c r="C70" s="35" t="inlineStr">
        <is>
          <t>Handheld</t>
        </is>
      </c>
      <c r="D70" s="359" t="n">
        <v>275.68</v>
      </c>
      <c r="E70" s="66" t="n">
        <v>14710.50230769231</v>
      </c>
      <c r="F70" s="67" t="n">
        <v>1378.4</v>
      </c>
      <c r="G70" s="68" t="n">
        <v>7</v>
      </c>
      <c r="H70" s="68" t="n">
        <v>5</v>
      </c>
      <c r="I70" s="68" t="n"/>
      <c r="J70" s="69" t="n"/>
      <c r="K70" s="69" t="inlineStr">
        <is>
          <t>https://amazon.com/dp/B0GBVY2B12</t>
        </is>
      </c>
      <c r="L70" s="114">
        <f>HYPERLINK(Table3155[[#This Row],[Column1]])</f>
        <v/>
      </c>
    </row>
    <row r="71" ht="45" customHeight="1" s="314">
      <c r="A71" s="35" t="inlineStr">
        <is>
          <t>iCarsoft VOL V3.0(New Ver) Bidirectional Diagnostic Scan Tool for Volvo/SAAB OBD2 Scanner, All System Diagnose, 29 Resets(239 Sub-Services) /Actuation Test/Battery Registration Tool-Free Update</t>
        </is>
      </c>
      <c r="B71" s="35" t="inlineStr">
        <is>
          <t>B0FNK4SW44</t>
        </is>
      </c>
      <c r="C71" s="35" t="inlineStr">
        <is>
          <t>Tablet</t>
        </is>
      </c>
      <c r="D71" s="359" t="n">
        <v>224.9166666666667</v>
      </c>
      <c r="E71" s="66" t="n">
        <v>17279.66846153847</v>
      </c>
      <c r="F71" s="67" t="n">
        <v>1349.5</v>
      </c>
      <c r="G71" s="68" t="n">
        <v>33</v>
      </c>
      <c r="H71" s="68" t="n">
        <v>6</v>
      </c>
      <c r="I71" s="68" t="n">
        <v>10</v>
      </c>
      <c r="J71" s="69" t="n">
        <v>4.1</v>
      </c>
      <c r="K71" s="69" t="inlineStr">
        <is>
          <t>https://amazon.com/dp/B0FNK4SW44</t>
        </is>
      </c>
      <c r="L71" s="114">
        <f>HYPERLINK(Table3155[[#This Row],[Column1]])</f>
        <v/>
      </c>
    </row>
    <row r="72" ht="45" customHeight="1" s="314">
      <c r="A72" s="35" t="inlineStr">
        <is>
          <t>iCarsoft OBD2 Scanner POR V1.0 for Porsche/Cayenne/Macan/911, All System Diagnostic Tool Oil/SAS Reset Battery Test 10 OBD2/EOBD Modes CAN Car Scan Code Reader/DTC/Live Data/Freeze Frame</t>
        </is>
      </c>
      <c r="B72" s="35" t="inlineStr">
        <is>
          <t>B0DMN93FH3</t>
        </is>
      </c>
      <c r="C72" s="35" t="inlineStr">
        <is>
          <t>Handheld</t>
        </is>
      </c>
      <c r="D72" s="359" t="n">
        <v>125.184</v>
      </c>
      <c r="E72" s="66" t="n">
        <v>22387.74</v>
      </c>
      <c r="F72" s="67" t="n">
        <v>1251.84</v>
      </c>
      <c r="G72" s="68" t="n">
        <v>172</v>
      </c>
      <c r="H72" s="68" t="n">
        <v>10</v>
      </c>
      <c r="I72" s="68" t="n">
        <v>12</v>
      </c>
      <c r="J72" s="69" t="n">
        <v>4.4</v>
      </c>
      <c r="K72" s="69" t="inlineStr">
        <is>
          <t>https://amazon.com/dp/B0DMN93FH3</t>
        </is>
      </c>
      <c r="L72" s="114">
        <f>HYPERLINK(Table3155[[#This Row],[Column1]])</f>
        <v/>
      </c>
    </row>
    <row r="73" ht="45" customHeight="1" s="314">
      <c r="A73" s="35" t="inlineStr">
        <is>
          <t>iCarsoft MT V6 Motorcycle Diagnostic Tool for BMW Full System/115 Reset/197 Actuation Test, Motorbike OBD2 Scanner+Car Engine Code Reader, ABS Bleeding/Throttle Valve adaptation/10-Pin Adapter</t>
        </is>
      </c>
      <c r="B73" s="35" t="inlineStr">
        <is>
          <t>B0FDK6TQY5</t>
        </is>
      </c>
      <c r="C73" s="35" t="inlineStr">
        <is>
          <t>Handheld</t>
        </is>
      </c>
      <c r="D73" s="359" t="n">
        <v>199.5116666666667</v>
      </c>
      <c r="E73" s="66" t="n">
        <v>9985.513076923076</v>
      </c>
      <c r="F73" s="67" t="n">
        <v>1197.07</v>
      </c>
      <c r="G73" s="68" t="n">
        <v>30</v>
      </c>
      <c r="H73" s="68" t="n">
        <v>6</v>
      </c>
      <c r="I73" s="68" t="n">
        <v>5</v>
      </c>
      <c r="J73" s="69" t="n">
        <v>2.1</v>
      </c>
      <c r="K73" s="69" t="inlineStr">
        <is>
          <t>https://amazon.com/dp/B0FDK6TQY5</t>
        </is>
      </c>
      <c r="L73" s="114">
        <f>HYPERLINK(Table3155[[#This Row],[Column1]])</f>
        <v/>
      </c>
    </row>
    <row r="74" ht="30" customHeight="1" s="314">
      <c r="A74" s="35" t="inlineStr">
        <is>
          <t>iCarsoft HD V3.0 Heavy Duty Diesel Truck Diagnostic Scanner Tool Code Reader</t>
        </is>
      </c>
      <c r="B74" s="35" t="inlineStr">
        <is>
          <t>B08V8Q2WH4</t>
        </is>
      </c>
      <c r="C74" s="35" t="inlineStr">
        <is>
          <t>Handheld</t>
        </is>
      </c>
      <c r="D74" s="359" t="n">
        <v>107.9863636363636</v>
      </c>
      <c r="E74" s="66" t="n">
        <v>20017.11</v>
      </c>
      <c r="F74" s="67" t="n">
        <v>1187.85</v>
      </c>
      <c r="G74" s="68" t="n">
        <v>194</v>
      </c>
      <c r="H74" s="68" t="n">
        <v>11</v>
      </c>
      <c r="I74" s="68" t="n">
        <v>313</v>
      </c>
      <c r="J74" s="69" t="n">
        <v>4.1</v>
      </c>
      <c r="K74" s="69" t="inlineStr">
        <is>
          <t>https://amazon.com/dp/B08V8Q2WH4</t>
        </is>
      </c>
      <c r="L74" s="114">
        <f>HYPERLINK(Table3155[[#This Row],[Column1]])</f>
        <v/>
      </c>
    </row>
    <row r="75" ht="45" customHeight="1" s="314">
      <c r="A75" s="35" t="inlineStr">
        <is>
          <t>iCarsoft i906 Compatible for Volvo/Saab OBD2 Diagnostic Scanner Multi-System Engine ABS SRS</t>
        </is>
      </c>
      <c r="B75" s="35" t="inlineStr">
        <is>
          <t>B00S8KJHBM</t>
        </is>
      </c>
      <c r="C75" s="35" t="inlineStr">
        <is>
          <t>Handheld</t>
        </is>
      </c>
      <c r="D75" s="359" t="n">
        <v>102.5018181818182</v>
      </c>
      <c r="E75" s="66" t="n">
        <v>20082.02</v>
      </c>
      <c r="F75" s="67" t="n">
        <v>1127.52</v>
      </c>
      <c r="G75" s="68" t="n">
        <v>194</v>
      </c>
      <c r="H75" s="68" t="n">
        <v>11</v>
      </c>
      <c r="I75" s="68" t="n">
        <v>219</v>
      </c>
      <c r="J75" s="69" t="n">
        <v>4.2</v>
      </c>
      <c r="K75" s="69" t="inlineStr">
        <is>
          <t>https://amazon.com/dp/B00S8KJHBM</t>
        </is>
      </c>
      <c r="L75" s="114">
        <f>HYPERLINK(Table3155[[#This Row],[Column1]])</f>
        <v/>
      </c>
    </row>
    <row r="76" ht="30" customHeight="1" s="314">
      <c r="A76" s="35" t="inlineStr">
        <is>
          <t>Bidirectional OBD2 Diagnostic Tool for BMW/Mini/Mercedes-Benz/Audi/Porsche/Volkswagen etc,2025 iCarsoft EU MAX Code Reader Scanner, All System, 44 Services</t>
        </is>
      </c>
      <c r="B76" s="35" t="inlineStr">
        <is>
          <t>B0D3H41895</t>
        </is>
      </c>
      <c r="C76" s="35" t="inlineStr">
        <is>
          <t>Tablet</t>
        </is>
      </c>
      <c r="D76" s="359" t="n">
        <v>224.578</v>
      </c>
      <c r="E76" s="66" t="n">
        <v>14817.03384615384</v>
      </c>
      <c r="F76" s="67" t="n">
        <v>1122.89</v>
      </c>
      <c r="G76" s="68" t="n">
        <v>53</v>
      </c>
      <c r="H76" s="68" t="n">
        <v>5</v>
      </c>
      <c r="I76" s="68" t="n">
        <v>5</v>
      </c>
      <c r="J76" s="69" t="n">
        <v>4.2</v>
      </c>
      <c r="K76" s="69" t="inlineStr">
        <is>
          <t>https://amazon.com/dp/B0D3H41895</t>
        </is>
      </c>
      <c r="L76" s="114">
        <f>HYPERLINK(Table3155[[#This Row],[Column1]])</f>
        <v/>
      </c>
    </row>
    <row r="77" ht="30" customHeight="1" s="314">
      <c r="A77" s="35" t="inlineStr">
        <is>
          <t>iCarsoft CR V2.0 Diagnostic Scan Tool for Multi-Brand Vehicles (10-19 Vehicle Choices) +Oil Reset +EPB+BMS+DPF+SAS+ETC+BLD+IN|J</t>
        </is>
      </c>
      <c r="B77" s="35" t="inlineStr">
        <is>
          <t>B07KR4KR4Z</t>
        </is>
      </c>
      <c r="C77" s="35" t="inlineStr">
        <is>
          <t>Tablet</t>
        </is>
      </c>
      <c r="D77" s="359" t="n">
        <v>157.1885714285714</v>
      </c>
      <c r="E77" s="66" t="n">
        <v>12033.01</v>
      </c>
      <c r="F77" s="67" t="n">
        <v>1100.32</v>
      </c>
      <c r="G77" s="68" t="n">
        <v>70</v>
      </c>
      <c r="H77" s="68" t="n">
        <v>7</v>
      </c>
      <c r="I77" s="68" t="n">
        <v>99</v>
      </c>
      <c r="J77" s="69" t="n">
        <v>4.1</v>
      </c>
      <c r="K77" s="69" t="inlineStr">
        <is>
          <t>https://amazon.com/dp/B07KR4KR4Z</t>
        </is>
      </c>
      <c r="L77" s="114">
        <f>HYPERLINK(Table3155[[#This Row],[Column1]])</f>
        <v/>
      </c>
    </row>
    <row r="78" ht="30" customHeight="1" s="314">
      <c r="A78" s="35" t="inlineStr">
        <is>
          <t>iCarsoft Heavy Duty Truck Scanner HD V3.0 All System Diesel Diagnostic Scan Tool Battery Test Code Reader for Freightliner, Paccar, International, Mack, Volvo, Hino, Isuzu, Cummins Heavy Duty Trucks</t>
        </is>
      </c>
      <c r="B78" s="35" t="inlineStr">
        <is>
          <t>B075FL11NQ</t>
        </is>
      </c>
      <c r="C78" s="35" t="inlineStr">
        <is>
          <t>Handheld</t>
        </is>
      </c>
      <c r="D78" s="359" t="n">
        <v>109.24</v>
      </c>
      <c r="E78" s="66" t="n">
        <v>33922.97</v>
      </c>
      <c r="F78" s="67" t="n">
        <v>1092.4</v>
      </c>
      <c r="G78" s="68" t="n">
        <v>270</v>
      </c>
      <c r="H78" s="68" t="n">
        <v>10</v>
      </c>
      <c r="I78" s="68" t="n">
        <v>110</v>
      </c>
      <c r="J78" s="69" t="n">
        <v>3.8</v>
      </c>
      <c r="K78" s="69" t="inlineStr">
        <is>
          <t>https://amazon.com/dp/B075FL11NQ</t>
        </is>
      </c>
      <c r="L78" s="114">
        <f>HYPERLINK(Table3155[[#This Row],[Column1]])</f>
        <v/>
      </c>
    </row>
    <row r="79" ht="45" customHeight="1" s="314">
      <c r="A79" s="35" t="inlineStr">
        <is>
          <t>iCarsoft JP V4.0 Bidirectional Diagnostic Tool for Japanese/Korean Cars (Honda/Toyota/Nissan/Kia etc), All System 47 Services + Active Test OBD2 Scanner, Battery Registration</t>
        </is>
      </c>
      <c r="B79" s="35" t="inlineStr">
        <is>
          <t>B0G39N8Q3C</t>
        </is>
      </c>
      <c r="C79" s="35" t="inlineStr">
        <is>
          <t>Tablet</t>
        </is>
      </c>
      <c r="D79" s="359" t="n">
        <v>270.47</v>
      </c>
      <c r="E79" s="66" t="n">
        <v>13053.48615384616</v>
      </c>
      <c r="F79" s="67" t="n">
        <v>1081.88</v>
      </c>
      <c r="G79" s="68" t="n">
        <v>14</v>
      </c>
      <c r="H79" s="68" t="n">
        <v>4</v>
      </c>
      <c r="I79" s="68" t="n"/>
      <c r="J79" s="69" t="n"/>
      <c r="K79" s="69" t="inlineStr">
        <is>
          <t>https://amazon.com/dp/B0G39N8Q3C</t>
        </is>
      </c>
      <c r="L79" s="114">
        <f>HYPERLINK(Table3155[[#This Row],[Column1]])</f>
        <v/>
      </c>
    </row>
    <row r="80" ht="45" customHeight="1" s="314">
      <c r="A80" s="35" t="inlineStr">
        <is>
          <t>iCarsoft CR Pro Multi-Systems Diagnostic Scan Tool for Multi-Brand Vehicles +Oil Reset+EPB+BMS++SAS+ETC+BLD+INJ</t>
        </is>
      </c>
      <c r="B80" s="35" t="inlineStr">
        <is>
          <t>B07KR4GZXN</t>
        </is>
      </c>
      <c r="C80" s="35" t="inlineStr">
        <is>
          <t>Tablet</t>
        </is>
      </c>
      <c r="D80" s="359" t="n">
        <v>257.765</v>
      </c>
      <c r="E80" s="66" t="n">
        <v>12481.62</v>
      </c>
      <c r="F80" s="67" t="n">
        <v>1031.06</v>
      </c>
      <c r="G80" s="68" t="n">
        <v>50</v>
      </c>
      <c r="H80" s="68" t="n">
        <v>4</v>
      </c>
      <c r="I80" s="68" t="n">
        <v>689</v>
      </c>
      <c r="J80" s="69" t="n">
        <v>3.9</v>
      </c>
      <c r="K80" s="69" t="inlineStr">
        <is>
          <t>https://amazon.com/dp/B07KR4GZXN</t>
        </is>
      </c>
      <c r="L80" s="114">
        <f>HYPERLINK(Table3155[[#This Row],[Column1]])</f>
        <v/>
      </c>
    </row>
    <row r="81" ht="30" customHeight="1" s="314">
      <c r="A81" s="35" t="inlineStr">
        <is>
          <t>iCarsoft LR V2.0 Enhanced Ver Car Scan Tool for Land Rover/Jaguar and for Benz/Sprinter/Smart, All Systems in-Depth Diagnostic OBD2 Scanner Max 9 Service Battery Test 118 Live Data Fault Code Reader</t>
        </is>
      </c>
      <c r="B81" s="35" t="inlineStr">
        <is>
          <t>B0F6B9HLZ1</t>
        </is>
      </c>
      <c r="C81" s="35" t="inlineStr">
        <is>
          <t>Handheld</t>
        </is>
      </c>
      <c r="D81" s="359" t="n">
        <v>146.1314285714286</v>
      </c>
      <c r="E81" s="66" t="n">
        <v>11633.82538461538</v>
      </c>
      <c r="F81" s="67" t="n">
        <v>1022.92</v>
      </c>
      <c r="G81" s="68" t="n">
        <v>45</v>
      </c>
      <c r="H81" s="68" t="n">
        <v>7</v>
      </c>
      <c r="I81" s="68" t="n">
        <v>2</v>
      </c>
      <c r="J81" s="69" t="n">
        <v>5</v>
      </c>
      <c r="K81" s="69" t="inlineStr">
        <is>
          <t>https://amazon.com/dp/B0F6B9HLZ1</t>
        </is>
      </c>
      <c r="L81" s="114">
        <f>HYPERLINK(Table3155[[#This Row],[Column1]])</f>
        <v/>
      </c>
    </row>
    <row r="82" ht="45" customHeight="1" s="314">
      <c r="A82" s="35" t="inlineStr">
        <is>
          <t>Bidirectional Diagnostic Tool for Land Rover/Volvo, iCarsoft VOL V3.0 (Enhanced Ver) All System Active Test 42 Resets for Land Rove, 39 Resets for Volvo, OBD2 Scanner Code Reader</t>
        </is>
      </c>
      <c r="B82" s="35" t="inlineStr">
        <is>
          <t>B0F6VHLQ3Y</t>
        </is>
      </c>
      <c r="C82" s="35" t="inlineStr">
        <is>
          <t>Tablet</t>
        </is>
      </c>
      <c r="D82" s="359" t="n">
        <v>201.498</v>
      </c>
      <c r="E82" s="66" t="n">
        <v>11249.52230769231</v>
      </c>
      <c r="F82" s="67" t="n">
        <v>1007.49</v>
      </c>
      <c r="G82" s="68" t="n">
        <v>38</v>
      </c>
      <c r="H82" s="68" t="n">
        <v>5</v>
      </c>
      <c r="I82" s="68" t="n">
        <v>438</v>
      </c>
      <c r="J82" s="69" t="n">
        <v>4.2</v>
      </c>
      <c r="K82" s="69" t="inlineStr">
        <is>
          <t>https://amazon.com/dp/B0F6VHLQ3Y</t>
        </is>
      </c>
      <c r="L82" s="114">
        <f>HYPERLINK(Table3155[[#This Row],[Column1]])</f>
        <v/>
      </c>
    </row>
    <row r="83" ht="45" customHeight="1" s="314">
      <c r="A83" s="35" t="inlineStr">
        <is>
          <t>iCarsoft MT V6 Plus Motorcycle Scanner with Bidirectional Control for 21 Brands, Full System Motorcycle Diagnostic Tool, Full Resets/Actuation Test, Motorbike Code Reader+Car OBD2 Diagnostics 2 in 1</t>
        </is>
      </c>
      <c r="B83" s="35" t="inlineStr">
        <is>
          <t>B0G6CWLGQM</t>
        </is>
      </c>
      <c r="C83" s="35" t="inlineStr">
        <is>
          <t>Tablet</t>
        </is>
      </c>
      <c r="D83" s="359" t="n">
        <v>328.0833333333333</v>
      </c>
      <c r="E83" s="66" t="n">
        <v>11886.71153846154</v>
      </c>
      <c r="F83" s="67" t="n">
        <v>984.25</v>
      </c>
      <c r="G83" s="68" t="n">
        <v>3</v>
      </c>
      <c r="H83" s="68" t="n">
        <v>3</v>
      </c>
      <c r="I83" s="68" t="n">
        <v>1</v>
      </c>
      <c r="J83" s="69" t="n">
        <v>5</v>
      </c>
      <c r="K83" s="69" t="inlineStr">
        <is>
          <t>https://amazon.com/dp/B0G6CWLGQM</t>
        </is>
      </c>
      <c r="L83" s="114">
        <f>HYPERLINK(Table3155[[#This Row],[Column1]])</f>
        <v/>
      </c>
    </row>
    <row r="84" ht="30" customHeight="1" s="314">
      <c r="A84" s="35" t="inlineStr">
        <is>
          <t>iCarsoft CR Pro Diagnostic Scan Tool,Professional Multi-Brand Multi-System Car Diagnostic Tools</t>
        </is>
      </c>
      <c r="B84" s="35" t="inlineStr">
        <is>
          <t>B07MS14X7K</t>
        </is>
      </c>
      <c r="C84" s="35" t="inlineStr">
        <is>
          <t>Tablet</t>
        </is>
      </c>
      <c r="D84" s="359" t="n">
        <v>195.358</v>
      </c>
      <c r="E84" s="66" t="n">
        <v>13514.42</v>
      </c>
      <c r="F84" s="67" t="n">
        <v>976.79</v>
      </c>
      <c r="G84" s="68" t="n">
        <v>58</v>
      </c>
      <c r="H84" s="68" t="n">
        <v>5</v>
      </c>
      <c r="I84" s="68" t="n">
        <v>786</v>
      </c>
      <c r="J84" s="69" t="n">
        <v>4</v>
      </c>
      <c r="K84" s="69" t="inlineStr">
        <is>
          <t>https://amazon.com/dp/B07MS14X7K</t>
        </is>
      </c>
      <c r="L84" s="114">
        <f>HYPERLINK(Table3155[[#This Row],[Column1]])</f>
        <v/>
      </c>
    </row>
    <row r="85" ht="30" customHeight="1" s="314">
      <c r="A85" s="35" t="inlineStr">
        <is>
          <t>Auto Diagnostic Scanner iCarsoft FD V1.0 for Ford/Holden, ABS, SRS, Oil Service Reset ect (Red)</t>
        </is>
      </c>
      <c r="B85" s="35" t="inlineStr">
        <is>
          <t>B07L4FQK8V</t>
        </is>
      </c>
      <c r="C85" s="35" t="inlineStr">
        <is>
          <t>Handheld</t>
        </is>
      </c>
      <c r="D85" s="359" t="n">
        <v>88.75272727272727</v>
      </c>
      <c r="E85" s="66" t="n">
        <v>13090.39615384615</v>
      </c>
      <c r="F85" s="67" t="n">
        <v>976.28</v>
      </c>
      <c r="G85" s="68" t="n">
        <v>90</v>
      </c>
      <c r="H85" s="68" t="n">
        <v>11</v>
      </c>
      <c r="I85" s="68" t="n">
        <v>25</v>
      </c>
      <c r="J85" s="69" t="n">
        <v>4</v>
      </c>
      <c r="K85" s="69" t="inlineStr">
        <is>
          <t>https://amazon.com/dp/B07L4FQK8V</t>
        </is>
      </c>
      <c r="L85" s="114">
        <f>HYPERLINK(Table3155[[#This Row],[Column1]])</f>
        <v/>
      </c>
    </row>
    <row r="86" ht="45" customHeight="1" s="314">
      <c r="A86" s="35" t="inlineStr">
        <is>
          <t>Full System Diagnostic Scan Tool for GM Ford Chrysler Jeep, iCarsoft US V2.0 Diagnose OBD2 Code Reader-Reset/Calibration, Battery Registration for Buick/Chevrolet/Cadillac/GMC -16PIN OBDII Adapter</t>
        </is>
      </c>
      <c r="B86" s="35" t="inlineStr">
        <is>
          <t>B0DBQFYCQK</t>
        </is>
      </c>
      <c r="C86" s="35" t="inlineStr">
        <is>
          <t>Tablet</t>
        </is>
      </c>
      <c r="D86" s="359" t="n">
        <v>133.7528571428572</v>
      </c>
      <c r="E86" s="66" t="n">
        <v>20651.1</v>
      </c>
      <c r="F86" s="67" t="n">
        <v>936.27</v>
      </c>
      <c r="G86" s="68" t="n">
        <v>111</v>
      </c>
      <c r="H86" s="68" t="n">
        <v>7</v>
      </c>
      <c r="I86" s="68" t="n">
        <v>90</v>
      </c>
      <c r="J86" s="69" t="n">
        <v>4</v>
      </c>
      <c r="K86" s="69" t="inlineStr">
        <is>
          <t>https://amazon.com/dp/B0DBQFYCQK</t>
        </is>
      </c>
      <c r="L86" s="114">
        <f>HYPERLINK(Table3155[[#This Row],[Column1]])</f>
        <v/>
      </c>
    </row>
    <row r="87" ht="45" customHeight="1" s="314">
      <c r="A87" s="35" t="inlineStr">
        <is>
          <t>iCarsoft FR V4.0 Bidirectional Scan Tool for French Brand Cars (Peugeo/Dacia/Citroen/Renault/Fiat)+ 2 Extra Car Brands, 45+ Resets,4000+Active Test Items, All Systems Diagnose OBD2 Scanner,Live Data</t>
        </is>
      </c>
      <c r="B87" s="35" t="inlineStr">
        <is>
          <t>B0FS6G6D23</t>
        </is>
      </c>
      <c r="C87" s="35" t="inlineStr">
        <is>
          <t>Tablet</t>
        </is>
      </c>
      <c r="D87" s="359" t="n">
        <v>301.0033333333333</v>
      </c>
      <c r="E87" s="66" t="n">
        <v>9240.171538461538</v>
      </c>
      <c r="F87" s="67" t="n">
        <v>903.01</v>
      </c>
      <c r="G87" s="68" t="n">
        <v>9</v>
      </c>
      <c r="H87" s="68" t="n">
        <v>3</v>
      </c>
      <c r="I87" s="68" t="n">
        <v>3</v>
      </c>
      <c r="J87" s="69" t="n">
        <v>3.7</v>
      </c>
      <c r="K87" s="69" t="inlineStr">
        <is>
          <t>https://amazon.com/dp/B0FS6G6D23</t>
        </is>
      </c>
      <c r="L87" s="114">
        <f>HYPERLINK(Table3155[[#This Row],[Column1]])</f>
        <v/>
      </c>
    </row>
    <row r="88" ht="30" customHeight="1" s="314">
      <c r="A88" s="35" t="inlineStr">
        <is>
          <t>CR Pro S Full System Bidirectional Diagnostic Tool for All Cars, 49 Resets Touchscreen OBD2 Scanner,4000+ Active Tests/Live Data/Battery Registration Code Reader, ECU Coding for Audi/BMW/VW</t>
        </is>
      </c>
      <c r="B88" s="35" t="inlineStr">
        <is>
          <t>B0FS6TKHCP</t>
        </is>
      </c>
      <c r="C88" s="35" t="inlineStr">
        <is>
          <t>Tablet</t>
        </is>
      </c>
      <c r="D88" s="359" t="n">
        <v>419.27</v>
      </c>
      <c r="E88" s="66" t="n">
        <v>13660.65538461538</v>
      </c>
      <c r="F88" s="67" t="n">
        <v>838.54</v>
      </c>
      <c r="G88" s="68" t="n">
        <v>20</v>
      </c>
      <c r="H88" s="68" t="n">
        <v>2</v>
      </c>
      <c r="I88" s="68" t="n"/>
      <c r="J88" s="69" t="n"/>
      <c r="K88" s="69" t="inlineStr">
        <is>
          <t>https://amazon.com/dp/B0FS6TKHCP</t>
        </is>
      </c>
      <c r="L88" s="114">
        <f>HYPERLINK(Table3155[[#This Row],[Column1]])</f>
        <v/>
      </c>
    </row>
    <row r="89" ht="17" customHeight="1" s="314">
      <c r="A89" s="35" t="inlineStr">
        <is>
          <t>iCarsoft VAWS V2.0 2026 Ver OBD2 Scanner All System Diagnostic Tool for VW, Audi, Bentley, Bugatti, Seat, Man LD, Skoda and etc, 9 Special Services 118 Live Data Battery Test Check Engine Code Reader</t>
        </is>
      </c>
      <c r="B89" s="35" t="inlineStr">
        <is>
          <t>B079LZRK5Y</t>
        </is>
      </c>
      <c r="C89" s="35" t="inlineStr">
        <is>
          <t>Tablet</t>
        </is>
      </c>
      <c r="D89" s="359" t="n">
        <v>157.484</v>
      </c>
      <c r="E89" s="66" t="n">
        <v>19614.16</v>
      </c>
      <c r="F89" s="67" t="n">
        <v>787.42</v>
      </c>
      <c r="G89" s="68" t="n">
        <v>119</v>
      </c>
      <c r="H89" s="68" t="n">
        <v>5</v>
      </c>
      <c r="I89" s="68" t="n">
        <v>29</v>
      </c>
      <c r="J89" s="69" t="n">
        <v>4.5</v>
      </c>
      <c r="K89" s="69" t="inlineStr">
        <is>
          <t>https://amazon.com/dp/B079LZRK5Y</t>
        </is>
      </c>
      <c r="L89" s="114">
        <f>HYPERLINK(Table3155[[#This Row],[Column1]])</f>
        <v/>
      </c>
    </row>
    <row r="90" ht="45" customHeight="1" s="314">
      <c r="A90" s="35" t="inlineStr">
        <is>
          <t>car Scanner</t>
        </is>
      </c>
      <c r="B90" s="35" t="inlineStr">
        <is>
          <t>B09YMFLHD5</t>
        </is>
      </c>
      <c r="C90" s="35" t="inlineStr">
        <is>
          <t>Tablet</t>
        </is>
      </c>
      <c r="D90" s="359" t="n">
        <v>367.53</v>
      </c>
      <c r="E90" s="66" t="n">
        <v>19267.45</v>
      </c>
      <c r="F90" s="67" t="n">
        <v>735.0599999999999</v>
      </c>
      <c r="G90" s="68" t="n">
        <v>51</v>
      </c>
      <c r="H90" s="68" t="n">
        <v>2</v>
      </c>
      <c r="I90" s="68" t="n">
        <v>200</v>
      </c>
      <c r="J90" s="69" t="n">
        <v>4</v>
      </c>
      <c r="K90" s="69" t="inlineStr">
        <is>
          <t>https://amazon.com/dp/B09YMFLHD5</t>
        </is>
      </c>
      <c r="L90" s="114">
        <f>HYPERLINK(Table3155[[#This Row],[Column1]])</f>
        <v/>
      </c>
    </row>
    <row r="91" ht="45" customHeight="1" s="314">
      <c r="A91" s="35" t="inlineStr">
        <is>
          <t>iCarsoft 2025 BMM V2.0 OBD2 Scanner for BMW/Mini/Rolls-Royce, Full System Diagnostic Tool Code Reader with 9 Resets-Oil/SAS/EPB/BMS/ETC/D.P.F/BLD/INJ/TPMS, AutoVIN Battery Test, Lifetime Update</t>
        </is>
      </c>
      <c r="B91" s="35" t="inlineStr">
        <is>
          <t>B0DZCHFKB2</t>
        </is>
      </c>
      <c r="C91" s="35" t="inlineStr">
        <is>
          <t>Tablet</t>
        </is>
      </c>
      <c r="D91" s="359" t="n">
        <v>179.8825</v>
      </c>
      <c r="E91" s="66" t="n">
        <v>7446.466153846153</v>
      </c>
      <c r="F91" s="67" t="n">
        <v>719.53</v>
      </c>
      <c r="G91" s="68" t="n">
        <v>30</v>
      </c>
      <c r="H91" s="68" t="n">
        <v>4</v>
      </c>
      <c r="I91" s="68" t="n">
        <v>118</v>
      </c>
      <c r="J91" s="69" t="n">
        <v>3.7</v>
      </c>
      <c r="K91" s="69" t="inlineStr">
        <is>
          <t>https://amazon.com/dp/B0DZCHFKB2</t>
        </is>
      </c>
      <c r="L91" s="114">
        <f>HYPERLINK(Table3155[[#This Row],[Column1]])</f>
        <v/>
      </c>
    </row>
    <row r="92" ht="45" customHeight="1" s="314">
      <c r="A92" s="35" t="inlineStr">
        <is>
          <t>iCarsoft VAWS V3.0 Enhanced Ver Bidirectional Scan Tool for VW, Audi, Bentley, Bugatti, Seat, Skoda and for Porsche, All Systems Diagnostic OBD2 Scanner Max 42 Service Full Active Test Code Reader</t>
        </is>
      </c>
      <c r="B92" s="35" t="inlineStr">
        <is>
          <t>B0F6BB5RWX</t>
        </is>
      </c>
      <c r="C92" s="35" t="inlineStr">
        <is>
          <t>Tablet</t>
        </is>
      </c>
      <c r="D92" s="359" t="n">
        <v>235.9666666666667</v>
      </c>
      <c r="E92" s="66" t="n">
        <v>17106.65461538462</v>
      </c>
      <c r="F92" s="67" t="n">
        <v>707.9</v>
      </c>
      <c r="G92" s="68" t="n">
        <v>58</v>
      </c>
      <c r="H92" s="68" t="n">
        <v>3</v>
      </c>
      <c r="I92" s="68" t="n">
        <v>38</v>
      </c>
      <c r="J92" s="69" t="n">
        <v>4.1</v>
      </c>
      <c r="K92" s="69" t="inlineStr">
        <is>
          <t>https://amazon.com/dp/B0F6BB5RWX</t>
        </is>
      </c>
      <c r="L92" s="114">
        <f>HYPERLINK(Table3155[[#This Row],[Column1]])</f>
        <v/>
      </c>
    </row>
    <row r="93" ht="45" customHeight="1" s="314">
      <c r="A93" s="35" t="inlineStr">
        <is>
          <t>iCarsoft VAWS V4.0 Bidirectional Diagnostic Scan Tool for Most V.A.G Models as VW/Audi/ect and Other 2 Car Make All System OBD2 Scanner Up to 51 Service Live Data Code Reader AUTO VIN Free Update</t>
        </is>
      </c>
      <c r="B93" s="35" t="inlineStr">
        <is>
          <t>B0GC5BF6MQ</t>
        </is>
      </c>
      <c r="C93" s="35" t="inlineStr">
        <is>
          <t>Handheld</t>
        </is>
      </c>
      <c r="D93" s="359" t="n">
        <v>235.0033333333333</v>
      </c>
      <c r="E93" s="66" t="n">
        <v>8144.343076923078</v>
      </c>
      <c r="F93" s="67" t="n">
        <v>705.01</v>
      </c>
      <c r="G93" s="68" t="n">
        <v>4</v>
      </c>
      <c r="H93" s="68" t="n">
        <v>3</v>
      </c>
      <c r="I93" s="68" t="n"/>
      <c r="J93" s="69" t="n"/>
      <c r="K93" s="69" t="inlineStr">
        <is>
          <t>https://amazon.com/dp/B0GC5BF6MQ</t>
        </is>
      </c>
      <c r="L93" s="114">
        <f>HYPERLINK(Table3155[[#This Row],[Column1]])</f>
        <v/>
      </c>
    </row>
    <row r="94" ht="60" customHeight="1" s="314">
      <c r="A94" s="35" t="inlineStr">
        <is>
          <t>iCarsoft MT V6 for Honda Motorcycle Full System Diagnostic Tool 7 Service Motorbike and Car 2-in-1 OBD2 Scanner Engine Code Reader with AutoVIN, Battery Test, Lifetime Free Update</t>
        </is>
      </c>
      <c r="B94" s="35" t="inlineStr">
        <is>
          <t>B0F6C7X9GP</t>
        </is>
      </c>
      <c r="C94" s="35" t="inlineStr">
        <is>
          <t>Handheld</t>
        </is>
      </c>
      <c r="D94" s="359" t="n">
        <v>232.78</v>
      </c>
      <c r="E94" s="66" t="n">
        <v>4269.776153846154</v>
      </c>
      <c r="F94" s="67" t="n">
        <v>698.34</v>
      </c>
      <c r="G94" s="68" t="n">
        <v>8</v>
      </c>
      <c r="H94" s="68" t="n">
        <v>3</v>
      </c>
      <c r="I94" s="68" t="n"/>
      <c r="J94" s="69" t="n"/>
      <c r="K94" s="69" t="inlineStr">
        <is>
          <t>https://amazon.com/dp/B0F6C7X9GP</t>
        </is>
      </c>
      <c r="L94" s="114">
        <f>HYPERLINK(Table3155[[#This Row],[Column1]])</f>
        <v/>
      </c>
    </row>
    <row r="95" ht="45" customHeight="1" s="314">
      <c r="A95" s="35" t="inlineStr">
        <is>
          <t>iCarsoft POR V3.0(Enhanced) Bidirectional Diagnostic Tool for Porsche/BMW, All System, 27 Resets (234 Sub-Resets) + Extra Services +1333 Test Items for Porsche, 16 Reset +ECU Coding for BMW</t>
        </is>
      </c>
      <c r="B95" s="35" t="inlineStr">
        <is>
          <t>B0FRFKT73F</t>
        </is>
      </c>
      <c r="C95" s="35" t="inlineStr">
        <is>
          <t>Tablet</t>
        </is>
      </c>
      <c r="D95" s="359" t="n">
        <v>207.4666666666667</v>
      </c>
      <c r="E95" s="66" t="n">
        <v>8261.231538461536</v>
      </c>
      <c r="F95" s="67" t="n">
        <v>622.4</v>
      </c>
      <c r="G95" s="68" t="n">
        <v>19</v>
      </c>
      <c r="H95" s="68" t="n">
        <v>3</v>
      </c>
      <c r="I95" s="68" t="n">
        <v>152</v>
      </c>
      <c r="J95" s="69" t="n">
        <v>4</v>
      </c>
      <c r="K95" s="69" t="inlineStr">
        <is>
          <t>https://amazon.com/dp/B0FRFKT73F</t>
        </is>
      </c>
      <c r="L95" s="114">
        <f>HYPERLINK(Table3155[[#This Row],[Column1]])</f>
        <v/>
      </c>
    </row>
    <row r="96" ht="45" customHeight="1" s="314">
      <c r="A96" s="35" t="inlineStr">
        <is>
          <t>iCarsoft CR Pro+ | Outil Diagnostic Automobile Multimarques OBD2 | Lecture et effacements Codes défauts | Reset FAP | Codage Injecteurs | Purge ABS et autres fonctions</t>
        </is>
      </c>
      <c r="B96" s="35" t="inlineStr">
        <is>
          <t>B0BHZL5CB6</t>
        </is>
      </c>
      <c r="C96" s="35" t="inlineStr">
        <is>
          <t>Tablet</t>
        </is>
      </c>
      <c r="D96" s="359" t="n">
        <v>205.92</v>
      </c>
      <c r="E96" s="66" t="n">
        <v>17872.26</v>
      </c>
      <c r="F96" s="67" t="n">
        <v>617.76</v>
      </c>
      <c r="G96" s="68" t="n">
        <v>73</v>
      </c>
      <c r="H96" s="68" t="n">
        <v>3</v>
      </c>
      <c r="I96" s="68" t="n">
        <v>118</v>
      </c>
      <c r="J96" s="69" t="n">
        <v>4.2</v>
      </c>
      <c r="K96" s="69" t="inlineStr">
        <is>
          <t>https://amazon.com/dp/B0BHZL5CB6</t>
        </is>
      </c>
      <c r="L96" s="114">
        <f>HYPERLINK(Table3155[[#This Row],[Column1]])</f>
        <v/>
      </c>
    </row>
    <row r="97" ht="45" customHeight="1" s="314">
      <c r="A97" s="35" t="inlineStr">
        <is>
          <t>iCarsoft BMM V1.0 2025 Version for BMW/MINI/RollsRoyce OBD2 Scanner Code Reader, Full Systems Diagnostic Scan Tool, Oil Reset + SAS Calibration Services, Lifetime Free Update</t>
        </is>
      </c>
      <c r="B97" s="35" t="inlineStr">
        <is>
          <t>B0F37X7TN5</t>
        </is>
      </c>
      <c r="C97" s="35" t="inlineStr">
        <is>
          <t>Tablet</t>
        </is>
      </c>
      <c r="D97" s="359" t="n">
        <v>122.482</v>
      </c>
      <c r="E97" s="66" t="n">
        <v>4482.96923076923</v>
      </c>
      <c r="F97" s="67" t="n">
        <v>612.41</v>
      </c>
      <c r="G97" s="68" t="n">
        <v>8</v>
      </c>
      <c r="H97" s="68" t="n">
        <v>5</v>
      </c>
      <c r="I97" s="68" t="n">
        <v>2</v>
      </c>
      <c r="J97" s="69" t="n">
        <v>2.4</v>
      </c>
      <c r="K97" s="69" t="inlineStr">
        <is>
          <t>https://amazon.com/dp/B0F37X7TN5</t>
        </is>
      </c>
      <c r="L97" s="114">
        <f>HYPERLINK(Table3155[[#This Row],[Column1]])</f>
        <v/>
      </c>
    </row>
    <row r="98" ht="45" customHeight="1" s="314">
      <c r="A98" s="35" t="inlineStr">
        <is>
          <t>iCarsoft i820 Obdii/Eobd and Can Check Engine Light Auto Diagnostic Tool New Version</t>
        </is>
      </c>
      <c r="B98" s="35" t="inlineStr">
        <is>
          <t>B071CLFHFQ</t>
        </is>
      </c>
      <c r="C98" s="35" t="inlineStr">
        <is>
          <t>Handheld</t>
        </is>
      </c>
      <c r="D98" s="359" t="n">
        <v>90.55666666666669</v>
      </c>
      <c r="E98" s="66" t="n">
        <v>2549.518461538461</v>
      </c>
      <c r="F98" s="67" t="n">
        <v>543.34</v>
      </c>
      <c r="G98" s="68" t="n">
        <v>6</v>
      </c>
      <c r="H98" s="68" t="n">
        <v>6</v>
      </c>
      <c r="I98" s="68" t="n">
        <v>19</v>
      </c>
      <c r="J98" s="69" t="n">
        <v>3.8</v>
      </c>
      <c r="K98" s="69" t="inlineStr">
        <is>
          <t>https://amazon.com/dp/B071CLFHFQ</t>
        </is>
      </c>
      <c r="L98" s="114">
        <f>HYPERLINK(Table3155[[#This Row],[Column1]])</f>
        <v/>
      </c>
    </row>
    <row r="99" ht="60" customHeight="1" s="314">
      <c r="A99" s="35" t="inlineStr">
        <is>
          <t>Motorcycle Bidirectional Diagnostic Scan Tool for Kawasaki, iCarsoft MT V6 All System Motor OBD2 Scanner- All Actuation Tests, Special Functions, Battery Test, Also for Car OBD2 Diagnose-Upgraded Ver</t>
        </is>
      </c>
      <c r="B99" s="35" t="inlineStr">
        <is>
          <t>B0F62P4KTL</t>
        </is>
      </c>
      <c r="C99" s="35" t="inlineStr">
        <is>
          <t>Tablet</t>
        </is>
      </c>
      <c r="D99" s="359" t="n">
        <v>178.8433333333333</v>
      </c>
      <c r="E99" s="66" t="n">
        <v>8873.836923076924</v>
      </c>
      <c r="F99" s="67" t="n">
        <v>536.53</v>
      </c>
      <c r="G99" s="68" t="n">
        <v>34</v>
      </c>
      <c r="H99" s="68" t="n">
        <v>3</v>
      </c>
      <c r="I99" s="68" t="n">
        <v>4</v>
      </c>
      <c r="J99" s="69" t="n">
        <v>2.7</v>
      </c>
      <c r="K99" s="69" t="inlineStr">
        <is>
          <t>https://amazon.com/dp/B0F62P4KTL</t>
        </is>
      </c>
      <c r="L99" s="114">
        <f>HYPERLINK(Table3155[[#This Row],[Column1]])</f>
        <v/>
      </c>
    </row>
    <row r="100" ht="45" customHeight="1" s="314">
      <c r="A100" s="35" t="inlineStr">
        <is>
          <t>MB V3.0 for Mercedes-Benz/Sprinter/Smart Diagnostic Tool with auto VIN/Quick Test</t>
        </is>
      </c>
      <c r="B100" s="35" t="inlineStr">
        <is>
          <t>B08ZH9T8C7</t>
        </is>
      </c>
      <c r="C100" s="35" t="inlineStr">
        <is>
          <t>Tablet</t>
        </is>
      </c>
      <c r="D100" s="359" t="n">
        <v>170.0866666666667</v>
      </c>
      <c r="E100" s="66" t="n">
        <v>53722.16923076924</v>
      </c>
      <c r="F100" s="67" t="n">
        <v>510.26</v>
      </c>
      <c r="G100" s="68" t="n">
        <v>316</v>
      </c>
      <c r="H100" s="68" t="n">
        <v>3</v>
      </c>
      <c r="I100" s="68" t="n">
        <v>406</v>
      </c>
      <c r="J100" s="69" t="n">
        <v>3.8</v>
      </c>
      <c r="K100" s="69" t="inlineStr">
        <is>
          <t>https://amazon.com/dp/B08ZH9T8C7</t>
        </is>
      </c>
      <c r="L100" s="114">
        <f>HYPERLINK(Table3155[[#This Row],[Column1]])</f>
        <v/>
      </c>
    </row>
    <row r="101" ht="30" customHeight="1" s="314">
      <c r="A101" s="35" t="inlineStr">
        <is>
          <t>iCarsoft CR Genius(2005) OBD2 Scanner for All Vehicle, All System Scan Tool, Powerful Bidirectional Actuation Test/Full Reset/Battery Test Registration Car Code Reader, Touchscreen, Auto VIN/Scan</t>
        </is>
      </c>
      <c r="B101" s="35" t="inlineStr">
        <is>
          <t>B0DYDQ77GH</t>
        </is>
      </c>
      <c r="C101" s="35" t="inlineStr">
        <is>
          <t>Tablet</t>
        </is>
      </c>
      <c r="D101" s="359" t="n">
        <v>245.675</v>
      </c>
      <c r="E101" s="66" t="n">
        <v>1965.19</v>
      </c>
      <c r="F101" s="67" t="n">
        <v>491.35</v>
      </c>
      <c r="G101" s="68" t="n">
        <v>7</v>
      </c>
      <c r="H101" s="68" t="n">
        <v>2</v>
      </c>
      <c r="I101" s="68" t="n"/>
      <c r="J101" s="69" t="n"/>
      <c r="K101" s="69" t="inlineStr">
        <is>
          <t>https://amazon.com/dp/B0DYDQ77GH</t>
        </is>
      </c>
      <c r="L101" s="114">
        <f>HYPERLINK(Table3155[[#This Row],[Column1]])</f>
        <v/>
      </c>
    </row>
    <row r="102" ht="17" customHeight="1" s="314">
      <c r="A102" s="35" t="inlineStr">
        <is>
          <t>iCarsoft OBD2 Scanner for Volvo/Saab, VOL V1.0 All Systems in-Depth Diagnostic Tool, Oil/SAS Reset/Live Data, ABS Airbag Engine Transmission Code Reader 10 OBD2/EOBD/CAN Scan Tool</t>
        </is>
      </c>
      <c r="B102" s="35" t="inlineStr">
        <is>
          <t>B0DMNMDHLC</t>
        </is>
      </c>
      <c r="C102" s="35" t="inlineStr">
        <is>
          <t>Handheld</t>
        </is>
      </c>
      <c r="D102" s="359" t="n">
        <v>121.615</v>
      </c>
      <c r="E102" s="66" t="n">
        <v>10088.44</v>
      </c>
      <c r="F102" s="67" t="n">
        <v>486.46</v>
      </c>
      <c r="G102" s="68" t="n">
        <v>80</v>
      </c>
      <c r="H102" s="68" t="n">
        <v>4</v>
      </c>
      <c r="I102" s="68" t="n">
        <v>25</v>
      </c>
      <c r="J102" s="69" t="n">
        <v>4</v>
      </c>
      <c r="K102" s="69" t="inlineStr">
        <is>
          <t>https://amazon.com/dp/B0DMNMDHLC</t>
        </is>
      </c>
      <c r="L102" s="114">
        <f>HYPERLINK(Table3155[[#This Row],[Column1]])</f>
        <v/>
      </c>
    </row>
    <row r="103" ht="45" customHeight="1" s="314">
      <c r="A103" s="35" t="inlineStr">
        <is>
          <t>iCarsoft i900 General Motors Gm Obd2 Car Truck Diagnostic Scanner Tool Reset Erase Fault Code</t>
        </is>
      </c>
      <c r="B103" s="35" t="inlineStr">
        <is>
          <t>B00NLM7W5U</t>
        </is>
      </c>
      <c r="C103" s="35" t="inlineStr">
        <is>
          <t>Handheld</t>
        </is>
      </c>
      <c r="D103" s="359" t="n">
        <v>93.548</v>
      </c>
      <c r="E103" s="66" t="n">
        <v>4407.08</v>
      </c>
      <c r="F103" s="67" t="n">
        <v>467.74</v>
      </c>
      <c r="G103" s="68" t="n">
        <v>38</v>
      </c>
      <c r="H103" s="68" t="n">
        <v>5</v>
      </c>
      <c r="I103" s="68" t="n">
        <v>139</v>
      </c>
      <c r="J103" s="69" t="n">
        <v>4.1</v>
      </c>
      <c r="K103" s="69" t="inlineStr">
        <is>
          <t>https://amazon.com/dp/B00NLM7W5U</t>
        </is>
      </c>
      <c r="L103" s="114">
        <f>HYPERLINK(Table3155[[#This Row],[Column1]])</f>
        <v/>
      </c>
    </row>
    <row r="104" ht="45" customHeight="1" s="314">
      <c r="A104" s="35" t="inlineStr">
        <is>
          <t>iCarsoft BMM V3.0(New Ver) Diagnostic Scan Tool for BMW OBD2 Scanner, All System Bi-Directional Tests/ECU Coding Code Reader, All Resets/Battery Registration- for BMW Mini Rolls-Royce-Free Update</t>
        </is>
      </c>
      <c r="B104" s="35" t="inlineStr">
        <is>
          <t>B00NS16FIO</t>
        </is>
      </c>
      <c r="C104" s="35" t="inlineStr">
        <is>
          <t>Handheld</t>
        </is>
      </c>
      <c r="D104" s="359" t="n">
        <v>232.59</v>
      </c>
      <c r="E104" s="66" t="n">
        <v>6689.018461538464</v>
      </c>
      <c r="F104" s="67" t="n">
        <v>465.18</v>
      </c>
      <c r="G104" s="68" t="n">
        <v>18</v>
      </c>
      <c r="H104" s="68" t="n">
        <v>2</v>
      </c>
      <c r="I104" s="68" t="n">
        <v>11</v>
      </c>
      <c r="J104" s="69" t="n">
        <v>4.2</v>
      </c>
      <c r="K104" s="69" t="inlineStr">
        <is>
          <t>https://amazon.com/dp/B00NS16FIO</t>
        </is>
      </c>
      <c r="L104" s="114">
        <f>HYPERLINK(Table3155[[#This Row],[Column1]])</f>
        <v/>
      </c>
    </row>
    <row r="105" ht="45" customHeight="1" s="314">
      <c r="A105" s="35" t="inlineStr">
        <is>
          <t>iCarsoft CR Max BT Wireless Scan Tool, OBD2 Diagnostic Touchscreen Scanner, 4-in-1 Live Graphing, Lifetime Free Update</t>
        </is>
      </c>
      <c r="B105" s="35" t="inlineStr">
        <is>
          <t>B00S5AB54W</t>
        </is>
      </c>
      <c r="C105" s="35" t="inlineStr">
        <is>
          <t>Handheld</t>
        </is>
      </c>
      <c r="D105" s="359" t="n">
        <v>462.18</v>
      </c>
      <c r="E105" s="66" t="n">
        <v>18592.8</v>
      </c>
      <c r="F105" s="67" t="n">
        <v>462.18</v>
      </c>
      <c r="G105" s="68" t="n">
        <v>46</v>
      </c>
      <c r="H105" s="68" t="n">
        <v>1</v>
      </c>
      <c r="I105" s="68" t="n">
        <v>121</v>
      </c>
      <c r="J105" s="69" t="n">
        <v>4.2</v>
      </c>
      <c r="K105" s="69" t="inlineStr">
        <is>
          <t>https://amazon.com/dp/B00S5AB54W</t>
        </is>
      </c>
      <c r="L105" s="114">
        <f>HYPERLINK(Table3155[[#This Row],[Column1]])</f>
        <v/>
      </c>
    </row>
    <row r="106" ht="30" customHeight="1" s="314">
      <c r="A106" s="35" t="inlineStr">
        <is>
          <t>iCarsoft OBD2 Scanner for Landrover/Jaguar 9 Reset Functions Oil Reset BMS TPMS etc, Full System Diagnostic Tool with Airbag Transmission Scan, Battery Test/Live Data, LR V2.0 Car Code Reader</t>
        </is>
      </c>
      <c r="B106" s="35" t="inlineStr">
        <is>
          <t>B0D9XZYH44</t>
        </is>
      </c>
      <c r="C106" s="35" t="inlineStr">
        <is>
          <t>Tablet</t>
        </is>
      </c>
      <c r="D106" s="359" t="n">
        <v>153.0433333333333</v>
      </c>
      <c r="E106" s="66" t="n">
        <v>31041.39</v>
      </c>
      <c r="F106" s="67" t="n">
        <v>459.13</v>
      </c>
      <c r="G106" s="68" t="n">
        <v>186</v>
      </c>
      <c r="H106" s="68" t="n">
        <v>3</v>
      </c>
      <c r="I106" s="68" t="n">
        <v>13</v>
      </c>
      <c r="J106" s="69" t="n">
        <v>3.8</v>
      </c>
      <c r="K106" s="69" t="inlineStr">
        <is>
          <t>https://amazon.com/dp/B0D9XZYH44</t>
        </is>
      </c>
      <c r="L106" s="114">
        <f>HYPERLINK(Table3155[[#This Row],[Column1]])</f>
        <v/>
      </c>
    </row>
    <row r="107" ht="45" customHeight="1" s="314">
      <c r="A107" s="35" t="inlineStr">
        <is>
          <t>iCarsoft CR V3.0 (2026) Scan Tool Bidirectional OBD2 Scanner Diagnostic Tool for All Cars, 45 Reset,All System Diagnose, 4000+ Active Test, Battery Test-Customizable Diagnosis for 10 Car Brands</t>
        </is>
      </c>
      <c r="B107" s="35" t="inlineStr">
        <is>
          <t>B0F2HL8P5G</t>
        </is>
      </c>
      <c r="C107" s="35" t="inlineStr">
        <is>
          <t>Tablet</t>
        </is>
      </c>
      <c r="D107" s="359" t="n">
        <v>226.305</v>
      </c>
      <c r="E107" s="66" t="n">
        <v>4992.533846153846</v>
      </c>
      <c r="F107" s="67" t="n">
        <v>452.61</v>
      </c>
      <c r="G107" s="68" t="n">
        <v>18</v>
      </c>
      <c r="H107" s="68" t="n">
        <v>2</v>
      </c>
      <c r="I107" s="68" t="n">
        <v>5</v>
      </c>
      <c r="J107" s="69" t="n">
        <v>4.1</v>
      </c>
      <c r="K107" s="69" t="inlineStr">
        <is>
          <t>https://amazon.com/dp/B0F2HL8P5G</t>
        </is>
      </c>
      <c r="L107" s="114">
        <f>HYPERLINK(Table3155[[#This Row],[Column1]])</f>
        <v/>
      </c>
    </row>
    <row r="108" ht="45" customHeight="1" s="314">
      <c r="A108" s="35" t="inlineStr">
        <is>
          <t>iCarsoft VAWS V2.0</t>
        </is>
      </c>
      <c r="B108" s="35" t="inlineStr">
        <is>
          <t>B07B8C8J8N</t>
        </is>
      </c>
      <c r="C108" s="35" t="inlineStr">
        <is>
          <t>Tablet</t>
        </is>
      </c>
      <c r="D108" s="359" t="n">
        <v>146.6066666666667</v>
      </c>
      <c r="E108" s="66" t="n">
        <v>6359.820000000001</v>
      </c>
      <c r="F108" s="67" t="n">
        <v>439.82</v>
      </c>
      <c r="G108" s="68" t="n">
        <v>45</v>
      </c>
      <c r="H108" s="68" t="n">
        <v>3</v>
      </c>
      <c r="I108" s="68" t="n">
        <v>229</v>
      </c>
      <c r="J108" s="69" t="n">
        <v>4</v>
      </c>
      <c r="K108" s="69" t="inlineStr">
        <is>
          <t>https://amazon.com/dp/B07B8C8J8N</t>
        </is>
      </c>
      <c r="L108" s="114">
        <f>HYPERLINK(Table3155[[#This Row],[Column1]])</f>
        <v/>
      </c>
    </row>
    <row r="109" ht="45" customHeight="1" s="314">
      <c r="A109" s="35" t="inlineStr">
        <is>
          <t>iCarsoft CR Pro 2025 Ver OBD2 Scanner Diagnostic Tool All System Car Scan Tool Battery Test Live Data Graph with 9 Service Oil Reset EPB BMS ETC SAS DP-F ABS TPMS Injector Coding Fault Code Reader</t>
        </is>
      </c>
      <c r="B109" s="35" t="inlineStr">
        <is>
          <t>B0F6B9YVK5</t>
        </is>
      </c>
      <c r="C109" s="35" t="inlineStr">
        <is>
          <t>Tablet</t>
        </is>
      </c>
      <c r="D109" s="359" t="n">
        <v>212.72</v>
      </c>
      <c r="E109" s="66" t="n">
        <v>5372.993846153847</v>
      </c>
      <c r="F109" s="67" t="n">
        <v>425.44</v>
      </c>
      <c r="G109" s="68" t="n">
        <v>18</v>
      </c>
      <c r="H109" s="68" t="n">
        <v>2</v>
      </c>
      <c r="I109" s="68" t="n">
        <v>38</v>
      </c>
      <c r="J109" s="69" t="n">
        <v>3.7</v>
      </c>
      <c r="K109" s="69" t="inlineStr">
        <is>
          <t>https://amazon.com/dp/B0F6B9YVK5</t>
        </is>
      </c>
      <c r="L109" s="114">
        <f>HYPERLINK(Table3155[[#This Row],[Column1]])</f>
        <v/>
      </c>
    </row>
    <row r="110" ht="45" customHeight="1" s="314">
      <c r="A110" s="35" t="inlineStr">
        <is>
          <t>iCarsoft POR II-D OBD2 Full System Diagnostic Tool for Porsche, with Oil/EPB/DP/ETC/SAS Reset, Real-Time Data Display &amp; Free Lifetime Update</t>
        </is>
      </c>
      <c r="B110" s="35" t="inlineStr">
        <is>
          <t>B0DZ65TH1G</t>
        </is>
      </c>
      <c r="C110" s="35" t="inlineStr">
        <is>
          <t>Tablet</t>
        </is>
      </c>
      <c r="D110" s="359" t="n">
        <v>141.2266666666667</v>
      </c>
      <c r="E110" s="66" t="n">
        <v>4809.446153846154</v>
      </c>
      <c r="F110" s="67" t="n">
        <v>423.68</v>
      </c>
      <c r="G110" s="68" t="n">
        <v>20</v>
      </c>
      <c r="H110" s="68" t="n">
        <v>3</v>
      </c>
      <c r="I110" s="68" t="n"/>
      <c r="J110" s="69" t="n"/>
      <c r="K110" s="69" t="inlineStr">
        <is>
          <t>https://amazon.com/dp/B0DZ65TH1G</t>
        </is>
      </c>
      <c r="L110" s="114">
        <f>HYPERLINK(Table3155[[#This Row],[Column1]])</f>
        <v/>
      </c>
    </row>
    <row r="111" ht="45" customHeight="1" s="314">
      <c r="A111" s="35" t="inlineStr">
        <is>
          <t>iCarsoft HD V3.0 Heavy Duty Truck Multi-Systems Scanner, OBD2 Scanner for Diesel Trucks, 2-in-1 Code Reader for Truck &amp; Car with Full OBD2 Modes, Diagnostic Tool with 16/6/9 Pin Adapter</t>
        </is>
      </c>
      <c r="B111" s="35" t="inlineStr">
        <is>
          <t>B0F9XZXSYZ</t>
        </is>
      </c>
      <c r="C111" s="35" t="inlineStr">
        <is>
          <t>Handheld</t>
        </is>
      </c>
      <c r="D111" s="359" t="n">
        <v>104.145</v>
      </c>
      <c r="E111" s="66" t="n">
        <v>3749.341538461538</v>
      </c>
      <c r="F111" s="67" t="n">
        <v>416.58</v>
      </c>
      <c r="G111" s="68" t="n">
        <v>21</v>
      </c>
      <c r="H111" s="68" t="n">
        <v>4</v>
      </c>
      <c r="I111" s="68" t="n">
        <v>2</v>
      </c>
      <c r="J111" s="69" t="n">
        <v>2</v>
      </c>
      <c r="K111" s="69" t="inlineStr">
        <is>
          <t>https://amazon.com/dp/B0F9XZXSYZ</t>
        </is>
      </c>
      <c r="L111" s="114">
        <f>HYPERLINK(Table3155[[#This Row],[Column1]])</f>
        <v/>
      </c>
    </row>
    <row r="112" ht="60" customHeight="1" s="314">
      <c r="A112" s="35" t="inlineStr">
        <is>
          <t>iCarsoft HD V4.0 Heavy Duty Truck Scanner with 8 Reset, Full System Diagnostic Tool, D P -F Re-gen/Injector Coding/Li-mit Setting, 2 in 1 Code Reader for Car &amp; Truck Cummins/Detroit/Caterpillar/Hino</t>
        </is>
      </c>
      <c r="B112" s="35" t="inlineStr">
        <is>
          <t>B0FFYC134P</t>
        </is>
      </c>
      <c r="C112" s="35" t="inlineStr">
        <is>
          <t>Tablet</t>
        </is>
      </c>
      <c r="D112" s="359" t="n">
        <v>399.96</v>
      </c>
      <c r="E112" s="66" t="n">
        <v>10206.29923076923</v>
      </c>
      <c r="F112" s="67" t="n">
        <v>399.96</v>
      </c>
      <c r="G112" s="68" t="n">
        <v>18</v>
      </c>
      <c r="H112" s="68" t="n">
        <v>1</v>
      </c>
      <c r="I112" s="68" t="n">
        <v>5</v>
      </c>
      <c r="J112" s="69" t="n">
        <v>3.3</v>
      </c>
      <c r="K112" s="69" t="inlineStr">
        <is>
          <t>https://amazon.com/dp/B0FFYC134P</t>
        </is>
      </c>
      <c r="L112" s="114">
        <f>HYPERLINK(Table3155[[#This Row],[Column1]])</f>
        <v/>
      </c>
    </row>
    <row r="113" ht="45" customHeight="1" s="314">
      <c r="A113" s="35" t="inlineStr">
        <is>
          <t>iCarsoft LR II Compatible for Landrover/Jaguar OBD II Scanner Tool Multi Systems ABS SRS Oil Reset</t>
        </is>
      </c>
      <c r="B113" s="35" t="inlineStr">
        <is>
          <t>B010ODE238</t>
        </is>
      </c>
      <c r="C113" s="35" t="inlineStr">
        <is>
          <t>Tablet</t>
        </is>
      </c>
      <c r="D113" s="359" t="n">
        <v>130.82</v>
      </c>
      <c r="E113" s="66" t="n">
        <v>2384.05</v>
      </c>
      <c r="F113" s="67" t="n">
        <v>392.46</v>
      </c>
      <c r="G113" s="68" t="n">
        <v>16</v>
      </c>
      <c r="H113" s="68" t="n">
        <v>3</v>
      </c>
      <c r="I113" s="68" t="n">
        <v>178</v>
      </c>
      <c r="J113" s="69" t="n">
        <v>4.2</v>
      </c>
      <c r="K113" s="69" t="inlineStr">
        <is>
          <t>https://amazon.com/dp/B010ODE238</t>
        </is>
      </c>
      <c r="L113" s="114">
        <f>HYPERLINK(Table3155[[#This Row],[Column1]])</f>
        <v/>
      </c>
    </row>
    <row r="114" ht="30" customHeight="1" s="314">
      <c r="A114" s="35" t="inlineStr">
        <is>
          <t>iCarsoft Auto Diagnostic Scanner BMM V1.0 for BMW&amp;Mini Test Oil Reset, SAS Reset New Version of i910 (red)</t>
        </is>
      </c>
      <c r="B114" s="35" t="inlineStr">
        <is>
          <t>B075FKTX16</t>
        </is>
      </c>
      <c r="C114" s="35" t="inlineStr">
        <is>
          <t>Handheld</t>
        </is>
      </c>
      <c r="D114" s="359" t="n">
        <v>68.71599999999999</v>
      </c>
      <c r="E114" s="66" t="n">
        <v>9325.631538461539</v>
      </c>
      <c r="F114" s="67" t="n">
        <v>343.58</v>
      </c>
      <c r="G114" s="68" t="n">
        <v>88</v>
      </c>
      <c r="H114" s="68" t="n">
        <v>5</v>
      </c>
      <c r="I114" s="68" t="n">
        <v>34</v>
      </c>
      <c r="J114" s="69" t="n">
        <v>3.6</v>
      </c>
      <c r="K114" s="69" t="inlineStr">
        <is>
          <t>https://amazon.com/dp/B075FKTX16</t>
        </is>
      </c>
      <c r="L114" s="114">
        <f>HYPERLINK(Table3155[[#This Row],[Column1]])</f>
        <v/>
      </c>
    </row>
    <row r="115" ht="45" customHeight="1" s="314">
      <c r="A115" s="35" t="inlineStr">
        <is>
          <t>iCarsoft OBD2 Scanner CR Pro+, Car Diagnostic Tool with Full System Diagnostic, 49 Maintenance Services, Actuation/Bi-Directional Test/Battery Test/Auto VIN/IMMO, Lifetime Update</t>
        </is>
      </c>
      <c r="B115" s="35" t="inlineStr">
        <is>
          <t>B0762MG1W7</t>
        </is>
      </c>
      <c r="C115" s="35" t="inlineStr">
        <is>
          <t>Tablet</t>
        </is>
      </c>
      <c r="D115" s="359" t="n">
        <v>329.96</v>
      </c>
      <c r="E115" s="66" t="n">
        <v>3680.323076923076</v>
      </c>
      <c r="F115" s="67" t="n">
        <v>329.96</v>
      </c>
      <c r="G115" s="68" t="n">
        <v>1</v>
      </c>
      <c r="H115" s="68" t="n">
        <v>1</v>
      </c>
      <c r="I115" s="68" t="n">
        <v>22</v>
      </c>
      <c r="J115" s="69" t="n">
        <v>4.2</v>
      </c>
      <c r="K115" s="69" t="inlineStr">
        <is>
          <t>https://amazon.com/dp/B0762MG1W7</t>
        </is>
      </c>
      <c r="L115" s="114">
        <f>HYPERLINK(Table3155[[#This Row],[Column1]])</f>
        <v/>
      </c>
    </row>
    <row r="116" ht="30" customHeight="1" s="314">
      <c r="A116" s="35" t="inlineStr">
        <is>
          <t>iCarsoft OBD2 Scanner Diagnostic Tool for BMW/VW/Audi, BMM V2.0 (Enhanced Ver) All System 9 Maintenance Resets Battery Registration/Battery Test Code Reader Auto VIN -16PIN OBDII Adapter</t>
        </is>
      </c>
      <c r="B116" s="35" t="inlineStr">
        <is>
          <t>B0F6XKVXS1</t>
        </is>
      </c>
      <c r="C116" s="35" t="inlineStr">
        <is>
          <t>Handheld</t>
        </is>
      </c>
      <c r="D116" s="359" t="n">
        <v>154.135</v>
      </c>
      <c r="E116" s="66" t="n">
        <v>2403.837692307692</v>
      </c>
      <c r="F116" s="67" t="n">
        <v>308.27</v>
      </c>
      <c r="G116" s="68" t="n">
        <v>6</v>
      </c>
      <c r="H116" s="68" t="n">
        <v>2</v>
      </c>
      <c r="I116" s="68" t="n">
        <v>118</v>
      </c>
      <c r="J116" s="69" t="n">
        <v>3.8</v>
      </c>
      <c r="K116" s="69" t="inlineStr">
        <is>
          <t>https://amazon.com/dp/B0F6XKVXS1</t>
        </is>
      </c>
      <c r="L116" s="114">
        <f>HYPERLINK(Table3155[[#This Row],[Column1]])</f>
        <v/>
      </c>
    </row>
    <row r="117" ht="45" customHeight="1" s="314">
      <c r="A117" s="35" t="inlineStr">
        <is>
          <t>iCarsoft OBD2 Scanner POR V1.0 for Porsche/Macan, All System Diagnostic Scan Tool Oil/SAS Reset Check Engine Light I/M Readiness Battery Test OBD2/CAN Car Code Reader/PCM Live Data</t>
        </is>
      </c>
      <c r="B117" s="35" t="inlineStr">
        <is>
          <t>B0DMN9WKSD</t>
        </is>
      </c>
      <c r="C117" s="35" t="inlineStr">
        <is>
          <t>Handheld</t>
        </is>
      </c>
      <c r="D117" s="359" t="n">
        <v>153.95</v>
      </c>
      <c r="E117" s="66" t="n">
        <v>13189.71</v>
      </c>
      <c r="F117" s="67" t="n">
        <v>307.9</v>
      </c>
      <c r="G117" s="68" t="n">
        <v>105</v>
      </c>
      <c r="H117" s="68" t="n">
        <v>2</v>
      </c>
      <c r="I117" s="68" t="n">
        <v>3</v>
      </c>
      <c r="J117" s="69" t="n">
        <v>2.9</v>
      </c>
      <c r="K117" s="69" t="inlineStr">
        <is>
          <t>https://amazon.com/dp/B0DMN9WKSD</t>
        </is>
      </c>
      <c r="L117" s="114">
        <f>HYPERLINK(Table3155[[#This Row],[Column1]])</f>
        <v/>
      </c>
    </row>
    <row r="118" ht="45" customHeight="1" s="314">
      <c r="A118" s="35" t="inlineStr">
        <is>
          <t>iCarsoft Obd2 Scanner, Code Reader Car Diagnostic Tool BMM V2.0 for BMW/Mini, with Oil Service Reset, EPB, BMS, DPF, SAS, ETC, OBD II, Updated Version of i910-II</t>
        </is>
      </c>
      <c r="B118" s="35" t="inlineStr">
        <is>
          <t>B0791C1VVD</t>
        </is>
      </c>
      <c r="C118" s="35" t="inlineStr">
        <is>
          <t>Tablet</t>
        </is>
      </c>
      <c r="D118" s="359" t="n">
        <v>146.045</v>
      </c>
      <c r="E118" s="66" t="n">
        <v>12071.08</v>
      </c>
      <c r="F118" s="67" t="n">
        <v>292.09</v>
      </c>
      <c r="G118" s="68" t="n">
        <v>85</v>
      </c>
      <c r="H118" s="68" t="n">
        <v>2</v>
      </c>
      <c r="I118" s="68" t="n">
        <v>290</v>
      </c>
      <c r="J118" s="69" t="n">
        <v>4.2</v>
      </c>
      <c r="K118" s="69" t="inlineStr">
        <is>
          <t>https://amazon.com/dp/B0791C1VVD</t>
        </is>
      </c>
      <c r="L118" s="114">
        <f>HYPERLINK(Table3155[[#This Row],[Column1]])</f>
        <v/>
      </c>
    </row>
    <row r="119" ht="30" customHeight="1" s="314">
      <c r="A119" s="35" t="inlineStr">
        <is>
          <t>iCarsoft OBD II Diagnostic Tool EU Pro</t>
        </is>
      </c>
      <c r="B119" s="35" t="inlineStr">
        <is>
          <t>B07KR2QTX1</t>
        </is>
      </c>
      <c r="C119" s="35" t="inlineStr">
        <is>
          <t>Tablet</t>
        </is>
      </c>
      <c r="D119" s="359" t="n">
        <v>139.455</v>
      </c>
      <c r="E119" s="66" t="n">
        <v>5745.200000000001</v>
      </c>
      <c r="F119" s="67" t="n">
        <v>278.91</v>
      </c>
      <c r="G119" s="68" t="n">
        <v>34</v>
      </c>
      <c r="H119" s="68" t="n">
        <v>2</v>
      </c>
      <c r="I119" s="68" t="n">
        <v>186</v>
      </c>
      <c r="J119" s="69" t="n">
        <v>4</v>
      </c>
      <c r="K119" s="69" t="inlineStr">
        <is>
          <t>https://amazon.com/dp/B07KR2QTX1</t>
        </is>
      </c>
      <c r="L119" s="114">
        <f>HYPERLINK(Table3155[[#This Row],[Column1]])</f>
        <v/>
      </c>
    </row>
    <row r="120" ht="60" customHeight="1" s="314">
      <c r="A120" s="35" t="inlineStr">
        <is>
          <t>iCarsoft Bidirectional Scan Tool CR Pro+ Enhanced Version with 38 Pin Adapter for Benz Wider Compatibility 49 Reset Service Diagnostic Tool Full Systems Code Reader In-depth Scan Tool for Control Unit</t>
        </is>
      </c>
      <c r="B120" s="35" t="inlineStr">
        <is>
          <t>B0DV5KLWXX</t>
        </is>
      </c>
      <c r="C120" s="35" t="inlineStr">
        <is>
          <t>Tablet</t>
        </is>
      </c>
      <c r="D120" s="359" t="n">
        <v>263.96</v>
      </c>
      <c r="E120" s="66" t="n">
        <v>4984.18</v>
      </c>
      <c r="F120" s="67" t="n">
        <v>263.96</v>
      </c>
      <c r="G120" s="68" t="n">
        <v>15</v>
      </c>
      <c r="H120" s="68" t="n">
        <v>1</v>
      </c>
      <c r="I120" s="68" t="n">
        <v>1</v>
      </c>
      <c r="J120" s="69" t="n">
        <v>5</v>
      </c>
      <c r="K120" s="69" t="inlineStr">
        <is>
          <t>https://amazon.com/dp/B0DV5KLWXX</t>
        </is>
      </c>
      <c r="L120" s="114">
        <f>HYPERLINK(Table3155[[#This Row],[Column1]])</f>
        <v/>
      </c>
    </row>
    <row r="121" ht="60" customHeight="1" s="314">
      <c r="A121" s="35" t="inlineStr">
        <is>
          <t>iCarsoft for Volvo/SAAB OBD-II Multi Systems Scanner Tool, SRS ABS Engine Oil Reset, EPB i906-II New Version</t>
        </is>
      </c>
      <c r="B121" s="35" t="inlineStr">
        <is>
          <t>B010ODE03K</t>
        </is>
      </c>
      <c r="C121" s="35" t="inlineStr">
        <is>
          <t>Tablet</t>
        </is>
      </c>
      <c r="D121" s="359" t="n">
        <v>127.92</v>
      </c>
      <c r="E121" s="66" t="n">
        <v>2280.64</v>
      </c>
      <c r="F121" s="67" t="n">
        <v>255.84</v>
      </c>
      <c r="G121" s="68" t="n">
        <v>11</v>
      </c>
      <c r="H121" s="68" t="n">
        <v>2</v>
      </c>
      <c r="I121" s="68" t="n">
        <v>109</v>
      </c>
      <c r="J121" s="69" t="n">
        <v>3.9</v>
      </c>
      <c r="K121" s="69" t="inlineStr">
        <is>
          <t>https://amazon.com/dp/B010ODE03K</t>
        </is>
      </c>
      <c r="L121" s="114">
        <f>HYPERLINK(Table3155[[#This Row],[Column1]])</f>
        <v/>
      </c>
    </row>
    <row r="122" ht="30" customHeight="1" s="314">
      <c r="A122" s="35" t="inlineStr">
        <is>
          <t>iCarsoft JP V2.0 Diagnostic Scan Tool for Japanese Vehicles Toyota/Lexus/Scion/Isuzu/Nissan/Infiniti/Mitsubishi/Honda(Acura)/Mazda/Subaru +Oil Reset +EPB+BMS+DPF+SAS+ETC+BLD+INJ</t>
        </is>
      </c>
      <c r="B122" s="35" t="inlineStr">
        <is>
          <t>B07KR4L69G</t>
        </is>
      </c>
      <c r="C122" s="35" t="inlineStr">
        <is>
          <t>Tablet</t>
        </is>
      </c>
      <c r="D122" s="359" t="n">
        <v>125.58</v>
      </c>
      <c r="E122" s="66" t="n">
        <v>9483.02</v>
      </c>
      <c r="F122" s="67" t="n">
        <v>251.16</v>
      </c>
      <c r="G122" s="68" t="n">
        <v>62</v>
      </c>
      <c r="H122" s="68" t="n">
        <v>2</v>
      </c>
      <c r="I122" s="68" t="n">
        <v>50</v>
      </c>
      <c r="J122" s="69" t="n">
        <v>3.6</v>
      </c>
      <c r="K122" s="69" t="inlineStr">
        <is>
          <t>https://amazon.com/dp/B07KR4L69G</t>
        </is>
      </c>
      <c r="L122" s="114">
        <f>HYPERLINK(Table3155[[#This Row],[Column1]])</f>
        <v/>
      </c>
    </row>
    <row r="123" ht="30" customHeight="1" s="314">
      <c r="A123" s="35" t="inlineStr">
        <is>
          <t>Heavy Duty Truck Scanner, iCarsoft HD V3.0 Multi-System OBD2 Diagnostic Scan Tool for Truck, Car, Mini Van, Light Duty Vehicle, Code Reader,Battery Test, Graphic Data Display-Red</t>
        </is>
      </c>
      <c r="B123" s="35" t="inlineStr">
        <is>
          <t>B07FP96X2D</t>
        </is>
      </c>
      <c r="C123" s="35" t="inlineStr">
        <is>
          <t>Handheld</t>
        </is>
      </c>
      <c r="D123" s="359" t="n">
        <v>122.81</v>
      </c>
      <c r="E123" s="66" t="n">
        <v>13258.53</v>
      </c>
      <c r="F123" s="67" t="n">
        <v>245.62</v>
      </c>
      <c r="G123" s="68" t="n">
        <v>108</v>
      </c>
      <c r="H123" s="68" t="n">
        <v>2</v>
      </c>
      <c r="I123" s="68" t="n">
        <v>34</v>
      </c>
      <c r="J123" s="69" t="n">
        <v>3.6</v>
      </c>
      <c r="K123" s="69" t="inlineStr">
        <is>
          <t>https://amazon.com/dp/B07FP96X2D</t>
        </is>
      </c>
      <c r="L123" s="114">
        <f>HYPERLINK(Table3155[[#This Row],[Column1]])</f>
        <v/>
      </c>
    </row>
    <row r="124" ht="60" customHeight="1" s="314">
      <c r="A124" s="35" t="inlineStr">
        <is>
          <t>‌iCarsoft CR Pro-D OBD2 Scanner Professional Full-System Diagnostic Tool with Oil Reset, EPB, ABS, TPMS, Live Data &amp; Battery Test for Most Vehicles‌‌ Compact Design with Free Lifetime Updates</t>
        </is>
      </c>
      <c r="B124" s="35" t="inlineStr">
        <is>
          <t>B0DXVXFBCG</t>
        </is>
      </c>
      <c r="C124" s="35" t="inlineStr">
        <is>
          <t>Tablet</t>
        </is>
      </c>
      <c r="D124" s="359" t="n">
        <v>238.2</v>
      </c>
      <c r="E124" s="66" t="n">
        <v>2876.723076923076</v>
      </c>
      <c r="F124" s="67" t="n">
        <v>238.2</v>
      </c>
      <c r="G124" s="68" t="n">
        <v>1</v>
      </c>
      <c r="H124" s="68" t="n">
        <v>1</v>
      </c>
      <c r="I124" s="68" t="n"/>
      <c r="J124" s="69" t="n"/>
      <c r="K124" s="69" t="inlineStr">
        <is>
          <t>https://amazon.com/dp/B0DXVXFBCG</t>
        </is>
      </c>
      <c r="L124" s="114">
        <f>HYPERLINK(Table3155[[#This Row],[Column1]])</f>
        <v/>
      </c>
    </row>
    <row r="125" ht="45" customHeight="1" s="314">
      <c r="A125" s="35" t="inlineStr">
        <is>
          <t>iCarsoft CR Elite(2005) OBD2 Scanner for All Vehicle, Engine/Transmission/ABS/Airbag System Scan Tool with Oil Reset/EPB/BMS/ETC/Sterring Angle/D.P.F/ABS Reset/Injector Coding/Battery Test</t>
        </is>
      </c>
      <c r="B125" s="35" t="inlineStr">
        <is>
          <t>B0DYDPX7FF</t>
        </is>
      </c>
      <c r="C125" s="35" t="inlineStr">
        <is>
          <t>Tablet</t>
        </is>
      </c>
      <c r="D125" s="359" t="n">
        <v>233.57</v>
      </c>
      <c r="E125" s="66" t="n">
        <v>3267.79</v>
      </c>
      <c r="F125" s="67" t="n">
        <v>233.57</v>
      </c>
      <c r="G125" s="68" t="n">
        <v>16</v>
      </c>
      <c r="H125" s="68" t="n">
        <v>1</v>
      </c>
      <c r="I125" s="68" t="n">
        <v>1</v>
      </c>
      <c r="J125" s="69" t="n">
        <v>4</v>
      </c>
      <c r="K125" s="69" t="inlineStr">
        <is>
          <t>https://amazon.com/dp/B0DYDPX7FF</t>
        </is>
      </c>
      <c r="L125" s="114">
        <f>HYPERLINK(Table3155[[#This Row],[Column1]])</f>
        <v/>
      </c>
    </row>
    <row r="126" ht="30" customHeight="1" s="314">
      <c r="A126" s="35" t="inlineStr">
        <is>
          <t>iCarsoft i800 Plus OBD2 Scanner Diagnostic Tool with Component Test/118 Live Data/Reset CEL/Battery Test/Freeze Frame/VIN, Code Reader for All Cars Full OBD2 Functions, Fuel System Scan Tool para Auto</t>
        </is>
      </c>
      <c r="B126" s="35" t="inlineStr">
        <is>
          <t>B0C4KTVRW8</t>
        </is>
      </c>
      <c r="C126" s="35" t="inlineStr">
        <is>
          <t>Handheld</t>
        </is>
      </c>
      <c r="D126" s="359" t="n">
        <v>73.85666666666667</v>
      </c>
      <c r="E126" s="66" t="n">
        <v>2896.58</v>
      </c>
      <c r="F126" s="67" t="n">
        <v>221.57</v>
      </c>
      <c r="G126" s="68" t="n">
        <v>44</v>
      </c>
      <c r="H126" s="68" t="n">
        <v>3</v>
      </c>
      <c r="I126" s="68" t="n">
        <v>19</v>
      </c>
      <c r="J126" s="69" t="n">
        <v>4.1</v>
      </c>
      <c r="K126" s="69" t="inlineStr">
        <is>
          <t>https://amazon.com/dp/B0C4KTVRW8</t>
        </is>
      </c>
      <c r="L126" s="114">
        <f>HYPERLINK(Table3155[[#This Row],[Column1]])</f>
        <v/>
      </c>
    </row>
    <row r="127" ht="30" customHeight="1" s="314">
      <c r="A127" s="35" t="inlineStr">
        <is>
          <t>iCarsoft MT V6 for Suzuki Motorcycle Bidirectional Diagnostic Tool Full System Scan Code Reader with 9 Reset/12 Active Test, Motorbike &amp; Car OBD2 Scanner/Live Data/Battery Test/AutoVIN</t>
        </is>
      </c>
      <c r="B127" s="35" t="inlineStr">
        <is>
          <t>B0F6D3JTPH</t>
        </is>
      </c>
      <c r="C127" s="35" t="inlineStr">
        <is>
          <t>Handheld</t>
        </is>
      </c>
      <c r="D127" s="359" t="n">
        <v>203.79</v>
      </c>
      <c r="E127" s="66" t="n">
        <v>2323.611538461539</v>
      </c>
      <c r="F127" s="67" t="n">
        <v>203.79</v>
      </c>
      <c r="G127" s="68" t="n">
        <v>7</v>
      </c>
      <c r="H127" s="68" t="n">
        <v>1</v>
      </c>
      <c r="I127" s="68" t="n">
        <v>2</v>
      </c>
      <c r="J127" s="69" t="n">
        <v>3</v>
      </c>
      <c r="K127" s="69" t="inlineStr">
        <is>
          <t>https://amazon.com/dp/B0F6D3JTPH</t>
        </is>
      </c>
      <c r="L127" s="114">
        <f>HYPERLINK(Table3155[[#This Row],[Column1]])</f>
        <v/>
      </c>
    </row>
    <row r="128" ht="45" customHeight="1" s="314">
      <c r="A128" s="35" t="inlineStr">
        <is>
          <t>Bidirectional Diagnostic Tool for BMW/Rolls-Royce, iCarsoft BMM V3.0(Enhanced VER) Full Resets/Battery Registration/ECU Coding All System OBD2 Scanner Code Reader with 16PIN+20PIN Diagnostic Adapters</t>
        </is>
      </c>
      <c r="B128" s="35" t="inlineStr">
        <is>
          <t>B0F6TNGTWY</t>
        </is>
      </c>
      <c r="C128" s="35" t="inlineStr">
        <is>
          <t>Tablet</t>
        </is>
      </c>
      <c r="D128" s="359" t="n">
        <v>181.84</v>
      </c>
      <c r="E128" s="66" t="n">
        <v>5277.473846153845</v>
      </c>
      <c r="F128" s="67" t="n">
        <v>181.84</v>
      </c>
      <c r="G128" s="68" t="n">
        <v>22</v>
      </c>
      <c r="H128" s="68" t="n">
        <v>1</v>
      </c>
      <c r="I128" s="68" t="n">
        <v>10</v>
      </c>
      <c r="J128" s="69" t="n">
        <v>4.3</v>
      </c>
      <c r="K128" s="69" t="inlineStr">
        <is>
          <t>https://amazon.com/dp/B0F6TNGTWY</t>
        </is>
      </c>
      <c r="L128" s="114">
        <f>HYPERLINK(Table3155[[#This Row],[Column1]])</f>
        <v/>
      </c>
    </row>
    <row r="129" ht="30" customHeight="1" s="314">
      <c r="A129" s="35" t="inlineStr">
        <is>
          <t>iCarsoft JP V2.0 Diagnostic Tool for Daewoo/Toyota/Honda/Mitsubishi/Suzuki/Mazda/Hyundai, Full System OBD2 Scanner with 9 Service Function, Oil/EPB/BMS/ETC/SAS/BLD/INJ/TPMS/DPfilter</t>
        </is>
      </c>
      <c r="B129" s="35" t="inlineStr">
        <is>
          <t>B0FL7VL8N2</t>
        </is>
      </c>
      <c r="C129" s="35" t="inlineStr">
        <is>
          <t>Tablet</t>
        </is>
      </c>
      <c r="D129" s="359" t="n">
        <v>169.96</v>
      </c>
      <c r="E129" s="66" t="n">
        <v>6416.756923076926</v>
      </c>
      <c r="F129" s="67" t="n">
        <v>169.96</v>
      </c>
      <c r="G129" s="68" t="n">
        <v>32</v>
      </c>
      <c r="H129" s="68" t="n">
        <v>1</v>
      </c>
      <c r="I129" s="68" t="n"/>
      <c r="J129" s="69" t="n"/>
      <c r="K129" s="69" t="inlineStr">
        <is>
          <t>https://amazon.com/dp/B0FL7VL8N2</t>
        </is>
      </c>
      <c r="L129" s="114">
        <f>HYPERLINK(Table3155[[#This Row],[Column1]])</f>
        <v/>
      </c>
    </row>
    <row r="130" ht="17" customHeight="1" s="314">
      <c r="A130" s="35" t="inlineStr">
        <is>
          <t>iCarsoft CR Pro Enhanced Version OBD2 Scanner Diagnostic Tool, 15 Special Service All System Car Scan Tool Battery Test Live Data Graph Fault Code Reader</t>
        </is>
      </c>
      <c r="B130" s="35" t="inlineStr">
        <is>
          <t>B0F6CC4RWB</t>
        </is>
      </c>
      <c r="C130" s="35" t="inlineStr">
        <is>
          <t>Tablet</t>
        </is>
      </c>
      <c r="D130" s="359" t="n">
        <v>158.61</v>
      </c>
      <c r="E130" s="66" t="n">
        <v>1124.116923076923</v>
      </c>
      <c r="F130" s="67" t="n">
        <v>158.61</v>
      </c>
      <c r="G130" s="68" t="n">
        <v>3</v>
      </c>
      <c r="H130" s="68" t="n">
        <v>1</v>
      </c>
      <c r="I130" s="68" t="n">
        <v>38</v>
      </c>
      <c r="J130" s="69" t="n">
        <v>3.7</v>
      </c>
      <c r="K130" s="69" t="inlineStr">
        <is>
          <t>https://amazon.com/dp/B0F6CC4RWB</t>
        </is>
      </c>
      <c r="L130" s="114">
        <f>HYPERLINK(Table3155[[#This Row],[Column1]])</f>
        <v/>
      </c>
    </row>
    <row r="131" ht="30" customHeight="1" s="314">
      <c r="A131" s="35" t="inlineStr">
        <is>
          <t>Auto Diagnostic Scanner iCarsoft POR V1.0 for Porsche with Airbag Scan,Oil Service Reset, SAS Reset ect</t>
        </is>
      </c>
      <c r="B131" s="35" t="inlineStr">
        <is>
          <t>B07F3918N7</t>
        </is>
      </c>
      <c r="C131" s="35" t="inlineStr">
        <is>
          <t>Handheld</t>
        </is>
      </c>
      <c r="D131" s="359" t="n">
        <v>157.56</v>
      </c>
      <c r="E131" s="66" t="n">
        <v>9695.65</v>
      </c>
      <c r="F131" s="67" t="n">
        <v>157.56</v>
      </c>
      <c r="G131" s="68" t="n">
        <v>91</v>
      </c>
      <c r="H131" s="68" t="n">
        <v>1</v>
      </c>
      <c r="I131" s="68" t="n">
        <v>120</v>
      </c>
      <c r="J131" s="69" t="n">
        <v>4.2</v>
      </c>
      <c r="K131" s="69" t="inlineStr">
        <is>
          <t>https://amazon.com/dp/B07F3918N7</t>
        </is>
      </c>
      <c r="L131" s="114">
        <f>HYPERLINK(Table3155[[#This Row],[Column1]])</f>
        <v/>
      </c>
    </row>
    <row r="132" ht="60" customHeight="1" s="314">
      <c r="A132" s="35" t="inlineStr">
        <is>
          <t>iCarsoft OBD2 Scanner Diagnostic Tool MB II with Oil/ABS Bleeding/SAS Reset, Full OBDII Modes Full Systems Car Code Reader with Battery Test, Live Data, Full ODB2 Scan Tool, Lifetime Free Updates</t>
        </is>
      </c>
      <c r="B132" s="35" t="inlineStr">
        <is>
          <t>B0DZ2MPR83</t>
        </is>
      </c>
      <c r="C132" s="35" t="inlineStr">
        <is>
          <t>Tablet</t>
        </is>
      </c>
      <c r="D132" s="359" t="n">
        <v>149.94</v>
      </c>
      <c r="E132" s="66" t="n">
        <v>1545.515384615384</v>
      </c>
      <c r="F132" s="67" t="n">
        <v>149.94</v>
      </c>
      <c r="G132" s="68" t="n">
        <v>2</v>
      </c>
      <c r="H132" s="68" t="n">
        <v>1</v>
      </c>
      <c r="I132" s="68" t="n"/>
      <c r="J132" s="69" t="n"/>
      <c r="K132" s="69" t="inlineStr">
        <is>
          <t>https://amazon.com/dp/B0DZ2MPR83</t>
        </is>
      </c>
      <c r="L132" s="114">
        <f>HYPERLINK(Table3155[[#This Row],[Column1]])</f>
        <v/>
      </c>
    </row>
    <row r="133" ht="17" customHeight="1" s="314">
      <c r="A133" s="35" t="inlineStr">
        <is>
          <t>ICarsoft i980 OBD2 Scanner for Ben.z/Sprinter/Smart, ALL System Steering Angle Reset/Oil Reset Car Diagnostic Tool Car Code Reader- Battery Test/Live Data</t>
        </is>
      </c>
      <c r="B133" s="35" t="inlineStr">
        <is>
          <t>B0F62S9ZR5</t>
        </is>
      </c>
      <c r="C133" s="35" t="inlineStr">
        <is>
          <t>Handheld</t>
        </is>
      </c>
      <c r="D133" s="359" t="n">
        <v>145.37</v>
      </c>
      <c r="E133" s="66" t="n">
        <v>1487.246923076923</v>
      </c>
      <c r="F133" s="67" t="n">
        <v>145.37</v>
      </c>
      <c r="G133" s="68" t="n">
        <v>1</v>
      </c>
      <c r="H133" s="68" t="n">
        <v>1</v>
      </c>
      <c r="I133" s="68" t="n"/>
      <c r="J133" s="69" t="n"/>
      <c r="K133" s="69" t="inlineStr">
        <is>
          <t>https://amazon.com/dp/B0F62S9ZR5</t>
        </is>
      </c>
      <c r="L133" s="114">
        <f>HYPERLINK(Table3155[[#This Row],[Column1]])</f>
        <v/>
      </c>
    </row>
    <row r="134" ht="30" customHeight="1" s="314">
      <c r="A134" s="35" t="inlineStr">
        <is>
          <t>iCarsoft VAWS V1.0 OBD2 Scanner Full Systems Diagnostic Tool for VW/Audi/Skoda, Vehicle Code Reader with Oil Reset/SAS Reset, Automotive OBD II Scanner Fault Diagnosis with Live Data Battery Test</t>
        </is>
      </c>
      <c r="B134" s="35" t="inlineStr">
        <is>
          <t>B0FP1CTGPH</t>
        </is>
      </c>
      <c r="C134" s="35" t="inlineStr">
        <is>
          <t>Handheld</t>
        </is>
      </c>
      <c r="D134" s="359" t="n">
        <v>129.94</v>
      </c>
      <c r="E134" s="66" t="n">
        <v>1209.441538461539</v>
      </c>
      <c r="F134" s="67" t="n">
        <v>129.94</v>
      </c>
      <c r="G134" s="68" t="n">
        <v>1</v>
      </c>
      <c r="H134" s="68" t="n">
        <v>1</v>
      </c>
      <c r="I134" s="68" t="n"/>
      <c r="J134" s="69" t="n"/>
      <c r="K134" s="69" t="inlineStr">
        <is>
          <t>https://amazon.com/dp/B0FP1CTGPH</t>
        </is>
      </c>
      <c r="L134" s="114">
        <f>HYPERLINK(Table3155[[#This Row],[Column1]])</f>
        <v/>
      </c>
    </row>
    <row r="135" ht="45" customHeight="1" s="314">
      <c r="A135" s="35" t="inlineStr">
        <is>
          <t>iCarsoft OBD2 Scanner for Ford/Holden, FD V1.0 All System in-Depth Diagnostic Scan Tool, Oil/SAS Reset/Live Data, ABS Airbag Engine Transmission Code Reader OBD2/EOBD/CAN Scan Tool</t>
        </is>
      </c>
      <c r="B135" s="35" t="inlineStr">
        <is>
          <t>B0DMNZN2MZ</t>
        </is>
      </c>
      <c r="C135" s="35" t="inlineStr">
        <is>
          <t>Handheld</t>
        </is>
      </c>
      <c r="D135" s="359" t="n">
        <v>129.91</v>
      </c>
      <c r="E135" s="66" t="n">
        <v>2488.99</v>
      </c>
      <c r="F135" s="67" t="n">
        <v>129.91</v>
      </c>
      <c r="G135" s="68" t="n">
        <v>20</v>
      </c>
      <c r="H135" s="68" t="n">
        <v>1</v>
      </c>
      <c r="I135" s="68" t="n">
        <v>42</v>
      </c>
      <c r="J135" s="69" t="n">
        <v>3.8</v>
      </c>
      <c r="K135" s="69" t="inlineStr">
        <is>
          <t>https://amazon.com/dp/B0DMNZN2MZ</t>
        </is>
      </c>
      <c r="L135" s="114">
        <f>HYPERLINK(Table3155[[#This Row],[Column1]])</f>
        <v/>
      </c>
    </row>
    <row r="136" ht="30" customHeight="1" s="314">
      <c r="A136" s="35" t="inlineStr">
        <is>
          <t>iCarsoft VDSP2000 USB Videoscope, 0.21'' Camera Len, Waterproof HD Borescope Inspection Camera, 39.37'',LED Light, Industrial HD Endoscope Work with CR Ultra,CR Unicorn,CR Unicorn S, CR MAX, CR MAX BT</t>
        </is>
      </c>
      <c r="B136" s="35" t="inlineStr">
        <is>
          <t>B0FRD886R8</t>
        </is>
      </c>
      <c r="C136" s="35" t="inlineStr">
        <is>
          <t>Other</t>
        </is>
      </c>
      <c r="D136" s="359" t="n">
        <v>43.22</v>
      </c>
      <c r="E136" s="66" t="n">
        <v>1954.109230769232</v>
      </c>
      <c r="F136" s="67" t="n">
        <v>129.66</v>
      </c>
      <c r="G136" s="68" t="n">
        <v>22</v>
      </c>
      <c r="H136" s="68" t="n">
        <v>3</v>
      </c>
      <c r="I136" s="68" t="n"/>
      <c r="J136" s="69" t="n"/>
      <c r="K136" s="69" t="inlineStr">
        <is>
          <t>https://amazon.com/dp/B0FRD886R8</t>
        </is>
      </c>
      <c r="L136" s="114">
        <f>HYPERLINK(Table3155[[#This Row],[Column1]])</f>
        <v/>
      </c>
    </row>
    <row r="137" ht="45" customHeight="1" s="314">
      <c r="A137" s="35" t="inlineStr">
        <is>
          <t>iCarsoft Original OBD2 Main Test Cable, 16 Pin OBDII Diagnostic Test Cable, Work with iCarsoft Scanner</t>
        </is>
      </c>
      <c r="B137" s="35" t="inlineStr">
        <is>
          <t>B0G7QSH2LS</t>
        </is>
      </c>
      <c r="C137" s="35" t="inlineStr">
        <is>
          <t>Handheld</t>
        </is>
      </c>
      <c r="D137" s="359" t="n">
        <v>42.12</v>
      </c>
      <c r="E137" s="66" t="n">
        <v>1462.25</v>
      </c>
      <c r="F137" s="67" t="n">
        <v>126.36</v>
      </c>
      <c r="G137" s="68" t="n">
        <v>8</v>
      </c>
      <c r="H137" s="68" t="n">
        <v>3</v>
      </c>
      <c r="I137" s="68" t="n"/>
      <c r="J137" s="69" t="n"/>
      <c r="K137" s="69" t="inlineStr">
        <is>
          <t>https://amazon.com/dp/B0G7QSH2LS</t>
        </is>
      </c>
      <c r="L137" s="114">
        <f>HYPERLINK(Table3155[[#This Row],[Column1]])</f>
        <v/>
      </c>
    </row>
    <row r="138" ht="45" customHeight="1" s="314">
      <c r="A138" s="35" t="inlineStr">
        <is>
          <t>iCarsoft Professional Multi-System OBD II Scanner VAWS V1.0 with Oil Service Reset for Audi/VW/Seat/Skoda (red)</t>
        </is>
      </c>
      <c r="B138" s="35" t="inlineStr">
        <is>
          <t>B07B8NP6DL</t>
        </is>
      </c>
      <c r="C138" s="35" t="inlineStr">
        <is>
          <t>Handheld</t>
        </is>
      </c>
      <c r="D138" s="359" t="n">
        <v>99.93000000000001</v>
      </c>
      <c r="E138" s="66" t="n">
        <v>2162.2</v>
      </c>
      <c r="F138" s="67" t="n">
        <v>99.93000000000001</v>
      </c>
      <c r="G138" s="68" t="n">
        <v>21</v>
      </c>
      <c r="H138" s="68" t="n">
        <v>1</v>
      </c>
      <c r="I138" s="68" t="n">
        <v>3</v>
      </c>
      <c r="J138" s="69" t="n">
        <v>5</v>
      </c>
      <c r="K138" s="69" t="inlineStr">
        <is>
          <t>https://amazon.com/dp/B07B8NP6DL</t>
        </is>
      </c>
      <c r="L138" s="114">
        <f>HYPERLINK(Table3155[[#This Row],[Column1]])</f>
        <v/>
      </c>
    </row>
    <row r="139" ht="45" customHeight="1" s="314">
      <c r="A139" s="35" t="inlineStr">
        <is>
          <t>iCarsoft 14-Pin OBDII Diagnostic Cable Adapter for Sprinter - 14 Pin to 16 Pin Connector, Car Male to Female OBD2 Cord</t>
        </is>
      </c>
      <c r="B139" s="35" t="inlineStr">
        <is>
          <t>B0DRYV74PS</t>
        </is>
      </c>
      <c r="C139" s="35" t="inlineStr">
        <is>
          <t>Cable/Adapter</t>
        </is>
      </c>
      <c r="D139" s="359" t="n">
        <v>18.38333333333333</v>
      </c>
      <c r="E139" s="66" t="n">
        <v>685.2061538461537</v>
      </c>
      <c r="F139" s="67" t="n">
        <v>55.15</v>
      </c>
      <c r="G139" s="68" t="n">
        <v>19</v>
      </c>
      <c r="H139" s="68" t="n">
        <v>3</v>
      </c>
      <c r="I139" s="68" t="n"/>
      <c r="J139" s="69" t="n"/>
      <c r="K139" s="69" t="inlineStr">
        <is>
          <t>https://amazon.com/dp/B0DRYV74PS</t>
        </is>
      </c>
      <c r="L139" s="114">
        <f>HYPERLINK(Table3155[[#This Row],[Column1]])</f>
        <v/>
      </c>
    </row>
    <row r="140" ht="17" customHeight="1" s="314">
      <c r="A140" s="35" t="inlineStr">
        <is>
          <t>iCarsoft i800 Obdii/Eobd and Can Engine Fault Code Scanner New Version</t>
        </is>
      </c>
      <c r="B140" s="35" t="inlineStr">
        <is>
          <t>B01N3616JH</t>
        </is>
      </c>
      <c r="C140" s="35" t="inlineStr">
        <is>
          <t>Handheld</t>
        </is>
      </c>
      <c r="D140" s="359" t="n">
        <v>46.95</v>
      </c>
      <c r="E140" s="66" t="n">
        <v>0</v>
      </c>
      <c r="F140" s="67" t="n">
        <v>0</v>
      </c>
      <c r="G140" s="68" t="n">
        <v>0</v>
      </c>
      <c r="H140" s="68" t="n">
        <v>0</v>
      </c>
      <c r="I140" s="68" t="n">
        <v>3</v>
      </c>
      <c r="J140" s="69" t="n">
        <v>3.5</v>
      </c>
      <c r="K140" s="69" t="inlineStr">
        <is>
          <t>https://amazon.com/dp/B01N3616JH</t>
        </is>
      </c>
      <c r="L140" s="114">
        <f>HYPERLINK(Table3155[[#This Row],[Column1]])</f>
        <v/>
      </c>
    </row>
    <row r="141" ht="30" customHeight="1" s="314">
      <c r="A141" s="35" t="inlineStr">
        <is>
          <t>iCarsoft i900 OBD2 Scanner for US Brand Vehicles, All System in-Depth Diagnostic Scan Tool for Ford/Jeep/Chevrolet/Cadillac, Oil Reset/Steering Angle Reset, Live Data OBDII Engine Code Reader</t>
        </is>
      </c>
      <c r="B141" s="35" t="inlineStr">
        <is>
          <t>B0F62YNX9J</t>
        </is>
      </c>
      <c r="C141" s="35" t="inlineStr">
        <is>
          <t>Tablet</t>
        </is>
      </c>
      <c r="D141" s="359" t="n">
        <v>109</v>
      </c>
      <c r="E141" s="66" t="n">
        <v>633.9300000000001</v>
      </c>
      <c r="F141" s="67" t="n">
        <v>0</v>
      </c>
      <c r="G141" s="68" t="n">
        <v>5</v>
      </c>
      <c r="H141" s="68" t="n">
        <v>0</v>
      </c>
      <c r="I141" s="68" t="n"/>
      <c r="J141" s="69" t="n"/>
      <c r="K141" s="69" t="inlineStr">
        <is>
          <t>https://amazon.com/dp/B0F62YNX9J</t>
        </is>
      </c>
      <c r="L141" s="114">
        <f>HYPERLINK(Table3155[[#This Row],[Column1]])</f>
        <v/>
      </c>
    </row>
    <row r="142" ht="45" customHeight="1" s="314">
      <c r="A142" s="35" t="inlineStr">
        <is>
          <t>iCarsoft CR Ultra Advanced Automotive Diagnostic Tool</t>
        </is>
      </c>
      <c r="B142" s="35" t="inlineStr">
        <is>
          <t>B097RKCJSN</t>
        </is>
      </c>
      <c r="C142" s="35" t="inlineStr">
        <is>
          <t>Tablet</t>
        </is>
      </c>
      <c r="D142" s="359" t="n">
        <v>1150</v>
      </c>
      <c r="E142" s="66" t="n">
        <v>0</v>
      </c>
      <c r="F142" s="67" t="n">
        <v>0</v>
      </c>
      <c r="G142" s="68" t="n">
        <v>0</v>
      </c>
      <c r="H142" s="68" t="n">
        <v>0</v>
      </c>
      <c r="I142" s="68" t="n">
        <v>4</v>
      </c>
      <c r="J142" s="69" t="n">
        <v>3.5</v>
      </c>
      <c r="K142" s="69" t="inlineStr">
        <is>
          <t>https://amazon.com/dp/B097RKCJSN</t>
        </is>
      </c>
      <c r="L142" s="114">
        <f>HYPERLINK(Table3155[[#This Row],[Column1]])</f>
        <v/>
      </c>
    </row>
    <row r="143" ht="45" customHeight="1" s="314">
      <c r="A143" s="35" t="inlineStr">
        <is>
          <t>Bidirectional Scan Tool iCarsoft CR MAX OBD2 Scanner Diagnostic Tool with CAN FD, 49 Reset, Active Test for Cooling Fan/MIL/ABS Pump, Full Systems Code Reader, 4-in-1 Graphic Live Data</t>
        </is>
      </c>
      <c r="B143" s="35" t="inlineStr">
        <is>
          <t>B0DXVLF1WX</t>
        </is>
      </c>
      <c r="C143" s="35" t="inlineStr">
        <is>
          <t>Tablet</t>
        </is>
      </c>
      <c r="D143" s="359" t="n">
        <v>369.95</v>
      </c>
      <c r="E143" s="66" t="n">
        <v>726.28</v>
      </c>
      <c r="F143" s="67" t="n">
        <v>0</v>
      </c>
      <c r="G143" s="68" t="n">
        <v>2</v>
      </c>
      <c r="H143" s="68" t="n">
        <v>0</v>
      </c>
      <c r="I143" s="68" t="n"/>
      <c r="J143" s="69" t="n"/>
      <c r="K143" s="69" t="inlineStr">
        <is>
          <t>https://amazon.com/dp/B0DXVLF1WX</t>
        </is>
      </c>
      <c r="L143" s="114">
        <f>HYPERLINK(Table3155[[#This Row],[Column1]])</f>
        <v/>
      </c>
    </row>
    <row r="144" ht="45" customHeight="1" s="314">
      <c r="A144" s="35" t="inlineStr">
        <is>
          <t>iCarsoft CR Elite P 4 Systems OBD2 Scanner Diagnostic Tool, Bidirectional Scan Tool with 49+ Reset,ABS SRS Engine Transmission Car Code Reader/CAN FD/Battery Test/4 in 1 Live Data/Lifetime Free Update</t>
        </is>
      </c>
      <c r="B144" s="35" t="inlineStr">
        <is>
          <t>B0FS7FY2RN</t>
        </is>
      </c>
      <c r="C144" s="35" t="inlineStr">
        <is>
          <t>Tablet</t>
        </is>
      </c>
      <c r="D144" s="359" t="n">
        <v>319.99</v>
      </c>
      <c r="E144" s="66" t="n">
        <v>1690.92</v>
      </c>
      <c r="F144" s="67" t="n">
        <v>0</v>
      </c>
      <c r="G144" s="68" t="n">
        <v>5</v>
      </c>
      <c r="H144" s="68" t="n">
        <v>0</v>
      </c>
      <c r="I144" s="68" t="n"/>
      <c r="J144" s="69" t="n"/>
      <c r="K144" s="69" t="inlineStr">
        <is>
          <t>https://amazon.com/dp/B0FS7FY2RN</t>
        </is>
      </c>
      <c r="L144" s="114">
        <f>HYPERLINK(Table3155[[#This Row],[Column1]])</f>
        <v/>
      </c>
    </row>
    <row r="145" ht="45" customHeight="1" s="314">
      <c r="A145" s="35" t="inlineStr">
        <is>
          <t>iCarsoft MT V6 Motorcycle OBD2 Scanner for Aprilia, Full-System Motorcycle Bidirectional Diagnostic Tool with 88 Resets &amp; 122 Active Test, Battery Test, 2 in 1 Motor Scan Tool+Car OBD2 Diagnostics</t>
        </is>
      </c>
      <c r="B145" s="35" t="inlineStr">
        <is>
          <t>B0G6D72SDY</t>
        </is>
      </c>
      <c r="C145" s="35" t="inlineStr">
        <is>
          <t>Tablet</t>
        </is>
      </c>
      <c r="D145" s="359" t="n">
        <v>199.99</v>
      </c>
      <c r="E145" s="66" t="n">
        <v>0</v>
      </c>
      <c r="F145" s="67" t="n">
        <v>0</v>
      </c>
      <c r="G145" s="68" t="n">
        <v>0</v>
      </c>
      <c r="H145" s="68" t="n">
        <v>0</v>
      </c>
      <c r="I145" s="68" t="n"/>
      <c r="J145" s="69" t="n"/>
      <c r="K145" s="69" t="inlineStr">
        <is>
          <t>https://amazon.com/dp/B0G6D72SDY</t>
        </is>
      </c>
      <c r="L145" s="114">
        <f>HYPERLINK(Table3155[[#This Row],[Column1]])</f>
        <v/>
      </c>
    </row>
    <row r="146" ht="45" customHeight="1" s="314">
      <c r="A146" s="35" t="inlineStr">
        <is>
          <t>OBD2 Scanner iCarsoft CR V2.0 Diagnostic Tool with 8 Resets ABS Bleeding/SAS Calibration/Oil/EPB/ETC Reset, Full Systems Code Reader Scan Tools, ABS SRS Engine Transmission Battery Test Car Scanner</t>
        </is>
      </c>
      <c r="B146" s="35" t="inlineStr">
        <is>
          <t>B0DXW2B99V</t>
        </is>
      </c>
      <c r="C146" s="35" t="inlineStr">
        <is>
          <t>Tablet</t>
        </is>
      </c>
      <c r="D146" s="359" t="n">
        <v>189.95</v>
      </c>
      <c r="E146" s="66" t="n">
        <v>379.86</v>
      </c>
      <c r="F146" s="67" t="n">
        <v>0</v>
      </c>
      <c r="G146" s="68" t="n">
        <v>2</v>
      </c>
      <c r="H146" s="68" t="n">
        <v>0</v>
      </c>
      <c r="I146" s="68" t="n"/>
      <c r="J146" s="69" t="n"/>
      <c r="K146" s="69" t="inlineStr">
        <is>
          <t>https://amazon.com/dp/B0DXW2B99V</t>
        </is>
      </c>
      <c r="L146" s="114">
        <f>HYPERLINK(Table3155[[#This Row],[Column1]])</f>
        <v/>
      </c>
    </row>
    <row r="147" ht="45" customHeight="1" s="314">
      <c r="A147" s="35" t="inlineStr">
        <is>
          <t>iCarsoft Original OBD2 Adapter for Chrysler 12+8 Programming Cable Connector, Bypass Gateway Protocol Cable</t>
        </is>
      </c>
      <c r="B147" s="35" t="inlineStr">
        <is>
          <t>B0FHJB2BFZ</t>
        </is>
      </c>
      <c r="C147" s="35" t="inlineStr">
        <is>
          <t>Cable/Adapter</t>
        </is>
      </c>
      <c r="D147" s="359" t="n">
        <v>69.98999999999999</v>
      </c>
      <c r="E147" s="66" t="n">
        <v>0</v>
      </c>
      <c r="F147" s="67" t="n">
        <v>0</v>
      </c>
      <c r="G147" s="68" t="n">
        <v>0</v>
      </c>
      <c r="H147" s="68" t="n">
        <v>0</v>
      </c>
      <c r="I147" s="68" t="n"/>
      <c r="J147" s="69" t="n"/>
      <c r="K147" s="69" t="inlineStr">
        <is>
          <t>https://amazon.com/dp/B0FHJB2BFZ</t>
        </is>
      </c>
      <c r="L147" s="114">
        <f>HYPERLINK(Table3155[[#This Row],[Column1]])</f>
        <v/>
      </c>
    </row>
    <row r="148" ht="45" customHeight="1" s="314">
      <c r="A148" s="35" t="inlineStr">
        <is>
          <t>iCarsoft All Systems OBDII Scan Tool for Toyota/Corolla/Nissan/Honda/Hyundai/Kia, TYT V1.0 (2025) Oil Reset + SAS Calibration Services for Japanese/Korean Cars Auto VIN/Scan, Lifetime Free Update</t>
        </is>
      </c>
      <c r="B148" s="35" t="inlineStr">
        <is>
          <t>B0F43R9NHW</t>
        </is>
      </c>
      <c r="C148" s="35" t="inlineStr">
        <is>
          <t>Tablet</t>
        </is>
      </c>
      <c r="D148" s="359" t="n">
        <v>109.99</v>
      </c>
      <c r="E148" s="66" t="n">
        <v>1405.9</v>
      </c>
      <c r="F148" s="67" t="n">
        <v>0</v>
      </c>
      <c r="G148" s="68" t="n">
        <v>12</v>
      </c>
      <c r="H148" s="68" t="n">
        <v>0</v>
      </c>
      <c r="I148" s="68" t="n">
        <v>4</v>
      </c>
      <c r="J148" s="69" t="n">
        <v>3.8</v>
      </c>
      <c r="K148" s="69" t="inlineStr">
        <is>
          <t>https://amazon.com/dp/B0F43R9NHW</t>
        </is>
      </c>
      <c r="L148" s="114">
        <f>HYPERLINK(Table3155[[#This Row],[Column1]])</f>
        <v/>
      </c>
    </row>
    <row r="149" ht="45" customHeight="1" s="314">
      <c r="A149" s="35" t="inlineStr">
        <is>
          <t>iCarsoft CR V2.0 Full Systems OBD2 Scanner Diagnostic Tool with 9 Reset, Allow to Diagnose 10 Car Brands, Live Data/Battery Test/BMS Reset/Auto VIN/Scanner for Car, Lifetime Free Update</t>
        </is>
      </c>
      <c r="B149" s="35" t="inlineStr">
        <is>
          <t>B0G4GHLSFB</t>
        </is>
      </c>
      <c r="C149" s="35" t="inlineStr">
        <is>
          <t>Tablet</t>
        </is>
      </c>
      <c r="D149" s="359" t="n">
        <v>219.99</v>
      </c>
      <c r="E149" s="66" t="n">
        <v>219.96</v>
      </c>
      <c r="F149" s="67" t="n">
        <v>0</v>
      </c>
      <c r="G149" s="68" t="n">
        <v>1</v>
      </c>
      <c r="H149" s="68" t="n">
        <v>0</v>
      </c>
      <c r="I149" s="68" t="n"/>
      <c r="J149" s="69" t="n"/>
      <c r="K149" s="69" t="inlineStr">
        <is>
          <t>https://amazon.com/dp/B0G4GHLSFB</t>
        </is>
      </c>
      <c r="L149" s="114">
        <f>HYPERLINK(Table3155[[#This Row],[Column1]])</f>
        <v/>
      </c>
    </row>
    <row r="150" ht="17" customHeight="1" s="314">
      <c r="A150" s="35" t="inlineStr">
        <is>
          <t>iCarsoft OBD2 Scanner for Porsche/BMW/Mini, POR V2.0 Enhanced Version 2-IN-1 In-depth Diagnostic Tool 9 Reset, Full Systems Car Code Reader OIL/TPMS/BMS/EPB/BLD/SAS/DP- F/ETC/INJ/Auto VIN Battery Test</t>
        </is>
      </c>
      <c r="B150" s="35" t="inlineStr">
        <is>
          <t>B0DWXPMVKC</t>
        </is>
      </c>
      <c r="C150" s="35" t="inlineStr">
        <is>
          <t>Tablet</t>
        </is>
      </c>
      <c r="D150" s="359" t="n">
        <v>189.99</v>
      </c>
      <c r="E150" s="66" t="n">
        <v>427.41</v>
      </c>
      <c r="F150" s="67" t="n">
        <v>0</v>
      </c>
      <c r="G150" s="68" t="n">
        <v>2</v>
      </c>
      <c r="H150" s="68" t="n">
        <v>0</v>
      </c>
      <c r="I150" s="68" t="n"/>
      <c r="J150" s="69" t="n"/>
      <c r="K150" s="69" t="inlineStr">
        <is>
          <t>https://amazon.com/dp/B0DWXPMVKC</t>
        </is>
      </c>
      <c r="L150" s="114">
        <f>HYPERLINK(Table3155[[#This Row],[Column1]])</f>
        <v/>
      </c>
    </row>
    <row r="151" ht="60" customHeight="1" s="314">
      <c r="A151" s="35" t="inlineStr">
        <is>
          <t>iCarsoft Auto Diagnostic Scanner BCC V1.0 for Chrysler/Jeep/GM (Chevrolet/Buick/Cadillac/GMC),Oil Service Reset, SAS Reset ect</t>
        </is>
      </c>
      <c r="B151" s="35" t="inlineStr">
        <is>
          <t>B07L1LWR85</t>
        </is>
      </c>
      <c r="C151" s="35" t="inlineStr">
        <is>
          <t>Handheld</t>
        </is>
      </c>
      <c r="D151" s="359" t="n">
        <v>85.17</v>
      </c>
      <c r="E151" s="66" t="n">
        <v>0</v>
      </c>
      <c r="F151" s="67" t="n">
        <v>0</v>
      </c>
      <c r="G151" s="68" t="n">
        <v>0</v>
      </c>
      <c r="H151" s="68" t="n">
        <v>0</v>
      </c>
      <c r="I151" s="68" t="n">
        <v>1</v>
      </c>
      <c r="J151" s="69" t="n">
        <v>5</v>
      </c>
      <c r="K151" s="69" t="inlineStr">
        <is>
          <t>https://amazon.com/dp/B07L1LWR85</t>
        </is>
      </c>
      <c r="L151" s="114">
        <f>HYPERLINK(Table3155[[#This Row],[Column1]])</f>
        <v/>
      </c>
    </row>
    <row r="152" ht="45" customHeight="1" s="314">
      <c r="A152" s="35" t="inlineStr">
        <is>
          <t>iCarsoft OBD2 Scanner CR Plus(New Ver) Diagnostic Tool for Engine ABS Transmission Airbag-Oil Reset/EPB/BMS/ETC/Steering Angle/DP Filter/ABS Bleeding/Injector Coding/TPMS,Battery Registration</t>
        </is>
      </c>
      <c r="B152" s="35" t="inlineStr">
        <is>
          <t>B0FQHTKTVB</t>
        </is>
      </c>
      <c r="C152" s="35" t="inlineStr">
        <is>
          <t>Tablet</t>
        </is>
      </c>
      <c r="D152" s="359" t="n">
        <v>209.99</v>
      </c>
      <c r="E152" s="66" t="n">
        <v>399.95</v>
      </c>
      <c r="F152" s="67" t="n">
        <v>0</v>
      </c>
      <c r="G152" s="68" t="n">
        <v>1</v>
      </c>
      <c r="H152" s="68" t="n">
        <v>0</v>
      </c>
      <c r="I152" s="68" t="n"/>
      <c r="J152" s="69" t="n"/>
      <c r="K152" s="69" t="inlineStr">
        <is>
          <t>https://amazon.com/dp/B0FQHTKTVB</t>
        </is>
      </c>
      <c r="L152" s="114">
        <f>HYPERLINK(Table3155[[#This Row],[Column1]])</f>
        <v/>
      </c>
    </row>
    <row r="153" ht="30" customHeight="1" s="314">
      <c r="A153" s="35" t="inlineStr">
        <is>
          <t>iCarsoft OBD2 Scanner MB V2.0 Enhanced Ver 2 in 1 for Mercedes Benz/for Land Rover/for Jaguar, TPMS/Oil Reset Full Systems Diagnostic Tool 8 Resets Car Code Reader, Auto VIN,Battery Test, SAS/EPB/DP</t>
        </is>
      </c>
      <c r="B153" s="35" t="inlineStr">
        <is>
          <t>B0DZNX96YR</t>
        </is>
      </c>
      <c r="C153" s="35" t="inlineStr">
        <is>
          <t>Tablet</t>
        </is>
      </c>
      <c r="D153" s="359" t="n">
        <v>189.99</v>
      </c>
      <c r="E153" s="66" t="n">
        <v>1034.26</v>
      </c>
      <c r="F153" s="67" t="n">
        <v>0</v>
      </c>
      <c r="G153" s="68" t="n">
        <v>6</v>
      </c>
      <c r="H153" s="68" t="n">
        <v>0</v>
      </c>
      <c r="I153" s="68" t="n"/>
      <c r="J153" s="69" t="n"/>
      <c r="K153" s="69" t="inlineStr">
        <is>
          <t>https://amazon.com/dp/B0DZNX96YR</t>
        </is>
      </c>
      <c r="L153" s="114">
        <f>HYPERLINK(Table3155[[#This Row],[Column1]])</f>
        <v/>
      </c>
    </row>
    <row r="154" ht="45" customHeight="1" s="314">
      <c r="A154" s="35" t="inlineStr">
        <is>
          <t>iCarsoft OP V3.0 Pro Car Diagnostic Tool for Opel and Vauxhall</t>
        </is>
      </c>
      <c r="B154" s="35" t="inlineStr">
        <is>
          <t>B0B5MTBR9L</t>
        </is>
      </c>
      <c r="C154" s="35" t="inlineStr">
        <is>
          <t>Tablet</t>
        </is>
      </c>
      <c r="D154" s="359" t="n">
        <v>121.67</v>
      </c>
      <c r="E154" s="66" t="n">
        <v>0</v>
      </c>
      <c r="F154" s="67" t="n">
        <v>0</v>
      </c>
      <c r="G154" s="68" t="n">
        <v>0</v>
      </c>
      <c r="H154" s="68" t="n">
        <v>0</v>
      </c>
      <c r="I154" s="68" t="n">
        <v>664</v>
      </c>
      <c r="J154" s="69" t="n">
        <v>4.3</v>
      </c>
      <c r="K154" s="69" t="inlineStr">
        <is>
          <t>https://amazon.com/dp/B0B5MTBR9L</t>
        </is>
      </c>
      <c r="L154" s="114">
        <f>HYPERLINK(Table3155[[#This Row],[Column1]])</f>
        <v/>
      </c>
    </row>
    <row r="155" ht="30" customHeight="1" s="314">
      <c r="A155" s="35" t="inlineStr">
        <is>
          <t>iCarsoft LR V4.0 Bidirectional Diagnostic Scan Tool for Most Land Rover/Jaguar and Other 2 Car Makes from 1996-2023 All System OBD2 Scanner Up to 51 Service Live Data Code Reader AUTO VIN Free Update</t>
        </is>
      </c>
      <c r="B155" s="35" t="inlineStr">
        <is>
          <t>B0GC526PYX</t>
        </is>
      </c>
      <c r="C155" s="35" t="inlineStr">
        <is>
          <t>Handheld</t>
        </is>
      </c>
      <c r="D155" s="359" t="n">
        <v>254.16</v>
      </c>
      <c r="E155" s="66" t="n">
        <v>3752.4</v>
      </c>
      <c r="F155" s="67" t="n">
        <v>0</v>
      </c>
      <c r="G155" s="68" t="n">
        <v>14</v>
      </c>
      <c r="H155" s="68" t="n">
        <v>0</v>
      </c>
      <c r="I155" s="68" t="n"/>
      <c r="J155" s="69" t="n"/>
      <c r="K155" s="69" t="inlineStr">
        <is>
          <t>https://amazon.com/dp/B0GC526PYX</t>
        </is>
      </c>
      <c r="L155" s="114">
        <f>HYPERLINK(Table3155[[#This Row],[Column1]])</f>
        <v/>
      </c>
    </row>
    <row r="156" ht="45" customHeight="1" s="314">
      <c r="A156" s="35" t="inlineStr">
        <is>
          <t>iCarsoft PORV1.0 Code Reader OBD2 Scanner</t>
        </is>
      </c>
      <c r="B156" s="35" t="inlineStr">
        <is>
          <t>B0D9LVQGR7</t>
        </is>
      </c>
      <c r="C156" s="35" t="inlineStr">
        <is>
          <t>Tablet</t>
        </is>
      </c>
      <c r="D156" s="359" t="n">
        <v>119.95</v>
      </c>
      <c r="E156" s="66" t="n">
        <v>0</v>
      </c>
      <c r="F156" s="67" t="n">
        <v>0</v>
      </c>
      <c r="G156" s="68" t="n">
        <v>0</v>
      </c>
      <c r="H156" s="68" t="n">
        <v>0</v>
      </c>
      <c r="I156" s="68" t="n">
        <v>66</v>
      </c>
      <c r="J156" s="69" t="n">
        <v>4.2</v>
      </c>
      <c r="K156" s="69" t="inlineStr">
        <is>
          <t>https://amazon.com/dp/B0D9LVQGR7</t>
        </is>
      </c>
      <c r="L156" s="114">
        <f>HYPERLINK(Table3155[[#This Row],[Column1]])</f>
        <v/>
      </c>
    </row>
    <row r="157" ht="45" customHeight="1" s="314">
      <c r="A157" s="35" t="inlineStr">
        <is>
          <t>iCarsoft CR MAX Professional Multi-Brand Car Diagnostic Tool for Fault Analysis, Read and Clear All System Fault Codes Such as Engine, Transmission, ABS and Airbag, Black</t>
        </is>
      </c>
      <c r="B157" s="35" t="inlineStr">
        <is>
          <t>B09WNCML7X</t>
        </is>
      </c>
      <c r="C157" s="35" t="inlineStr">
        <is>
          <t>Tablet</t>
        </is>
      </c>
      <c r="D157" s="359" t="n">
        <v>409.99</v>
      </c>
      <c r="E157" s="66" t="n">
        <v>0</v>
      </c>
      <c r="F157" s="67" t="n">
        <v>0</v>
      </c>
      <c r="G157" s="68" t="n">
        <v>0</v>
      </c>
      <c r="H157" s="68" t="n">
        <v>0</v>
      </c>
      <c r="I157" s="68" t="n">
        <v>76</v>
      </c>
      <c r="J157" s="69" t="n">
        <v>4.3</v>
      </c>
      <c r="K157" s="69" t="inlineStr">
        <is>
          <t>https://amazon.com/dp/B09WNCML7X</t>
        </is>
      </c>
      <c r="L157" s="114">
        <f>HYPERLINK(Table3155[[#This Row],[Column1]])</f>
        <v/>
      </c>
    </row>
    <row r="158" ht="45" customHeight="1" s="314">
      <c r="A158" s="35" t="inlineStr">
        <is>
          <t>Auto Diagnostic Scanner iCarsoft POR V1.0 for Porsche with Airbag Scan,Oil Service Reset, SAS Reset ect</t>
        </is>
      </c>
      <c r="B158" s="35" t="inlineStr">
        <is>
          <t>B07F377NXQ</t>
        </is>
      </c>
      <c r="C158" s="35" t="inlineStr">
        <is>
          <t>Handheld</t>
        </is>
      </c>
      <c r="D158" s="359" t="n">
        <v>141.89</v>
      </c>
      <c r="E158" s="66" t="n">
        <v>3395.83</v>
      </c>
      <c r="F158" s="67" t="n">
        <v>0</v>
      </c>
      <c r="G158" s="68" t="n">
        <v>29</v>
      </c>
      <c r="H158" s="68" t="n">
        <v>0</v>
      </c>
      <c r="I158" s="68" t="n">
        <v>65</v>
      </c>
      <c r="J158" s="69" t="n">
        <v>4.2</v>
      </c>
      <c r="K158" s="69" t="inlineStr">
        <is>
          <t>https://amazon.com/dp/B07F377NXQ</t>
        </is>
      </c>
      <c r="L158" s="114">
        <f>HYPERLINK(Table3155[[#This Row],[Column1]])</f>
        <v/>
      </c>
    </row>
    <row r="159" ht="45" customHeight="1" s="314">
      <c r="A159" s="35" t="inlineStr">
        <is>
          <t>Auto Diagnostic Scan Tool iCarsoft OP V2.0 for OPEL/Vauxhall +Oil Reset +EPB+SAS+ETCS</t>
        </is>
      </c>
      <c r="B159" s="35" t="inlineStr">
        <is>
          <t>B07HNZ3X8Z</t>
        </is>
      </c>
      <c r="C159" s="35" t="inlineStr">
        <is>
          <t>Tablet</t>
        </is>
      </c>
      <c r="D159" s="359" t="n">
        <v>145.95</v>
      </c>
      <c r="E159" s="66" t="n">
        <v>437.55</v>
      </c>
      <c r="F159" s="67" t="n">
        <v>0</v>
      </c>
      <c r="G159" s="68" t="n">
        <v>2</v>
      </c>
      <c r="H159" s="68" t="n">
        <v>0</v>
      </c>
      <c r="I159" s="68" t="n">
        <v>6</v>
      </c>
      <c r="J159" s="69" t="n">
        <v>4.3</v>
      </c>
      <c r="K159" s="69" t="inlineStr">
        <is>
          <t>https://amazon.com/dp/B07HNZ3X8Z</t>
        </is>
      </c>
      <c r="L159" s="114">
        <f>HYPERLINK(Table3155[[#This Row],[Column1]])</f>
        <v/>
      </c>
    </row>
    <row r="160" ht="45" customHeight="1" s="314">
      <c r="A160" s="35" t="inlineStr">
        <is>
          <t>iCarsoft US V3.0 for American Vehicles</t>
        </is>
      </c>
      <c r="B160" s="35" t="inlineStr">
        <is>
          <t>B09Y8KDWV1</t>
        </is>
      </c>
      <c r="C160" s="35" t="inlineStr">
        <is>
          <t>Tablet</t>
        </is>
      </c>
      <c r="D160" s="359" t="n">
        <v>174.01</v>
      </c>
      <c r="E160" s="66" t="n">
        <v>716.5400000000001</v>
      </c>
      <c r="F160" s="67" t="n">
        <v>0</v>
      </c>
      <c r="G160" s="68" t="n">
        <v>4</v>
      </c>
      <c r="H160" s="68" t="n">
        <v>0</v>
      </c>
      <c r="I160" s="68" t="n">
        <v>8</v>
      </c>
      <c r="J160" s="69" t="n">
        <v>3.6</v>
      </c>
      <c r="K160" s="69" t="inlineStr">
        <is>
          <t>https://amazon.com/dp/B09Y8KDWV1</t>
        </is>
      </c>
      <c r="L160" s="114">
        <f>HYPERLINK(Table3155[[#This Row],[Column1]])</f>
        <v/>
      </c>
    </row>
    <row r="161" ht="45" customHeight="1" s="314">
      <c r="A161" s="35" t="inlineStr">
        <is>
          <t>iCarsoft CR Elite Universal Diagnostic Scan Tool for Multi-Brand Vehicles +Oil Reset+EPB+BMS+DPF+SAS+ETC+BLD+INJ</t>
        </is>
      </c>
      <c r="B161" s="35" t="inlineStr">
        <is>
          <t>B07TLMDCDT</t>
        </is>
      </c>
      <c r="C161" s="35" t="inlineStr">
        <is>
          <t>Tablet</t>
        </is>
      </c>
      <c r="D161" s="359" t="n">
        <v>215</v>
      </c>
      <c r="E161" s="66" t="n">
        <v>280</v>
      </c>
      <c r="F161" s="67" t="n">
        <v>0</v>
      </c>
      <c r="G161" s="68" t="n">
        <v>1</v>
      </c>
      <c r="H161" s="68" t="n">
        <v>0</v>
      </c>
      <c r="I161" s="68" t="n">
        <v>22</v>
      </c>
      <c r="J161" s="69" t="n">
        <v>4</v>
      </c>
      <c r="K161" s="69" t="inlineStr">
        <is>
          <t>https://amazon.com/dp/B07TLMDCDT</t>
        </is>
      </c>
      <c r="L161" s="114">
        <f>HYPERLINK(Table3155[[#This Row],[Column1]])</f>
        <v/>
      </c>
    </row>
    <row r="162" ht="45" customHeight="1" s="314">
      <c r="A162" s="35" t="inlineStr">
        <is>
          <t>iCarsoft MT V6 Plus Motorcycle Diagnostic Tool for Harley/BMW/Kawasaki/Indian etc, 21 Brands, Motorbike Full System All Maintenance Reset, Actuation Test, Moto Code Reader+Car OBD2 Diagnostics 2 in 1</t>
        </is>
      </c>
      <c r="B162" s="35" t="inlineStr">
        <is>
          <t>B0FNM3PLRY</t>
        </is>
      </c>
      <c r="C162" s="35" t="inlineStr">
        <is>
          <t>Tablet</t>
        </is>
      </c>
      <c r="D162" s="359" t="n">
        <v>299.99</v>
      </c>
      <c r="E162" s="66" t="n">
        <v>14528.25</v>
      </c>
      <c r="F162" s="67" t="n">
        <v>0</v>
      </c>
      <c r="G162" s="68" t="n">
        <v>48</v>
      </c>
      <c r="H162" s="68" t="n">
        <v>0</v>
      </c>
      <c r="I162" s="68" t="n">
        <v>5</v>
      </c>
      <c r="J162" s="69" t="n">
        <v>2.6</v>
      </c>
      <c r="K162" s="69" t="inlineStr">
        <is>
          <t>https://amazon.com/dp/B0FNM3PLRY</t>
        </is>
      </c>
      <c r="L162" s="114">
        <f>HYPERLINK(Table3155[[#This Row],[Column1]])</f>
        <v/>
      </c>
    </row>
    <row r="163" ht="45" customHeight="1" s="314">
      <c r="A163" s="35" t="inlineStr">
        <is>
          <t>iCarsoft VAWS V3.0 for VW/Audi/Seat/Skoda Diagnostic Tool with auto VIN/Quick Test/Actuation Test</t>
        </is>
      </c>
      <c r="B163" s="35" t="inlineStr">
        <is>
          <t>B08R9L5ZT6</t>
        </is>
      </c>
      <c r="C163" s="35" t="inlineStr">
        <is>
          <t>Tablet</t>
        </is>
      </c>
      <c r="D163" s="359" t="n">
        <v>203.06</v>
      </c>
      <c r="E163" s="66" t="n">
        <v>4843.209999999999</v>
      </c>
      <c r="F163" s="67" t="n">
        <v>0</v>
      </c>
      <c r="G163" s="68" t="n">
        <v>22</v>
      </c>
      <c r="H163" s="68" t="n">
        <v>0</v>
      </c>
      <c r="I163" s="68" t="n">
        <v>90</v>
      </c>
      <c r="J163" s="69" t="n">
        <v>3.8</v>
      </c>
      <c r="K163" s="69" t="inlineStr">
        <is>
          <t>https://amazon.com/dp/B08R9L5ZT6</t>
        </is>
      </c>
      <c r="L163" s="114">
        <f>HYPERLINK(Table3155[[#This Row],[Column1]])</f>
        <v/>
      </c>
    </row>
    <row r="164" ht="45" customHeight="1" s="314">
      <c r="A164" s="35" t="inlineStr">
        <is>
          <t>iCarsoft CR V3.0 Free for 3 Vehicle Groups auto VIN/Quick Test/Actuation Test/Android OS/Touch Screen</t>
        </is>
      </c>
      <c r="B164" s="35" t="inlineStr">
        <is>
          <t>B08V93JFKC</t>
        </is>
      </c>
      <c r="C164" s="35" t="inlineStr">
        <is>
          <t>Tablet</t>
        </is>
      </c>
      <c r="D164" s="359" t="n">
        <v>258.97</v>
      </c>
      <c r="E164" s="66" t="n">
        <v>4292.43</v>
      </c>
      <c r="F164" s="67" t="n">
        <v>0</v>
      </c>
      <c r="G164" s="68" t="n">
        <v>18</v>
      </c>
      <c r="H164" s="68" t="n">
        <v>0</v>
      </c>
      <c r="I164" s="68" t="n">
        <v>15</v>
      </c>
      <c r="J164" s="69" t="n">
        <v>3.8</v>
      </c>
      <c r="K164" s="69" t="inlineStr">
        <is>
          <t>https://amazon.com/dp/B08V93JFKC</t>
        </is>
      </c>
      <c r="L164" s="114">
        <f>HYPERLINK(Table3155[[#This Row],[Column1]])</f>
        <v/>
      </c>
    </row>
    <row r="165" ht="30" customHeight="1" s="314">
      <c r="A165" s="35" t="inlineStr">
        <is>
          <t>iCarsoft VOL V 4.0 Bidirectional Diagnostic Scan Tool for Volvo/SAAB + 2 Car Brand Vehicles, All System, 29 Resets(239 Sub-Services) for Volvo/SAAB, Actuation Test, Battery Registration OBD2 Scanner</t>
        </is>
      </c>
      <c r="B165" s="35" t="inlineStr">
        <is>
          <t>B0FS6LTW3P</t>
        </is>
      </c>
      <c r="C165" s="35" t="inlineStr">
        <is>
          <t>Tablet</t>
        </is>
      </c>
      <c r="D165" s="359" t="n">
        <v>269.99</v>
      </c>
      <c r="E165" s="66" t="n">
        <v>7472.299999999999</v>
      </c>
      <c r="F165" s="67" t="n">
        <v>0</v>
      </c>
      <c r="G165" s="68" t="n">
        <v>28</v>
      </c>
      <c r="H165" s="68" t="n">
        <v>0</v>
      </c>
      <c r="I165" s="68" t="n">
        <v>2</v>
      </c>
      <c r="J165" s="69" t="n">
        <v>3</v>
      </c>
      <c r="K165" s="69" t="inlineStr">
        <is>
          <t>https://amazon.com/dp/B0FS6LTW3P</t>
        </is>
      </c>
      <c r="L165" s="114">
        <f>HYPERLINK(Table3155[[#This Row],[Column1]])</f>
        <v/>
      </c>
    </row>
    <row r="166" ht="17" customHeight="1" s="314">
      <c r="A166" s="35" t="inlineStr">
        <is>
          <t>iCarsoft LR V3.0-D OBD2 Scanner for Land Rover &amp; Jaguar Vehicles Auto VIN, Full-System Diagnosis, 35+ Resets, ABS/SRS/Transmission Code Reader, Bidirectional Control &amp; Live Data Graphs‌</t>
        </is>
      </c>
      <c r="B166" s="35" t="inlineStr">
        <is>
          <t>B0DXVXVCHJ</t>
        </is>
      </c>
      <c r="C166" s="35" t="inlineStr">
        <is>
          <t>Tablet</t>
        </is>
      </c>
      <c r="D166" s="359" t="n">
        <v>189.95</v>
      </c>
      <c r="E166" s="66" t="n">
        <v>0</v>
      </c>
      <c r="F166" s="67" t="n">
        <v>0</v>
      </c>
      <c r="G166" s="68" t="n">
        <v>0</v>
      </c>
      <c r="H166" s="68" t="n">
        <v>0</v>
      </c>
      <c r="I166" s="68" t="n"/>
      <c r="J166" s="69" t="n"/>
      <c r="K166" s="69" t="inlineStr">
        <is>
          <t>https://amazon.com/dp/B0DXVXVCHJ</t>
        </is>
      </c>
      <c r="L166" s="114">
        <f>HYPERLINK(Table3155[[#This Row],[Column1]])</f>
        <v/>
      </c>
    </row>
    <row r="167" ht="30" customHeight="1" s="314">
      <c r="A167" s="35" t="inlineStr">
        <is>
          <t>iCarsoft Auto Diagnostic Scanner VOL V1.0 for Volvo/SAAB with Airbag Scan,Oil Service Reset, SAS Reset ect</t>
        </is>
      </c>
      <c r="B167" s="35" t="inlineStr">
        <is>
          <t>B07F363S3Q</t>
        </is>
      </c>
      <c r="C167" s="35" t="inlineStr">
        <is>
          <t>Handheld</t>
        </is>
      </c>
      <c r="D167" s="359" t="n">
        <v>113.95</v>
      </c>
      <c r="E167" s="66" t="n">
        <v>703.0599999999999</v>
      </c>
      <c r="F167" s="67" t="n">
        <v>0</v>
      </c>
      <c r="G167" s="68" t="n">
        <v>6</v>
      </c>
      <c r="H167" s="68" t="n">
        <v>0</v>
      </c>
      <c r="I167" s="68" t="n">
        <v>10</v>
      </c>
      <c r="J167" s="69" t="n">
        <v>4.1</v>
      </c>
      <c r="K167" s="69" t="inlineStr">
        <is>
          <t>https://amazon.com/dp/B07F363S3Q</t>
        </is>
      </c>
      <c r="L167" s="114">
        <f>HYPERLINK(Table3155[[#This Row],[Column1]])</f>
        <v/>
      </c>
    </row>
    <row r="168" ht="45" customHeight="1" s="314">
      <c r="A168" s="35" t="inlineStr">
        <is>
          <t>iCarsoft US V2.0 Diagnostic Scan Tool for American Vehicles Ford/GM (Cherolet/Buick/Cadillac/GMC)/Chrysler/Jeep/Holden +Oil Reset +EPB+BMS+DPF+SAS+ETC+BLD+INJ</t>
        </is>
      </c>
      <c r="B168" s="35" t="inlineStr">
        <is>
          <t>B07KR42RTT</t>
        </is>
      </c>
      <c r="C168" s="35" t="inlineStr">
        <is>
          <t>Tablet</t>
        </is>
      </c>
      <c r="D168" s="359" t="n">
        <v>149.95</v>
      </c>
      <c r="E168" s="66" t="n">
        <v>3514.3</v>
      </c>
      <c r="F168" s="67" t="n">
        <v>0</v>
      </c>
      <c r="G168" s="68" t="n">
        <v>25</v>
      </c>
      <c r="H168" s="68" t="n">
        <v>0</v>
      </c>
      <c r="I168" s="68" t="n">
        <v>77</v>
      </c>
      <c r="J168" s="69" t="n">
        <v>3.9</v>
      </c>
      <c r="K168" s="69" t="inlineStr">
        <is>
          <t>https://amazon.com/dp/B07KR42RTT</t>
        </is>
      </c>
      <c r="L168" s="114">
        <f>HYPERLINK(Table3155[[#This Row],[Column1]])</f>
        <v/>
      </c>
    </row>
    <row r="169" ht="45" customHeight="1" s="314">
      <c r="A169" s="35" t="inlineStr">
        <is>
          <t>iCarsoft POR V3.0 Scanner for Porsche, 27 Reset Servics OBD2 Scanner Code Reader,ABS Bleeding, SAS/Oil/BMS Reset,4-in-1 Graph Data,Actuation Test, Lifelong Updates</t>
        </is>
      </c>
      <c r="B169" s="35" t="inlineStr">
        <is>
          <t>B0DXVQL3YF</t>
        </is>
      </c>
      <c r="C169" s="35" t="inlineStr">
        <is>
          <t>Tablet</t>
        </is>
      </c>
      <c r="D169" s="359" t="n">
        <v>189.95</v>
      </c>
      <c r="E169" s="66" t="n">
        <v>2215.7</v>
      </c>
      <c r="F169" s="67" t="n">
        <v>0</v>
      </c>
      <c r="G169" s="68" t="n">
        <v>11</v>
      </c>
      <c r="H169" s="68" t="n">
        <v>0</v>
      </c>
      <c r="I169" s="68" t="n">
        <v>11</v>
      </c>
      <c r="J169" s="69" t="n">
        <v>3.8</v>
      </c>
      <c r="K169" s="69" t="inlineStr">
        <is>
          <t>https://amazon.com/dp/B0DXVQL3YF</t>
        </is>
      </c>
      <c r="L169" s="114">
        <f>HYPERLINK(Table3155[[#This Row],[Column1]])</f>
        <v/>
      </c>
    </row>
    <row r="170" ht="30" customHeight="1" s="314">
      <c r="A170" s="35" t="inlineStr">
        <is>
          <t>iCarsoft CR V2.0 OBD2 Scanner for Porsche/BMW/VAG/Volvo,etc,8 Resets/Full Systems/Battery Reset, Auto Diagnostic Tool ABS SRS SAS Transmission Code Reader, 118 Live Data Check Engine Light Scan Tool</t>
        </is>
      </c>
      <c r="B170" s="35" t="inlineStr">
        <is>
          <t>B0DCNNS8N3</t>
        </is>
      </c>
      <c r="C170" s="35" t="inlineStr">
        <is>
          <t>Tablet</t>
        </is>
      </c>
      <c r="D170" s="359" t="n">
        <v>229.99</v>
      </c>
      <c r="E170" s="66" t="n">
        <v>9727.360000000001</v>
      </c>
      <c r="F170" s="67" t="n">
        <v>0</v>
      </c>
      <c r="G170" s="68" t="n">
        <v>47</v>
      </c>
      <c r="H170" s="68" t="n">
        <v>0</v>
      </c>
      <c r="I170" s="68" t="n">
        <v>4</v>
      </c>
      <c r="J170" s="69" t="n">
        <v>3.6</v>
      </c>
      <c r="K170" s="69" t="inlineStr">
        <is>
          <t>https://amazon.com/dp/B0DCNNS8N3</t>
        </is>
      </c>
      <c r="L170" s="114">
        <f>HYPERLINK(Table3155[[#This Row],[Column1]])</f>
        <v/>
      </c>
    </row>
    <row r="171" ht="45" customHeight="1" s="314">
      <c r="A171" s="35" t="inlineStr">
        <is>
          <t>Bidirectional OBD2 Scanner Diagnostic Tool, iCarsoft CR V3.0 Vehicle Scan Tool 45 Reset+38 Extra Services,All System, Active Test Code Reader, Auto VIN, Free Update</t>
        </is>
      </c>
      <c r="B171" s="35" t="inlineStr">
        <is>
          <t>B0D1CRWLFH</t>
        </is>
      </c>
      <c r="C171" s="35" t="inlineStr">
        <is>
          <t>Tablet</t>
        </is>
      </c>
      <c r="D171" s="359" t="n">
        <v>319.99</v>
      </c>
      <c r="E171" s="66" t="n">
        <v>4648.29</v>
      </c>
      <c r="F171" s="67" t="n">
        <v>0</v>
      </c>
      <c r="G171" s="68" t="n">
        <v>15</v>
      </c>
      <c r="H171" s="68" t="n">
        <v>0</v>
      </c>
      <c r="I171" s="68" t="n">
        <v>22</v>
      </c>
      <c r="J171" s="69" t="n">
        <v>3.4</v>
      </c>
      <c r="K171" s="69" t="inlineStr">
        <is>
          <t>https://amazon.com/dp/B0D1CRWLFH</t>
        </is>
      </c>
      <c r="L171" s="114">
        <f>HYPERLINK(Table3155[[#This Row],[Column1]])</f>
        <v/>
      </c>
    </row>
    <row r="172" ht="30" customHeight="1" s="314">
      <c r="A172" s="35" t="inlineStr">
        <is>
          <t>iCarsoft JP V3.0 OBD2 Scanner for Toyota/Honda (Acura) /Lexus, All Reset+Full System Diagnostic Scan Tool Car Code Reader for Nissan/Infiniti/Mitsubishi/Mazda/Suzuki/Hyundai -2025</t>
        </is>
      </c>
      <c r="B172" s="35" t="inlineStr">
        <is>
          <t>B01NGU0YAG</t>
        </is>
      </c>
      <c r="C172" s="35" t="inlineStr">
        <is>
          <t>Tablet</t>
        </is>
      </c>
      <c r="D172" s="359" t="n">
        <v>229.99</v>
      </c>
      <c r="E172" s="66" t="n">
        <v>8860.4</v>
      </c>
      <c r="F172" s="67" t="n">
        <v>0</v>
      </c>
      <c r="G172" s="68" t="n">
        <v>36</v>
      </c>
      <c r="H172" s="68" t="n">
        <v>0</v>
      </c>
      <c r="I172" s="68" t="n">
        <v>15</v>
      </c>
      <c r="J172" s="69" t="n">
        <v>3.7</v>
      </c>
      <c r="K172" s="69" t="inlineStr">
        <is>
          <t>https://amazon.com/dp/B01NGU0YAG</t>
        </is>
      </c>
      <c r="L172" s="114">
        <f>HYPERLINK(Table3155[[#This Row],[Column1]])</f>
        <v/>
      </c>
    </row>
    <row r="173" ht="45" customHeight="1" s="314">
      <c r="A173" s="35" t="inlineStr">
        <is>
          <t>iCarsoft Bidirectional Scan Tool CR Max Enhanced Ver, OBD2 Scanner All System Diagnostic Tool with CAN FD ECU Coding 38-Pin Adapter for Benz, 49 Resets+46 Services Code Reader-Oil/EPB/SAS/BMS/TCM/ETC</t>
        </is>
      </c>
      <c r="B173" s="35" t="inlineStr">
        <is>
          <t>B0DW99LD7K</t>
        </is>
      </c>
      <c r="C173" s="35" t="inlineStr">
        <is>
          <t>Tablet</t>
        </is>
      </c>
      <c r="D173" s="359" t="n">
        <v>421.99</v>
      </c>
      <c r="E173" s="66" t="n">
        <v>8455.630000000001</v>
      </c>
      <c r="F173" s="67" t="n">
        <v>0</v>
      </c>
      <c r="G173" s="68" t="n">
        <v>24</v>
      </c>
      <c r="H173" s="68" t="n">
        <v>0</v>
      </c>
      <c r="I173" s="68" t="n">
        <v>5</v>
      </c>
      <c r="J173" s="69" t="n">
        <v>3.4</v>
      </c>
      <c r="K173" s="69" t="inlineStr">
        <is>
          <t>https://amazon.com/dp/B0DW99LD7K</t>
        </is>
      </c>
      <c r="L173" s="114">
        <f>HYPERLINK(Table3155[[#This Row],[Column1]])</f>
        <v/>
      </c>
    </row>
    <row r="174" ht="45" customHeight="1" s="314">
      <c r="A174" s="35" t="inlineStr">
        <is>
          <t>iCarsoft BMM V4.0 Bi-Directional Scan Tool for BMW/MINI/Rolls Royce, Full System Diagnostic Tool, 14+ Reset Service, OBD2 Scanner, Auto VIN, 2 Extra Brands Available, Lifetime Free Update</t>
        </is>
      </c>
      <c r="B174" s="35" t="inlineStr">
        <is>
          <t>B0GC86F17Q</t>
        </is>
      </c>
      <c r="C174" s="35" t="inlineStr">
        <is>
          <t>Tablet</t>
        </is>
      </c>
      <c r="D174" s="359" t="n">
        <v>249.99</v>
      </c>
      <c r="E174" s="66" t="n">
        <v>0</v>
      </c>
      <c r="F174" s="67" t="n">
        <v>0</v>
      </c>
      <c r="G174" s="68" t="n">
        <v>0</v>
      </c>
      <c r="H174" s="68" t="n">
        <v>0</v>
      </c>
      <c r="I174" s="68" t="n"/>
      <c r="J174" s="69" t="n"/>
      <c r="K174" s="69" t="inlineStr">
        <is>
          <t>https://amazon.com/dp/B0GC86F17Q</t>
        </is>
      </c>
      <c r="L174" s="114">
        <f>HYPERLINK(Table3155[[#This Row],[Column1]])</f>
        <v/>
      </c>
    </row>
    <row r="175" ht="17" customHeight="1" s="314">
      <c r="A175" s="35" t="inlineStr">
        <is>
          <t>iCarsoft MT V6 Motorcycle Diagnostic Scan Tool for K.TM, All System Motorbike OBD Scanner, Oil/ETC/ABS/Engine Idle Maintenance Tool for K.TM, Actuation Test, Battery Test</t>
        </is>
      </c>
      <c r="B175" s="35" t="inlineStr">
        <is>
          <t>B0FG2SMF6N</t>
        </is>
      </c>
      <c r="C175" s="35" t="inlineStr">
        <is>
          <t>Handheld</t>
        </is>
      </c>
      <c r="D175" s="359" t="n">
        <v>199.99</v>
      </c>
      <c r="E175" s="66" t="n">
        <v>546.13</v>
      </c>
      <c r="F175" s="67" t="n">
        <v>0</v>
      </c>
      <c r="G175" s="68" t="n">
        <v>2</v>
      </c>
      <c r="H175" s="68" t="n">
        <v>0</v>
      </c>
      <c r="I175" s="68" t="n"/>
      <c r="J175" s="69" t="n"/>
      <c r="K175" s="69" t="inlineStr">
        <is>
          <t>https://amazon.com/dp/B0FG2SMF6N</t>
        </is>
      </c>
      <c r="L175" s="114">
        <f>HYPERLINK(TABLE175)</f>
        <v/>
      </c>
    </row>
    <row r="176">
      <c r="A176" s="35" t="inlineStr">
        <is>
          <t>Multi-System Auto Diagnostic Tool MB V1.0 for Mercedes-Benz/Sprinter/Smart with Oil Reset (Red)</t>
        </is>
      </c>
      <c r="B176" s="35" t="inlineStr">
        <is>
          <t>B0787ZC4Z1</t>
        </is>
      </c>
      <c r="C176" s="35" t="inlineStr">
        <is>
          <t>Handheld</t>
        </is>
      </c>
      <c r="D176" s="359" t="n">
        <v>164.03</v>
      </c>
      <c r="E176" s="66" t="n">
        <v>187.19</v>
      </c>
      <c r="F176" s="67" t="n">
        <v>0</v>
      </c>
      <c r="G176" s="68" t="n">
        <v>1</v>
      </c>
      <c r="H176" s="68" t="n">
        <v>0</v>
      </c>
      <c r="I176" s="68" t="n">
        <v>14</v>
      </c>
      <c r="J176" s="69" t="n">
        <v>4.4</v>
      </c>
      <c r="K176" s="69" t="inlineStr">
        <is>
          <t>https://amazon.com/dp/B0787ZC4Z1</t>
        </is>
      </c>
      <c r="L176" s="114">
        <f>HYPERLINK(TABLE176)</f>
        <v/>
      </c>
    </row>
    <row r="177">
      <c r="A177" s="35" t="inlineStr">
        <is>
          <t>iCarsoft Auto Diagnostic Scanner TYT V1.0 for Toyota/Lexus/Scion/Isuzu, ABS, SRS, Oil Service Reset ect (Red)</t>
        </is>
      </c>
      <c r="B177" s="35" t="inlineStr">
        <is>
          <t>B07L2XCXN7</t>
        </is>
      </c>
      <c r="C177" s="35" t="inlineStr">
        <is>
          <t>Handheld</t>
        </is>
      </c>
      <c r="D177" s="359" t="n">
        <v>160.3</v>
      </c>
      <c r="E177" s="66" t="n">
        <v>729.21</v>
      </c>
      <c r="F177" s="67" t="n">
        <v>0</v>
      </c>
      <c r="G177" s="68" t="n">
        <v>5</v>
      </c>
      <c r="H177" s="68" t="n">
        <v>0</v>
      </c>
      <c r="I177" s="68" t="n">
        <v>3</v>
      </c>
      <c r="J177" s="69" t="n">
        <v>3.8</v>
      </c>
      <c r="K177" s="69" t="inlineStr">
        <is>
          <t>https://amazon.com/dp/B07L2XCXN7</t>
        </is>
      </c>
      <c r="L177" s="114">
        <f>HYPERLINK(TABLE177)</f>
        <v/>
      </c>
    </row>
    <row r="178">
      <c r="A178" s="35" t="inlineStr">
        <is>
          <t>Bidirectional Scan Tool iCarsoft CR Ultra ECU Coding &amp; TPMS Programming Tool/12V Battery Tester/Topology Map/All Systems OBD2 Scanner Diagnostic Tool 41 Resets DOIP Car Code Reader</t>
        </is>
      </c>
    </row>
    <row r="179" ht="17" customHeight="1" s="314">
      <c r="A179" s="35" t="inlineStr">
        <is>
          <t>iCarsoft MT PRO Motorcycle Diagnostic Tool for Harley/BMW/Kawasaki/Indian etc. All Motorbikes Full System All Maintenance Reset, Actuation Test, Touchscreen Code Reader, Also Car OBD2 Diagnose</t>
        </is>
      </c>
      <c r="B179" s="35" t="inlineStr">
        <is>
          <t>B0FHWPN7LB</t>
        </is>
      </c>
      <c r="C179" s="35" t="inlineStr">
        <is>
          <t>Tablet</t>
        </is>
      </c>
      <c r="D179" s="359" t="n">
        <v>789.99</v>
      </c>
      <c r="E179" s="66" t="n">
        <v>5600.27</v>
      </c>
      <c r="F179" s="67" t="n">
        <v>0</v>
      </c>
      <c r="G179" s="68" t="n">
        <v>7</v>
      </c>
      <c r="H179" s="68" t="n">
        <v>0</v>
      </c>
      <c r="I179" s="68" t="n"/>
      <c r="J179" s="69" t="n"/>
      <c r="K179" s="69" t="inlineStr">
        <is>
          <t>https://amazon.com/dp/B0FHWPN7LB</t>
        </is>
      </c>
      <c r="L179" s="114">
        <f>HYPERLINK(TABLE179)</f>
        <v/>
      </c>
    </row>
    <row r="180" ht="45" customHeight="1" s="314">
      <c r="A180" s="35" t="inlineStr">
        <is>
          <t>iCarsoft Scanner Tool AIRBAG SRS Code Reader Oil Reset i960 911 997 981</t>
        </is>
      </c>
      <c r="B180" s="35" t="inlineStr">
        <is>
          <t>B015DN8OIS</t>
        </is>
      </c>
      <c r="C180" s="35" t="inlineStr">
        <is>
          <t>Tablet</t>
        </is>
      </c>
      <c r="D180" s="359" t="n">
        <v>149.94</v>
      </c>
      <c r="E180" s="66" t="n">
        <v>605.6099999999999</v>
      </c>
      <c r="F180" s="67" t="n">
        <v>0</v>
      </c>
      <c r="G180" s="68" t="n">
        <v>4</v>
      </c>
      <c r="H180" s="68" t="n">
        <v>0</v>
      </c>
      <c r="I180" s="68" t="n">
        <v>88</v>
      </c>
      <c r="J180" s="69" t="n">
        <v>4.2</v>
      </c>
      <c r="K180" s="69" t="inlineStr">
        <is>
          <t>https://amazon.com/dp/B015DN8OIS</t>
        </is>
      </c>
      <c r="L180" s="114">
        <f>HYPERLINK(TABLE180)</f>
        <v/>
      </c>
    </row>
    <row r="181" ht="17" customHeight="1" s="314">
      <c r="A181" s="35" t="inlineStr">
        <is>
          <t>iCarsoft 4-in-1 Bidirectional Diagnostic Tool + Battery Tester + TPMS Programmer +OBD2 Scanner with 26 Reset Service/Endoscope, CR Legend All System Scan Tool with Printer, Lifetime Free Upgrade</t>
        </is>
      </c>
      <c r="B181" s="35" t="inlineStr">
        <is>
          <t>B0DPVMHCSK</t>
        </is>
      </c>
      <c r="C181" s="35" t="inlineStr">
        <is>
          <t>Tablet</t>
        </is>
      </c>
      <c r="D181" s="359" t="n">
        <v>689.95</v>
      </c>
      <c r="E181" s="66" t="n">
        <v>0</v>
      </c>
      <c r="F181" s="67" t="n">
        <v>0</v>
      </c>
      <c r="G181" s="68" t="n">
        <v>0</v>
      </c>
      <c r="H181" s="68" t="n">
        <v>0</v>
      </c>
      <c r="I181" s="68" t="n"/>
      <c r="J181" s="69" t="n"/>
      <c r="K181" s="69" t="inlineStr">
        <is>
          <t>https://amazon.com/dp/B0DPVMHCSK</t>
        </is>
      </c>
      <c r="L181" s="114">
        <f>HYPERLINK(TABLE181)</f>
        <v/>
      </c>
    </row>
    <row r="182" ht="45" customHeight="1" s="314">
      <c r="A182" s="41" t="inlineStr">
        <is>
          <t>Total</t>
        </is>
      </c>
      <c r="B182" s="41" t="n"/>
      <c r="C182" s="41" t="n"/>
      <c r="D182" s="365" t="n"/>
      <c r="E182" s="122">
        <f>SUM(E9:E181)</f>
        <v/>
      </c>
      <c r="F182" s="122">
        <f>SUM(F9:F181)</f>
        <v/>
      </c>
      <c r="G182" s="123" t="n"/>
      <c r="H182" s="123" t="n"/>
      <c r="I182" s="123" t="n"/>
      <c r="J182" s="128" t="n"/>
      <c r="K182" s="41" t="n"/>
    </row>
    <row r="183" ht="45" customHeight="1" s="314">
      <c r="A183" s="35" t="n"/>
      <c r="B183" s="35" t="n"/>
      <c r="C183" s="359" t="n"/>
      <c r="D183" s="66" t="n"/>
      <c r="E183" s="66" t="n"/>
      <c r="F183" s="68" t="n"/>
      <c r="G183" s="68" t="n"/>
      <c r="H183" s="68" t="n"/>
      <c r="I183" s="69" t="n"/>
      <c r="J183" s="35" t="n"/>
    </row>
    <row r="184" ht="45" customHeight="1" s="314">
      <c r="A184" s="35" t="n"/>
      <c r="B184" s="35" t="n"/>
      <c r="C184" s="359" t="n"/>
      <c r="D184" s="66" t="n"/>
      <c r="E184" s="66" t="n"/>
      <c r="F184" s="68" t="n"/>
      <c r="G184" s="68" t="n"/>
      <c r="H184" s="68" t="n"/>
      <c r="I184" s="69" t="n"/>
      <c r="J184" s="35" t="n"/>
    </row>
    <row r="185" ht="60" customHeight="1" s="314">
      <c r="A185" s="307" t="inlineStr">
        <is>
          <t>Rank by Units</t>
        </is>
      </c>
    </row>
    <row r="186" ht="45" customHeight="1" s="314">
      <c r="A186" s="46" t="inlineStr">
        <is>
          <t>Product Name</t>
        </is>
      </c>
      <c r="B186" s="47" t="inlineStr">
        <is>
          <t>ASIN</t>
        </is>
      </c>
      <c r="C186" s="47" t="inlineStr">
        <is>
          <t>Type</t>
        </is>
      </c>
      <c r="D186" s="345" t="inlineStr">
        <is>
          <t>Avg Price</t>
        </is>
      </c>
      <c r="E186" s="49" t="inlineStr">
        <is>
          <t>Estimated 12mo Revenue</t>
        </is>
      </c>
      <c r="F186" s="47" t="inlineStr">
        <is>
          <t>Monthly Rev</t>
        </is>
      </c>
      <c r="G186" s="51" t="inlineStr">
        <is>
          <t>Estimated 12mo Units</t>
        </is>
      </c>
      <c r="H186" s="54" t="inlineStr">
        <is>
          <t>Monthly Units</t>
        </is>
      </c>
      <c r="I186" s="51" t="inlineStr">
        <is>
          <t># of Reviews</t>
        </is>
      </c>
      <c r="J186" s="52" t="inlineStr">
        <is>
          <t xml:space="preserve">Tool Rating </t>
        </is>
      </c>
      <c r="K186" s="52" t="inlineStr">
        <is>
          <t>Column1</t>
        </is>
      </c>
      <c r="L186" s="346" t="inlineStr">
        <is>
          <t>Link</t>
        </is>
      </c>
    </row>
    <row r="187" ht="60" customHeight="1" s="314">
      <c r="A187" s="35" t="inlineStr">
        <is>
          <t>Bidirectional Diagnostic Tool for Most Mercedes-Benz/Sprinter/Smart from 1996-2023 iCarsoft MB V3.0 2026 Version 38+ Reset Service OBD2 Full System Scanner Battery Test Actuation Test AutoVIN</t>
        </is>
      </c>
      <c r="B187" s="35" t="inlineStr">
        <is>
          <t>B0D3DQQK1S</t>
        </is>
      </c>
      <c r="C187" s="35" t="inlineStr">
        <is>
          <t>Tablet</t>
        </is>
      </c>
      <c r="D187" s="359" t="n">
        <v>194.4485950413223</v>
      </c>
      <c r="E187" s="66" t="n">
        <v>580396.8999999999</v>
      </c>
      <c r="F187" s="66" t="n">
        <v>47056.56</v>
      </c>
      <c r="G187" s="68" t="n">
        <v>2676</v>
      </c>
      <c r="H187" s="70" t="n">
        <v>242</v>
      </c>
      <c r="I187" s="68" t="n">
        <v>157</v>
      </c>
      <c r="J187" s="69" t="n">
        <v>3.9</v>
      </c>
      <c r="K187" s="69" t="inlineStr">
        <is>
          <t>https://amazon.com/dp/B0D3DQQK1S</t>
        </is>
      </c>
      <c r="L187" s="114">
        <f>HYPERLINK(Table3258[[#This Row],[Column1]])</f>
        <v/>
      </c>
    </row>
    <row r="188" ht="60" customHeight="1" s="314">
      <c r="A188" s="35" t="inlineStr">
        <is>
          <t>iCarsoft Auto Diagnostic Scanner POR V2.0</t>
        </is>
      </c>
      <c r="B188" s="35" t="inlineStr">
        <is>
          <t>B07F2WF96Y</t>
        </is>
      </c>
      <c r="C188" s="35" t="inlineStr">
        <is>
          <t>Tablet</t>
        </is>
      </c>
      <c r="D188" s="359" t="n">
        <v>120.2065680473373</v>
      </c>
      <c r="E188" s="66" t="n">
        <v>168265.11</v>
      </c>
      <c r="F188" s="66" t="n">
        <v>20314.91</v>
      </c>
      <c r="G188" s="68" t="n">
        <v>1247</v>
      </c>
      <c r="H188" s="70" t="n">
        <v>169</v>
      </c>
      <c r="I188" s="68" t="n">
        <v>784</v>
      </c>
      <c r="J188" s="69" t="n">
        <v>4.1</v>
      </c>
      <c r="K188" s="69" t="inlineStr">
        <is>
          <t>https://amazon.com/dp/B07F2WF96Y</t>
        </is>
      </c>
      <c r="L188" s="114">
        <f>HYPERLINK(Table3258[[#This Row],[Column1]])</f>
        <v/>
      </c>
    </row>
    <row r="189" ht="45" customHeight="1" s="314">
      <c r="A189" s="35" t="inlineStr">
        <is>
          <t>iCarsoft POR V4.0 Bidirectional Diagnostic Tool for Porsche + 2 Extra Car Brands, OBD2 Scanner with 1333 Test Items/ 26 Services (177 Subservices)/ 66 Extra Services/Battery Registration-Free Update</t>
        </is>
      </c>
      <c r="B189" s="35" t="inlineStr">
        <is>
          <t>B0G4M5G2CR</t>
        </is>
      </c>
      <c r="C189" s="35" t="inlineStr">
        <is>
          <t>Tablet</t>
        </is>
      </c>
      <c r="D189" s="359" t="n">
        <v>269.8357142857143</v>
      </c>
      <c r="E189" s="66" t="n">
        <v>459229.4707692307</v>
      </c>
      <c r="F189" s="66" t="n">
        <v>45332.4</v>
      </c>
      <c r="G189" s="68" t="n">
        <v>306</v>
      </c>
      <c r="H189" s="70" t="n">
        <v>168</v>
      </c>
      <c r="I189" s="68" t="n">
        <v>1</v>
      </c>
      <c r="J189" s="69" t="n">
        <v>5</v>
      </c>
      <c r="K189" s="69" t="inlineStr">
        <is>
          <t>https://amazon.com/dp/B0G4M5G2CR</t>
        </is>
      </c>
      <c r="L189" s="114">
        <f>HYPERLINK(Table3258[[#This Row],[Column1]])</f>
        <v/>
      </c>
    </row>
    <row r="190" ht="45" customHeight="1" s="314">
      <c r="A190" s="35" t="inlineStr">
        <is>
          <t>iCarsoft Auto Diagnostic Scanner P700 V2.0 for Porsche with Engine/Transmission/ABS/Airbag Diagnosis Scan,OBD2 Code Reader with Oil Reset EPB ETC+Battery/O2 Sensor/EVAP Test</t>
        </is>
      </c>
      <c r="B190" s="35" t="inlineStr">
        <is>
          <t>B07FP9QJLN</t>
        </is>
      </c>
      <c r="C190" s="35" t="inlineStr">
        <is>
          <t>Tablet</t>
        </is>
      </c>
      <c r="D190" s="359" t="n">
        <v>149.5688034188034</v>
      </c>
      <c r="E190" s="66" t="n">
        <v>104958.29</v>
      </c>
      <c r="F190" s="66" t="n">
        <v>17499.55</v>
      </c>
      <c r="G190" s="68" t="n">
        <v>703</v>
      </c>
      <c r="H190" s="70" t="n">
        <v>117</v>
      </c>
      <c r="I190" s="68" t="n">
        <v>202</v>
      </c>
      <c r="J190" s="69" t="n">
        <v>4.3</v>
      </c>
      <c r="K190" s="69" t="inlineStr">
        <is>
          <t>https://amazon.com/dp/B07FP9QJLN</t>
        </is>
      </c>
      <c r="L190" s="114">
        <f>HYPERLINK(Table3258[[#This Row],[Column1]])</f>
        <v/>
      </c>
    </row>
    <row r="191" ht="45" customHeight="1" s="314">
      <c r="A191" s="35" t="inlineStr">
        <is>
          <t>iCarsoft MB V2.0 for Mercedes Benz OBD2 Scanner, Full System Diagnostic Scan Tool, 8 Resets Auto VIN, Oil/SAS/EPB/ETC/DP-F/BLD/INJ/SAS/TPMS, Free Update, Automotive Code Reader with Battery Test</t>
        </is>
      </c>
      <c r="B191" s="35" t="inlineStr">
        <is>
          <t>B0DX2BSRYM</t>
        </is>
      </c>
      <c r="C191" s="35" t="inlineStr">
        <is>
          <t>Tablet</t>
        </is>
      </c>
      <c r="D191" s="359" t="n">
        <v>146.1356862745098</v>
      </c>
      <c r="E191" s="66" t="n">
        <v>187220.8369230769</v>
      </c>
      <c r="F191" s="66" t="n">
        <v>14905.84</v>
      </c>
      <c r="G191" s="68" t="n">
        <v>1096</v>
      </c>
      <c r="H191" s="70" t="n">
        <v>102</v>
      </c>
      <c r="I191" s="68" t="n">
        <v>154</v>
      </c>
      <c r="J191" s="69" t="n">
        <v>4</v>
      </c>
      <c r="K191" s="69" t="inlineStr">
        <is>
          <t>https://amazon.com/dp/B0DX2BSRYM</t>
        </is>
      </c>
      <c r="L191" s="114">
        <f>HYPERLINK(Table3258[[#This Row],[Column1]])</f>
        <v/>
      </c>
    </row>
    <row r="192" ht="45" customHeight="1" s="314">
      <c r="A192" s="35" t="inlineStr">
        <is>
          <t>iCarsoft E660 2025 Version 4 Systems OBD2 Scanner, ABS SRS Engine Transmission Car Code Reader with 6 Reset Service Clear Fault Codes Battery Test Diagnostic Scan Tools Lifetime Free Upgrade</t>
        </is>
      </c>
      <c r="B192" s="35" t="inlineStr">
        <is>
          <t>B0F9FP9KPH</t>
        </is>
      </c>
      <c r="C192" s="35" t="inlineStr">
        <is>
          <t>Handheld</t>
        </is>
      </c>
      <c r="D192" s="359" t="n">
        <v>133.55475</v>
      </c>
      <c r="E192" s="66" t="n">
        <v>119822.4438461539</v>
      </c>
      <c r="F192" s="66" t="n">
        <v>10684.38</v>
      </c>
      <c r="G192" s="68" t="n">
        <v>661</v>
      </c>
      <c r="H192" s="70" t="n">
        <v>80</v>
      </c>
      <c r="I192" s="68" t="n">
        <v>463</v>
      </c>
      <c r="J192" s="69" t="n">
        <v>4.3</v>
      </c>
      <c r="K192" s="69" t="inlineStr">
        <is>
          <t>https://amazon.com/dp/B0F9FP9KPH</t>
        </is>
      </c>
      <c r="L192" s="114">
        <f>HYPERLINK(Table3258[[#This Row],[Column1]])</f>
        <v/>
      </c>
    </row>
    <row r="193" ht="45" customHeight="1" s="314">
      <c r="A193" s="35" t="inlineStr">
        <is>
          <t>Bidirectional Diagnostic Tool for Porsche/Cayenne, iCarsoft 2026 POR V3.0 All System OBD2 Scanner, 27 Resets +12 Extra Services Battery Registration Code Reader for Porsche, Auto VIN</t>
        </is>
      </c>
      <c r="B193" s="35" t="inlineStr">
        <is>
          <t>B0D3DPDV86</t>
        </is>
      </c>
      <c r="C193" s="35" t="inlineStr">
        <is>
          <t>Tablet</t>
        </is>
      </c>
      <c r="D193" s="359" t="n">
        <v>184.1218461538461</v>
      </c>
      <c r="E193" s="66" t="n">
        <v>505870.76</v>
      </c>
      <c r="F193" s="66" t="n">
        <v>11967.92</v>
      </c>
      <c r="G193" s="68" t="n">
        <v>2445</v>
      </c>
      <c r="H193" s="70" t="n">
        <v>65</v>
      </c>
      <c r="I193" s="68" t="n">
        <v>784</v>
      </c>
      <c r="J193" s="69" t="n">
        <v>4.1</v>
      </c>
      <c r="K193" s="69" t="inlineStr">
        <is>
          <t>https://amazon.com/dp/B0D3DPDV86</t>
        </is>
      </c>
      <c r="L193" s="114">
        <f>HYPERLINK(Table3258[[#This Row],[Column1]])</f>
        <v/>
      </c>
    </row>
    <row r="194" ht="30" customHeight="1" s="314">
      <c r="A194" s="35" t="inlineStr">
        <is>
          <t>iCarsoft MB V4.0 Bidirectional Diagnostic Tool for Mercedes-Benz/Sprinter/Smart and 2 Extra Brands 38 Resets+26 Extra Service, 10 OBD2 Modes, Full System Scanner Battery Test/4-in-1 Live Data/Auto VIN</t>
        </is>
      </c>
      <c r="B194" s="35" t="inlineStr">
        <is>
          <t>B0FS6XSNP6</t>
        </is>
      </c>
      <c r="C194" s="35" t="inlineStr">
        <is>
          <t>Tablet</t>
        </is>
      </c>
      <c r="D194" s="359" t="n">
        <v>268.4403389830508</v>
      </c>
      <c r="E194" s="66" t="n">
        <v>160026.3730769231</v>
      </c>
      <c r="F194" s="66" t="n">
        <v>15837.98</v>
      </c>
      <c r="G194" s="68" t="n">
        <v>268</v>
      </c>
      <c r="H194" s="70" t="n">
        <v>59</v>
      </c>
      <c r="I194" s="68" t="n">
        <v>12</v>
      </c>
      <c r="J194" s="69" t="n">
        <v>3.4</v>
      </c>
      <c r="K194" s="69" t="inlineStr">
        <is>
          <t>https://amazon.com/dp/B0FS6XSNP6</t>
        </is>
      </c>
      <c r="L194" s="114">
        <f>HYPERLINK(Table3258[[#This Row],[Column1]])</f>
        <v/>
      </c>
    </row>
    <row r="195" ht="45" customHeight="1" s="314">
      <c r="A195" s="35" t="inlineStr">
        <is>
          <t>Bidirectional Diagnostic Tool for Porsche/BMW, iCarsoft POR V3.0 (Enhanced Ver) All System OBD2 Scanner Code Reader for Porsche, for BMW, Auto VIN</t>
        </is>
      </c>
      <c r="B195" s="35" t="inlineStr">
        <is>
          <t>B0DWFQ69VV</t>
        </is>
      </c>
      <c r="C195" s="35" t="inlineStr">
        <is>
          <t>Handheld</t>
        </is>
      </c>
      <c r="D195" s="359" t="n">
        <v>162.491568627451</v>
      </c>
      <c r="E195" s="66" t="n">
        <v>51563.52923076924</v>
      </c>
      <c r="F195" s="66" t="n">
        <v>8287.07</v>
      </c>
      <c r="G195" s="68" t="n">
        <v>157</v>
      </c>
      <c r="H195" s="70" t="n">
        <v>51</v>
      </c>
      <c r="I195" s="68" t="n">
        <v>5</v>
      </c>
      <c r="J195" s="69" t="n">
        <v>4.5</v>
      </c>
      <c r="K195" s="69" t="inlineStr">
        <is>
          <t>https://amazon.com/dp/B0DWFQ69VV</t>
        </is>
      </c>
      <c r="L195" s="114">
        <f>HYPERLINK(Table3258[[#This Row],[Column1]])</f>
        <v/>
      </c>
    </row>
    <row r="196" ht="45" customHeight="1" s="314">
      <c r="A196" s="35" t="inlineStr">
        <is>
          <t>iCarsoft POR V2.0 fit for Porsche/Cayenne/911 Full Systems Diagnostic Scan Tool, OBD2 Scanner with 8 Resets, Live Data, Battery Test Module Info, Lifetime F-Ree Update</t>
        </is>
      </c>
      <c r="B196" s="35" t="inlineStr">
        <is>
          <t>B0DXW2DJR6</t>
        </is>
      </c>
      <c r="C196" s="35" t="inlineStr">
        <is>
          <t>Tablet</t>
        </is>
      </c>
      <c r="D196" s="359" t="n">
        <v>169.1276086956522</v>
      </c>
      <c r="E196" s="66" t="n">
        <v>100905.5207692307</v>
      </c>
      <c r="F196" s="66" t="n">
        <v>7779.87</v>
      </c>
      <c r="G196" s="68" t="n">
        <v>349</v>
      </c>
      <c r="H196" s="70" t="n">
        <v>46</v>
      </c>
      <c r="I196" s="68" t="n">
        <v>7</v>
      </c>
      <c r="J196" s="69" t="n">
        <v>3.7</v>
      </c>
      <c r="K196" s="69" t="inlineStr">
        <is>
          <t>https://amazon.com/dp/B0DXW2DJR6</t>
        </is>
      </c>
      <c r="L196" s="114">
        <f>HYPERLINK(Table3258[[#This Row],[Column1]])</f>
        <v/>
      </c>
    </row>
    <row r="197" ht="45" customHeight="1" s="314">
      <c r="A197" s="35" t="inlineStr">
        <is>
          <t>iCarsoft MB V3.0 Bidirectional Diagnostic Tool for Mercedes-Benz/Sprinter/Smart/Maybach 38+ Service All Systems OBD2 Scanner Quick Scan Battery Test Full Actuation Test Auto VIN Free Lifetime Update</t>
        </is>
      </c>
      <c r="B197" s="35" t="inlineStr">
        <is>
          <t>B0FBWTJ9S4</t>
        </is>
      </c>
      <c r="C197" s="35" t="inlineStr">
        <is>
          <t>Tablet</t>
        </is>
      </c>
      <c r="D197" s="359" t="n">
        <v>191.595641025641</v>
      </c>
      <c r="E197" s="66" t="n">
        <v>82907.06923076924</v>
      </c>
      <c r="F197" s="66" t="n">
        <v>7472.23</v>
      </c>
      <c r="G197" s="68" t="n">
        <v>307</v>
      </c>
      <c r="H197" s="70" t="n">
        <v>39</v>
      </c>
      <c r="I197" s="68" t="n">
        <v>17</v>
      </c>
      <c r="J197" s="69" t="n">
        <v>4.2</v>
      </c>
      <c r="K197" s="69" t="inlineStr">
        <is>
          <t>https://amazon.com/dp/B0FBWTJ9S4</t>
        </is>
      </c>
      <c r="L197" s="114">
        <f>HYPERLINK(Table3258[[#This Row],[Column1]])</f>
        <v/>
      </c>
    </row>
    <row r="198" ht="60" customHeight="1" s="314">
      <c r="A198" s="35" t="inlineStr">
        <is>
          <t>iCarsoft MT V6 Motorcycle Diagnostic Scan Tool for Harley, All System Motorcycle OBD2 Scanner with 57Actuation Tests,43 Special Function, Oil/ETC/ABS/ESA/Engine Idle Resets,Battery Test</t>
        </is>
      </c>
      <c r="B198" s="35" t="inlineStr">
        <is>
          <t>B0DFQ4S4SH</t>
        </is>
      </c>
      <c r="C198" s="35" t="inlineStr">
        <is>
          <t>Tablet</t>
        </is>
      </c>
      <c r="D198" s="359" t="n">
        <v>199.8246153846154</v>
      </c>
      <c r="E198" s="66" t="n">
        <v>76468.07846153846</v>
      </c>
      <c r="F198" s="66" t="n">
        <v>7793.16</v>
      </c>
      <c r="G198" s="68" t="n">
        <v>249</v>
      </c>
      <c r="H198" s="70" t="n">
        <v>39</v>
      </c>
      <c r="I198" s="68" t="n">
        <v>21</v>
      </c>
      <c r="J198" s="69" t="n">
        <v>3.2</v>
      </c>
      <c r="K198" s="69" t="inlineStr">
        <is>
          <t>https://amazon.com/dp/B0DFQ4S4SH</t>
        </is>
      </c>
      <c r="L198" s="114">
        <f>HYPERLINK(Table3258[[#This Row],[Column1]])</f>
        <v/>
      </c>
    </row>
    <row r="199" ht="45" customHeight="1" s="314">
      <c r="A199" s="35" t="inlineStr">
        <is>
          <t>iCarsoft 38 PIN Diagnostic Adapter for Benz OBD I Multi Systems diagnose 38 Pin Male to 16 Pin Female OBDII Connector</t>
        </is>
      </c>
      <c r="B199" s="35" t="inlineStr">
        <is>
          <t>B07SX7QHS9</t>
        </is>
      </c>
      <c r="C199" s="35" t="inlineStr">
        <is>
          <t>Cable/Adapter</t>
        </is>
      </c>
      <c r="D199" s="359" t="n">
        <v>58.0972972972973</v>
      </c>
      <c r="E199" s="66" t="n">
        <v>24716.37</v>
      </c>
      <c r="F199" s="66" t="n">
        <v>2149.6</v>
      </c>
      <c r="G199" s="68" t="n">
        <v>432</v>
      </c>
      <c r="H199" s="70" t="n">
        <v>37</v>
      </c>
      <c r="I199" s="68" t="n">
        <v>255</v>
      </c>
      <c r="J199" s="69" t="n">
        <v>4.5</v>
      </c>
      <c r="K199" s="69" t="inlineStr">
        <is>
          <t>https://amazon.com/dp/B07SX7QHS9</t>
        </is>
      </c>
      <c r="L199" s="114">
        <f>HYPERLINK(Table3258[[#This Row],[Column1]])</f>
        <v/>
      </c>
    </row>
    <row r="200" ht="45" customHeight="1" s="314">
      <c r="A200" s="35" t="inlineStr">
        <is>
          <t>iCarsoft CR Pro+ All System Diagnostic Bidirectional Scan Tool for All Cars, 49 Resets+46 Extra Services+Active Test OBD2 Scanner+ECU Coding for BMW/Audi/VW-Oil/ETC/EPB/BMS/TPMS, etc. Free Update</t>
        </is>
      </c>
      <c r="B200" s="35" t="inlineStr">
        <is>
          <t>B0D3HDJQ9P</t>
        </is>
      </c>
      <c r="C200" s="35" t="inlineStr">
        <is>
          <t>Tablet</t>
        </is>
      </c>
      <c r="D200" s="359" t="n">
        <v>299.4294594594595</v>
      </c>
      <c r="E200" s="66" t="n">
        <v>226905.89</v>
      </c>
      <c r="F200" s="66" t="n">
        <v>11078.89</v>
      </c>
      <c r="G200" s="68" t="n">
        <v>747</v>
      </c>
      <c r="H200" s="70" t="n">
        <v>37</v>
      </c>
      <c r="I200" s="68" t="n">
        <v>35</v>
      </c>
      <c r="J200" s="69" t="n">
        <v>4.2</v>
      </c>
      <c r="K200" s="69" t="inlineStr">
        <is>
          <t>https://amazon.com/dp/B0D3HDJQ9P</t>
        </is>
      </c>
      <c r="L200" s="114">
        <f>HYPERLINK(Table3258[[#This Row],[Column1]])</f>
        <v/>
      </c>
    </row>
    <row r="201" ht="45" customHeight="1" s="314">
      <c r="A201" s="35" t="inlineStr">
        <is>
          <t>iCarsoft MB V2.0 OBD2 Scanner Diagnostic Tool for Benz/Sprinter/Smart, Full System Code Reader with 8 Resets, Auto VIN, Oil/SAS/EPB/ETC/BLD/INJ/SAS/TPMS, Free Update, Live Data, Battery Test</t>
        </is>
      </c>
      <c r="B201" s="35" t="inlineStr">
        <is>
          <t>B0FPF9S6RV</t>
        </is>
      </c>
      <c r="C201" s="35" t="inlineStr">
        <is>
          <t>Tablet</t>
        </is>
      </c>
      <c r="D201" s="359" t="n">
        <v>170.3544117647059</v>
      </c>
      <c r="E201" s="66" t="n">
        <v>58367.83384615384</v>
      </c>
      <c r="F201" s="66" t="n">
        <v>5792.05</v>
      </c>
      <c r="G201" s="68" t="n">
        <v>133</v>
      </c>
      <c r="H201" s="70" t="n">
        <v>34</v>
      </c>
      <c r="I201" s="68" t="n">
        <v>5</v>
      </c>
      <c r="J201" s="69" t="n">
        <v>4.5</v>
      </c>
      <c r="K201" s="69" t="inlineStr">
        <is>
          <t>https://amazon.com/dp/B0FPF9S6RV</t>
        </is>
      </c>
      <c r="L201" s="114">
        <f>HYPERLINK(Table3258[[#This Row],[Column1]])</f>
        <v/>
      </c>
    </row>
    <row r="202" ht="30" customHeight="1" s="314">
      <c r="A202" s="35" t="inlineStr">
        <is>
          <t>OBD2 Diagnostic Scan Tool for Mercedes Benz/Sprinter, iCarsoft M900 V2.0 Scanner Code Reader for Engine, Transmission, ABS, Airbag Systems, Oil/SAS/EPB/ETC/INJ Reset,Battery Test</t>
        </is>
      </c>
      <c r="B202" s="35" t="inlineStr">
        <is>
          <t>B07BFPKLMY</t>
        </is>
      </c>
      <c r="C202" s="35" t="inlineStr">
        <is>
          <t>Tablet</t>
        </is>
      </c>
      <c r="D202" s="359" t="n">
        <v>151.7615151515151</v>
      </c>
      <c r="E202" s="66" t="n">
        <v>73636.83</v>
      </c>
      <c r="F202" s="66" t="n">
        <v>5008.13</v>
      </c>
      <c r="G202" s="68" t="n">
        <v>529</v>
      </c>
      <c r="H202" s="70" t="n">
        <v>33</v>
      </c>
      <c r="I202" s="68" t="n">
        <v>154</v>
      </c>
      <c r="J202" s="69" t="n">
        <v>4</v>
      </c>
      <c r="K202" s="69" t="inlineStr">
        <is>
          <t>https://amazon.com/dp/B07BFPKLMY</t>
        </is>
      </c>
      <c r="L202" s="114">
        <f>HYPERLINK(Table3258[[#This Row],[Column1]])</f>
        <v/>
      </c>
    </row>
    <row r="203" ht="30" customHeight="1" s="314">
      <c r="A203" s="35" t="inlineStr">
        <is>
          <t>iCarsoft LR V3.0 2026 Version Bidirectional OBD2 Scanner for Most Land Rover/Jaguar from 1996-2023 Full Systems 37 Service Diagnostic Scan Tool Graphic Data Car Code Reader with Lifetime Free Update</t>
        </is>
      </c>
      <c r="B203" s="35" t="inlineStr">
        <is>
          <t>B0FZ8JJY1T</t>
        </is>
      </c>
      <c r="C203" s="35" t="inlineStr">
        <is>
          <t>Tablet</t>
        </is>
      </c>
      <c r="D203" s="359" t="n">
        <v>218.8990625</v>
      </c>
      <c r="E203" s="66" t="n">
        <v>93506.13230769234</v>
      </c>
      <c r="F203" s="66" t="n">
        <v>7004.77</v>
      </c>
      <c r="G203" s="68" t="n">
        <v>190</v>
      </c>
      <c r="H203" s="70" t="n">
        <v>32</v>
      </c>
      <c r="I203" s="68" t="n">
        <v>5</v>
      </c>
      <c r="J203" s="69" t="n">
        <v>3.8</v>
      </c>
      <c r="K203" s="69" t="inlineStr">
        <is>
          <t>https://amazon.com/dp/B0FZ8JJY1T</t>
        </is>
      </c>
      <c r="L203" s="114">
        <f>HYPERLINK(Table3258[[#This Row],[Column1]])</f>
        <v/>
      </c>
    </row>
    <row r="204" ht="30" customHeight="1" s="314">
      <c r="A204" s="35" t="inlineStr">
        <is>
          <t>iCarsoft VOL V 4.0 Diagnostic Scan Tool for Volvo/SAAB + 2 Car Brand Vehicles, OBD2 Scanner with 29 Resets (317 Sub-Services) +234 Extra Services, 1599 Bidirectional Test Items, All System Diagnose</t>
        </is>
      </c>
      <c r="B204" s="35" t="inlineStr">
        <is>
          <t>B0G4M4L59R</t>
        </is>
      </c>
      <c r="C204" s="35" t="inlineStr">
        <is>
          <t>Tablet</t>
        </is>
      </c>
      <c r="D204" s="359" t="n">
        <v>267.7313793103448</v>
      </c>
      <c r="E204" s="66" t="n">
        <v>86600.80384615385</v>
      </c>
      <c r="F204" s="66" t="n">
        <v>7764.21</v>
      </c>
      <c r="G204" s="68" t="n">
        <v>29</v>
      </c>
      <c r="H204" s="70" t="n">
        <v>29</v>
      </c>
      <c r="I204" s="68" t="n"/>
      <c r="J204" s="69" t="n"/>
      <c r="K204" s="69" t="inlineStr">
        <is>
          <t>https://amazon.com/dp/B0G4M4L59R</t>
        </is>
      </c>
      <c r="L204" s="114">
        <f>HYPERLINK(Table3258[[#This Row],[Column1]])</f>
        <v/>
      </c>
    </row>
    <row r="205" ht="45" customHeight="1" s="314">
      <c r="A205" s="35" t="inlineStr">
        <is>
          <t>iCarsoft MB II OBD2 Scanner for Mercedes Benz/Sprinter/Smart, All System in-Depth Diagnostic Scan Tool, with Oil Reset/SAS/EPB/ETC/DF/BLD/INJ, Battery Test, Live Graph Data</t>
        </is>
      </c>
      <c r="B205" s="35" t="inlineStr">
        <is>
          <t>B0D769KCX6</t>
        </is>
      </c>
      <c r="C205" s="35" t="inlineStr">
        <is>
          <t>Tablet</t>
        </is>
      </c>
      <c r="D205" s="359" t="n">
        <v>145.4282142857143</v>
      </c>
      <c r="E205" s="66" t="n">
        <v>41537.39999999999</v>
      </c>
      <c r="F205" s="66" t="n">
        <v>4071.99</v>
      </c>
      <c r="G205" s="68" t="n">
        <v>266</v>
      </c>
      <c r="H205" s="70" t="n">
        <v>28</v>
      </c>
      <c r="I205" s="68" t="n">
        <v>60</v>
      </c>
      <c r="J205" s="69" t="n">
        <v>3.8</v>
      </c>
      <c r="K205" s="69" t="inlineStr">
        <is>
          <t>https://amazon.com/dp/B0D769KCX6</t>
        </is>
      </c>
      <c r="L205" s="114">
        <f>HYPERLINK(Table3258[[#This Row],[Column1]])</f>
        <v/>
      </c>
    </row>
    <row r="206" ht="60" customHeight="1" s="314">
      <c r="A206" s="35" t="inlineStr">
        <is>
          <t>Heavy Duty Truck Scanner, iCarsoft HD V3.0 (Enhance Version) Multi-System OBD2 Diagnostic Scan Tool for Truck, Car, Mini Van, Light Duty Vehicle,</t>
        </is>
      </c>
      <c r="B206" s="35" t="inlineStr">
        <is>
          <t>B075FGMWTV</t>
        </is>
      </c>
      <c r="C206" s="35" t="inlineStr">
        <is>
          <t>Handheld</t>
        </is>
      </c>
      <c r="D206" s="359" t="n">
        <v>91.00777777777778</v>
      </c>
      <c r="E206" s="66" t="n">
        <v>23462.30538461538</v>
      </c>
      <c r="F206" s="66" t="n">
        <v>2457.21</v>
      </c>
      <c r="G206" s="68" t="n">
        <v>134</v>
      </c>
      <c r="H206" s="70" t="n">
        <v>27</v>
      </c>
      <c r="I206" s="68" t="n">
        <v>109</v>
      </c>
      <c r="J206" s="69" t="n">
        <v>3.8</v>
      </c>
      <c r="K206" s="69" t="inlineStr">
        <is>
          <t>https://amazon.com/dp/B075FGMWTV</t>
        </is>
      </c>
      <c r="L206" s="114">
        <f>HYPERLINK(Table3258[[#This Row],[Column1]])</f>
        <v/>
      </c>
    </row>
    <row r="207" ht="60" customHeight="1" s="314">
      <c r="A207" s="35" t="inlineStr">
        <is>
          <t>iCarsoft LR V3.0 2026 Ver Bidirectional OBD2 Scanner for Most Land Rover/Jaguar from 1996-2023 Full Systems Diagnostic Scan Tool 37 Service/118 Graphic Data Engine Transmission ABS Car Code Reader</t>
        </is>
      </c>
      <c r="B207" s="35" t="inlineStr">
        <is>
          <t>B0DBDDLS9F</t>
        </is>
      </c>
      <c r="C207" s="35" t="inlineStr">
        <is>
          <t>Tablet</t>
        </is>
      </c>
      <c r="D207" s="359" t="n">
        <v>187.6280769230769</v>
      </c>
      <c r="E207" s="66" t="n">
        <v>273399.64</v>
      </c>
      <c r="F207" s="66" t="n">
        <v>4878.33</v>
      </c>
      <c r="G207" s="68" t="n">
        <v>1341</v>
      </c>
      <c r="H207" s="70" t="n">
        <v>26</v>
      </c>
      <c r="I207" s="68" t="n">
        <v>202</v>
      </c>
      <c r="J207" s="69" t="n">
        <v>4.3</v>
      </c>
      <c r="K207" s="69" t="inlineStr">
        <is>
          <t>https://amazon.com/dp/B0DBDDLS9F</t>
        </is>
      </c>
      <c r="L207" s="114">
        <f>HYPERLINK(Table3258[[#This Row],[Column1]])</f>
        <v/>
      </c>
    </row>
    <row r="208" ht="45" customHeight="1" s="314">
      <c r="A208" s="35" t="inlineStr">
        <is>
          <t>iCarsoft LR V4.0 Full Systems Bidirectional Diagnostic Scan Tool for Most Land Rover/Jaguar and Other 2 Car Makes from 1996-2023 Automotive OBD2 Scanner Up to 51 Service Graphic Data Car Code Reader</t>
        </is>
      </c>
      <c r="B208" s="35" t="inlineStr">
        <is>
          <t>B0FS6NB462</t>
        </is>
      </c>
      <c r="C208" s="35" t="inlineStr">
        <is>
          <t>Handheld</t>
        </is>
      </c>
      <c r="D208" s="359" t="n">
        <v>273.8068</v>
      </c>
      <c r="E208" s="66" t="n">
        <v>95545.27769230767</v>
      </c>
      <c r="F208" s="66" t="n">
        <v>6845.17</v>
      </c>
      <c r="G208" s="68" t="n">
        <v>167</v>
      </c>
      <c r="H208" s="70" t="n">
        <v>25</v>
      </c>
      <c r="I208" s="68" t="n">
        <v>4</v>
      </c>
      <c r="J208" s="69" t="n">
        <v>2.9</v>
      </c>
      <c r="K208" s="69" t="inlineStr">
        <is>
          <t>https://amazon.com/dp/B0FS6NB462</t>
        </is>
      </c>
      <c r="L208" s="114">
        <f>HYPERLINK(Table3258[[#This Row],[Column1]])</f>
        <v/>
      </c>
    </row>
    <row r="209" ht="45" customHeight="1" s="314">
      <c r="A209" s="35" t="inlineStr">
        <is>
          <t>iCarsoft MB V4.0 Full System Bidirectional Diagnostic Scan Tool for Most Benz/Sprinter/Smart and Other 2 Car Makes from 1996-2023 Automotive OBD2 Scanner Up to 42 Service Graphic Data Car Code Reader</t>
        </is>
      </c>
      <c r="B209" s="35" t="inlineStr">
        <is>
          <t>B0G4MR79SY</t>
        </is>
      </c>
      <c r="C209" s="35" t="inlineStr">
        <is>
          <t>Handheld</t>
        </is>
      </c>
      <c r="D209" s="359" t="n">
        <v>266.59625</v>
      </c>
      <c r="E209" s="66" t="n">
        <v>86952.84307692311</v>
      </c>
      <c r="F209" s="66" t="n">
        <v>6398.31</v>
      </c>
      <c r="G209" s="68" t="n">
        <v>103</v>
      </c>
      <c r="H209" s="70" t="n">
        <v>24</v>
      </c>
      <c r="I209" s="68" t="n">
        <v>4</v>
      </c>
      <c r="J209" s="69" t="n">
        <v>3</v>
      </c>
      <c r="K209" s="69" t="inlineStr">
        <is>
          <t>https://amazon.com/dp/B0G4MR79SY</t>
        </is>
      </c>
      <c r="L209" s="114">
        <f>HYPERLINK(Table3258[[#This Row],[Column1]])</f>
        <v/>
      </c>
    </row>
    <row r="210" ht="45" customHeight="1" s="314">
      <c r="A210" s="35" t="inlineStr">
        <is>
          <t>iCarsoft CR Genius 5'' Multi-Brand Vehicle Multi-Systems/Quick Test/Actuation Test/Touch Screen Car Diagnostic Scan Tool</t>
        </is>
      </c>
      <c r="B210" s="35" t="inlineStr">
        <is>
          <t>B09RZKRQP5</t>
        </is>
      </c>
      <c r="C210" s="35" t="inlineStr">
        <is>
          <t>Tablet</t>
        </is>
      </c>
      <c r="D210" s="359" t="n">
        <v>277.6604166666667</v>
      </c>
      <c r="E210" s="66" t="n">
        <v>98843.16</v>
      </c>
      <c r="F210" s="66" t="n">
        <v>6663.85</v>
      </c>
      <c r="G210" s="68" t="n">
        <v>307</v>
      </c>
      <c r="H210" s="70" t="n">
        <v>24</v>
      </c>
      <c r="I210" s="68" t="n">
        <v>232</v>
      </c>
      <c r="J210" s="69" t="n">
        <v>4.1</v>
      </c>
      <c r="K210" s="69" t="inlineStr">
        <is>
          <t>https://amazon.com/dp/B09RZKRQP5</t>
        </is>
      </c>
      <c r="L210" s="114">
        <f>HYPERLINK(Table3258[[#This Row],[Column1]])</f>
        <v/>
      </c>
    </row>
    <row r="211" ht="17" customHeight="1" s="314">
      <c r="A211" s="35" t="inlineStr">
        <is>
          <t>iCarsoft MBII for Mercedes Benz, Reads and Clears Trouble Codes, EPB,SAS, ETC Reset</t>
        </is>
      </c>
      <c r="B211" s="35" t="inlineStr">
        <is>
          <t>B074224KTH</t>
        </is>
      </c>
      <c r="C211" s="35" t="inlineStr">
        <is>
          <t>Tablet</t>
        </is>
      </c>
      <c r="D211" s="359" t="n">
        <v>139.2725</v>
      </c>
      <c r="E211" s="66" t="n">
        <v>57061.17999999999</v>
      </c>
      <c r="F211" s="66" t="n">
        <v>3342.54</v>
      </c>
      <c r="G211" s="68" t="n">
        <v>438</v>
      </c>
      <c r="H211" s="70" t="n">
        <v>24</v>
      </c>
      <c r="I211" s="68" t="n">
        <v>591</v>
      </c>
      <c r="J211" s="69" t="n">
        <v>4.2</v>
      </c>
      <c r="K211" s="69" t="inlineStr">
        <is>
          <t>https://amazon.com/dp/B074224KTH</t>
        </is>
      </c>
      <c r="L211" s="114">
        <f>HYPERLINK(Table3258[[#This Row],[Column1]])</f>
        <v/>
      </c>
    </row>
    <row r="212" ht="45" customHeight="1" s="314">
      <c r="A212" s="35" t="inlineStr">
        <is>
          <t>iCarsoft POR-II Porsche OBD-II Scanner Tool Multi-systems ABS SRS</t>
        </is>
      </c>
      <c r="B212" s="35" t="inlineStr">
        <is>
          <t>B011DKBXBK</t>
        </is>
      </c>
      <c r="C212" s="35" t="inlineStr">
        <is>
          <t>Tablet</t>
        </is>
      </c>
      <c r="D212" s="359" t="n">
        <v>119.64</v>
      </c>
      <c r="E212" s="66" t="n">
        <v>28897.44</v>
      </c>
      <c r="F212" s="66" t="n">
        <v>2751.72</v>
      </c>
      <c r="G212" s="68" t="n">
        <v>212</v>
      </c>
      <c r="H212" s="70" t="n">
        <v>23</v>
      </c>
      <c r="I212" s="68" t="n">
        <v>705</v>
      </c>
      <c r="J212" s="69" t="n">
        <v>4.1</v>
      </c>
      <c r="K212" s="69" t="inlineStr">
        <is>
          <t>https://amazon.com/dp/B011DKBXBK</t>
        </is>
      </c>
      <c r="L212" s="114">
        <f>HYPERLINK(Table3258[[#This Row],[Column1]])</f>
        <v/>
      </c>
    </row>
    <row r="213" ht="30" customHeight="1" s="314">
      <c r="A213" s="35" t="inlineStr">
        <is>
          <t>iCarsoft Bidirectional Scan Tool, CR Max OBD2 Diagnostic Scanner for All Vehicles, Full System 49 Resets+46 Extra Services, 40000+Active Tests,ECU Coding, Battery Registration, Oil Reset/ABS,CAN FD</t>
        </is>
      </c>
      <c r="B213" s="35" t="inlineStr">
        <is>
          <t>B0D1BJTGLL</t>
        </is>
      </c>
      <c r="C213" s="35" t="inlineStr">
        <is>
          <t>Tablet</t>
        </is>
      </c>
      <c r="D213" s="359" t="n">
        <v>365.9238095238095</v>
      </c>
      <c r="E213" s="66" t="n">
        <v>133372.8223076923</v>
      </c>
      <c r="F213" s="66" t="n">
        <v>7684.4</v>
      </c>
      <c r="G213" s="68" t="n">
        <v>337</v>
      </c>
      <c r="H213" s="70" t="n">
        <v>21</v>
      </c>
      <c r="I213" s="68" t="n">
        <v>230</v>
      </c>
      <c r="J213" s="69" t="n">
        <v>4.2</v>
      </c>
      <c r="K213" s="69" t="inlineStr">
        <is>
          <t>https://amazon.com/dp/B0D1BJTGLL</t>
        </is>
      </c>
      <c r="L213" s="114">
        <f>HYPERLINK(Table3258[[#This Row],[Column1]])</f>
        <v/>
      </c>
    </row>
    <row r="214" ht="30" customHeight="1" s="314">
      <c r="A214" s="35" t="inlineStr">
        <is>
          <t>OBD2 Scanner Diagnostic Tool for Porsche/Cayenne, iCarsoft POR V2.0 Code Reader Battery Registration for Porsche, All System in-Depth Scan, with Oil Reset/SAS/EPB/BMS/ETC/DP/BLD/INJ, Battery Test</t>
        </is>
      </c>
      <c r="B214" s="35" t="inlineStr">
        <is>
          <t>B0D766QB7N</t>
        </is>
      </c>
      <c r="C214" s="35" t="inlineStr">
        <is>
          <t>Tablet</t>
        </is>
      </c>
      <c r="D214" s="359" t="n">
        <v>142.9355</v>
      </c>
      <c r="E214" s="66" t="n">
        <v>75029.50769230768</v>
      </c>
      <c r="F214" s="66" t="n">
        <v>2858.71</v>
      </c>
      <c r="G214" s="68" t="n">
        <v>416</v>
      </c>
      <c r="H214" s="70" t="n">
        <v>20</v>
      </c>
      <c r="I214" s="68" t="n">
        <v>35</v>
      </c>
      <c r="J214" s="69" t="n">
        <v>3.9</v>
      </c>
      <c r="K214" s="69" t="inlineStr">
        <is>
          <t>https://amazon.com/dp/B0D766QB7N</t>
        </is>
      </c>
      <c r="L214" s="114">
        <f>HYPERLINK(Table3258[[#This Row],[Column1]])</f>
        <v/>
      </c>
    </row>
    <row r="215" ht="45" customHeight="1" s="314">
      <c r="A215" s="35" t="inlineStr">
        <is>
          <t>iCarsoft CR Max BT Wireless OBD2 Scanner, All System Car Diagnostic Tool, 49 Reset+Extra 46 Service, 40000+Bidirectional Tests, ECU Coding, Battery Registration,CANFD, Auto VIN, Free Update</t>
        </is>
      </c>
      <c r="B215" s="35" t="inlineStr">
        <is>
          <t>B0D1BTBQZN</t>
        </is>
      </c>
      <c r="C215" s="35" t="inlineStr">
        <is>
          <t>Tablet</t>
        </is>
      </c>
      <c r="D215" s="359" t="n">
        <v>416.338947368421</v>
      </c>
      <c r="E215" s="66" t="n">
        <v>119633.85</v>
      </c>
      <c r="F215" s="66" t="n">
        <v>7910.44</v>
      </c>
      <c r="G215" s="68" t="n">
        <v>263</v>
      </c>
      <c r="H215" s="70" t="n">
        <v>19</v>
      </c>
      <c r="I215" s="68" t="n">
        <v>76</v>
      </c>
      <c r="J215" s="69" t="n">
        <v>4.3</v>
      </c>
      <c r="K215" s="69" t="inlineStr">
        <is>
          <t>https://amazon.com/dp/B0D1BTBQZN</t>
        </is>
      </c>
      <c r="L215" s="114">
        <f>HYPERLINK(Table3258[[#This Row],[Column1]])</f>
        <v/>
      </c>
    </row>
    <row r="216" ht="30" customHeight="1" s="314">
      <c r="A216" s="35" t="inlineStr">
        <is>
          <t>iCarsoft CR Plus OBD2 Scanner Diagnostic Tool, Code Reader for ABS Transmission Engine Airbag System. Car Scan Tool with EVAP and O2 Sensor Test,On-Board,Freeze Frame,Oil Reset-Free Update</t>
        </is>
      </c>
      <c r="B216" s="35" t="inlineStr">
        <is>
          <t>B0D1CS59GX</t>
        </is>
      </c>
      <c r="C216" s="35" t="inlineStr">
        <is>
          <t>Tablet</t>
        </is>
      </c>
      <c r="D216" s="359" t="n">
        <v>203.9894444444444</v>
      </c>
      <c r="E216" s="66" t="n">
        <v>48352.04000000001</v>
      </c>
      <c r="F216" s="66" t="n">
        <v>3671.81</v>
      </c>
      <c r="G216" s="68" t="n">
        <v>231</v>
      </c>
      <c r="H216" s="70" t="n">
        <v>18</v>
      </c>
      <c r="I216" s="68" t="n">
        <v>10</v>
      </c>
      <c r="J216" s="69" t="n">
        <v>4.1</v>
      </c>
      <c r="K216" s="69" t="inlineStr">
        <is>
          <t>https://amazon.com/dp/B0D1CS59GX</t>
        </is>
      </c>
      <c r="L216" s="114">
        <f>HYPERLINK(Table3258[[#This Row],[Column1]])</f>
        <v/>
      </c>
    </row>
    <row r="217" ht="45" customHeight="1" s="314">
      <c r="A217" s="35" t="inlineStr">
        <is>
          <t>iCarsoft Professional Multi-System Auto Diagnostic Tool LR V2.0 Compatible for Landrover/Jaguar ABS SRS Oil Reset Update for LR II</t>
        </is>
      </c>
      <c r="B217" s="35" t="inlineStr">
        <is>
          <t>B0791CF7T7</t>
        </is>
      </c>
      <c r="C217" s="35" t="inlineStr">
        <is>
          <t>Tablet</t>
        </is>
      </c>
      <c r="D217" s="359" t="n">
        <v>129.6738888888889</v>
      </c>
      <c r="E217" s="66" t="n">
        <v>21470.6</v>
      </c>
      <c r="F217" s="66" t="n">
        <v>2334.13</v>
      </c>
      <c r="G217" s="68" t="n">
        <v>159</v>
      </c>
      <c r="H217" s="70" t="n">
        <v>18</v>
      </c>
      <c r="I217" s="68" t="n">
        <v>438</v>
      </c>
      <c r="J217" s="69" t="n">
        <v>4.2</v>
      </c>
      <c r="K217" s="69" t="inlineStr">
        <is>
          <t>https://amazon.com/dp/B0791CF7T7</t>
        </is>
      </c>
      <c r="L217" s="114">
        <f>HYPERLINK(Table3258[[#This Row],[Column1]])</f>
        <v/>
      </c>
    </row>
    <row r="218" ht="45" customHeight="1" s="314">
      <c r="A218" s="35" t="inlineStr">
        <is>
          <t>iCarsoft VOL V2.0 OBD2 Scanner for Volvo/SAAB, Auto in-Depth Full Systems Scan OBD2 Diagnostic Tool, 118 Graph Data/Battery Test/Reset, ABS SRS Engine Transmission Code Reader</t>
        </is>
      </c>
      <c r="B218" s="35" t="inlineStr">
        <is>
          <t>B0DJRBLN3Y</t>
        </is>
      </c>
      <c r="C218" s="35" t="inlineStr">
        <is>
          <t>Tablet</t>
        </is>
      </c>
      <c r="D218" s="359" t="n">
        <v>159.96375</v>
      </c>
      <c r="E218" s="66" t="n">
        <v>20600.64153846154</v>
      </c>
      <c r="F218" s="66" t="n">
        <v>2559.42</v>
      </c>
      <c r="G218" s="68" t="n">
        <v>109</v>
      </c>
      <c r="H218" s="70" t="n">
        <v>16</v>
      </c>
      <c r="I218" s="68" t="n">
        <v>785</v>
      </c>
      <c r="J218" s="69" t="n">
        <v>4</v>
      </c>
      <c r="K218" s="69" t="inlineStr">
        <is>
          <t>https://amazon.com/dp/B0DJRBLN3Y</t>
        </is>
      </c>
      <c r="L218" s="114">
        <f>HYPERLINK(Table3258[[#This Row],[Column1]])</f>
        <v/>
      </c>
    </row>
    <row r="219" ht="60" customHeight="1" s="314">
      <c r="A219" s="35" t="inlineStr">
        <is>
          <t>iCarsoft POR V3.0(Upgraded) Bidirectional Diagnostic Tool for Porsche, 27 Resets (234Sub-Resets) + 66 Extra Services + 1333Test Items, All System OBD2 Scanner, Battery Registration Code Reader</t>
        </is>
      </c>
      <c r="B219" s="35" t="inlineStr">
        <is>
          <t>B0FRF2ZMMG</t>
        </is>
      </c>
      <c r="C219" s="35" t="inlineStr">
        <is>
          <t>Tablet</t>
        </is>
      </c>
      <c r="D219" s="359" t="n">
        <v>223.2713333333333</v>
      </c>
      <c r="E219" s="66" t="n">
        <v>47989.57307692309</v>
      </c>
      <c r="F219" s="66" t="n">
        <v>3349.07</v>
      </c>
      <c r="G219" s="68" t="n">
        <v>91</v>
      </c>
      <c r="H219" s="70" t="n">
        <v>15</v>
      </c>
      <c r="I219" s="68" t="n">
        <v>1</v>
      </c>
      <c r="J219" s="69" t="n">
        <v>5</v>
      </c>
      <c r="K219" s="69" t="inlineStr">
        <is>
          <t>https://amazon.com/dp/B0FRF2ZMMG</t>
        </is>
      </c>
      <c r="L219" s="114">
        <f>HYPERLINK(Table3258[[#This Row],[Column1]])</f>
        <v/>
      </c>
    </row>
    <row r="220" ht="30" customHeight="1" s="314">
      <c r="A220" s="35" t="inlineStr">
        <is>
          <t>iCarsoft LR V3.0 for Land Rover/Jaguar Diagnostic Tool with auto VIN/Quick Test/Actuation Test</t>
        </is>
      </c>
      <c r="B220" s="35" t="inlineStr">
        <is>
          <t>B08R9MG5JM</t>
        </is>
      </c>
      <c r="C220" s="35" t="inlineStr">
        <is>
          <t>Tablet</t>
        </is>
      </c>
      <c r="D220" s="359" t="n">
        <v>171.7313333333333</v>
      </c>
      <c r="E220" s="66" t="n">
        <v>59752.15</v>
      </c>
      <c r="F220" s="66" t="n">
        <v>2575.97</v>
      </c>
      <c r="G220" s="68" t="n">
        <v>327</v>
      </c>
      <c r="H220" s="70" t="n">
        <v>15</v>
      </c>
      <c r="I220" s="68" t="n">
        <v>348</v>
      </c>
      <c r="J220" s="69" t="n">
        <v>3.9</v>
      </c>
      <c r="K220" s="69" t="inlineStr">
        <is>
          <t>https://amazon.com/dp/B08R9MG5JM</t>
        </is>
      </c>
      <c r="L220" s="114">
        <f>HYPERLINK(Table3258[[#This Row],[Column1]])</f>
        <v/>
      </c>
    </row>
    <row r="221" ht="45" customHeight="1" s="314">
      <c r="A221" s="35" t="inlineStr">
        <is>
          <t>iCarsoft POR V3.0 for Porsche/Cayenne Diagnostic Tool with auto VIN/Quick Test</t>
        </is>
      </c>
      <c r="B221" s="35" t="inlineStr">
        <is>
          <t>B08ZHWHKPP</t>
        </is>
      </c>
      <c r="C221" s="35" t="inlineStr">
        <is>
          <t>Tablet</t>
        </is>
      </c>
      <c r="D221" s="359" t="n">
        <v>182.366</v>
      </c>
      <c r="E221" s="66" t="n">
        <v>42975.75000000001</v>
      </c>
      <c r="F221" s="66" t="n">
        <v>2735.49</v>
      </c>
      <c r="G221" s="68" t="n">
        <v>229</v>
      </c>
      <c r="H221" s="70" t="n">
        <v>15</v>
      </c>
      <c r="I221" s="68" t="n">
        <v>152</v>
      </c>
      <c r="J221" s="69" t="n">
        <v>4</v>
      </c>
      <c r="K221" s="69" t="inlineStr">
        <is>
          <t>https://amazon.com/dp/B08ZHWHKPP</t>
        </is>
      </c>
      <c r="L221" s="114">
        <f>HYPERLINK(Table3258[[#This Row],[Column1]])</f>
        <v/>
      </c>
    </row>
    <row r="222" ht="30" customHeight="1" s="314">
      <c r="A222" s="35" t="inlineStr">
        <is>
          <t>iCarsoft Genuine Mercedes Benz I980 Professional Diagnostic Scanner Tool</t>
        </is>
      </c>
      <c r="B222" s="35" t="inlineStr">
        <is>
          <t>B00IUIDFSS</t>
        </is>
      </c>
      <c r="C222" s="35" t="inlineStr">
        <is>
          <t>Handheld</t>
        </is>
      </c>
      <c r="D222" s="359" t="n">
        <v>109.5392857142857</v>
      </c>
      <c r="E222" s="66" t="n">
        <v>18773.38</v>
      </c>
      <c r="F222" s="66" t="n">
        <v>1533.55</v>
      </c>
      <c r="G222" s="68" t="n">
        <v>168</v>
      </c>
      <c r="H222" s="70" t="n">
        <v>14</v>
      </c>
      <c r="I222" s="68" t="n">
        <v>1101</v>
      </c>
      <c r="J222" s="69" t="n">
        <v>4.2</v>
      </c>
      <c r="K222" s="69" t="inlineStr">
        <is>
          <t>https://amazon.com/dp/B00IUIDFSS</t>
        </is>
      </c>
      <c r="L222" s="114">
        <f>HYPERLINK(Table3258[[#This Row],[Column1]])</f>
        <v/>
      </c>
    </row>
    <row r="223" ht="45" customHeight="1" s="314">
      <c r="A223" s="35" t="inlineStr">
        <is>
          <t>iCarsoft MT V6 Motorcycle Diagnostic Scan Tool for Ducati, All System Diagnose Motorcycle Scanner with 101 Active Tests, 85 Maintenance Services, Read/Clear Codes,Battery Test,for 99% Ducati Models</t>
        </is>
      </c>
      <c r="B223" s="35" t="inlineStr">
        <is>
          <t>B0FPQMYTNG</t>
        </is>
      </c>
      <c r="C223" s="35" t="inlineStr">
        <is>
          <t>Tablet</t>
        </is>
      </c>
      <c r="D223" s="359" t="n">
        <v>193.6321428571428</v>
      </c>
      <c r="E223" s="66" t="n">
        <v>25249.63461538461</v>
      </c>
      <c r="F223" s="66" t="n">
        <v>2710.85</v>
      </c>
      <c r="G223" s="68" t="n">
        <v>26</v>
      </c>
      <c r="H223" s="70" t="n">
        <v>14</v>
      </c>
      <c r="I223" s="68" t="n">
        <v>1</v>
      </c>
      <c r="J223" s="69" t="n">
        <v>2</v>
      </c>
      <c r="K223" s="69" t="inlineStr">
        <is>
          <t>https://amazon.com/dp/B0FPQMYTNG</t>
        </is>
      </c>
      <c r="L223" s="114">
        <f>HYPERLINK(Table3258[[#This Row],[Column1]])</f>
        <v/>
      </c>
    </row>
    <row r="224" ht="30" customHeight="1" s="314">
      <c r="A224" s="35" t="inlineStr">
        <is>
          <t>iCarsoft POR V4.0 Bidirectional Diagnostic Tool for Porsche, All System Full Active Tests 27 Services OBD2 Scanner for Porsche, Code Reader, Auto VIN</t>
        </is>
      </c>
      <c r="B224" s="35" t="inlineStr">
        <is>
          <t>B0FKN6LJRN</t>
        </is>
      </c>
      <c r="C224" s="35" t="inlineStr">
        <is>
          <t>Tablet</t>
        </is>
      </c>
      <c r="D224" s="359" t="n">
        <v>253.6707142857143</v>
      </c>
      <c r="E224" s="66" t="n">
        <v>82848.86692307694</v>
      </c>
      <c r="F224" s="66" t="n">
        <v>3551.39</v>
      </c>
      <c r="G224" s="68" t="n">
        <v>236</v>
      </c>
      <c r="H224" s="70" t="n">
        <v>14</v>
      </c>
      <c r="I224" s="68" t="n">
        <v>11</v>
      </c>
      <c r="J224" s="69" t="n">
        <v>3.6</v>
      </c>
      <c r="K224" s="69" t="inlineStr">
        <is>
          <t>https://amazon.com/dp/B0FKN6LJRN</t>
        </is>
      </c>
      <c r="L224" s="114">
        <f>HYPERLINK(Table3258[[#This Row],[Column1]])</f>
        <v/>
      </c>
    </row>
    <row r="225" ht="30" customHeight="1" s="314">
      <c r="A225" s="35" t="inlineStr">
        <is>
          <t>iCarsoft CR Max - Wireless Professional Car Scanner Diagnostic Case for EU-Protocol Vehicles - Original Model with European Warranties</t>
        </is>
      </c>
      <c r="B225" s="35" t="inlineStr">
        <is>
          <t>B09B2M6T6N</t>
        </is>
      </c>
      <c r="C225" s="35" t="inlineStr">
        <is>
          <t>Handheld</t>
        </is>
      </c>
      <c r="D225" s="359" t="n">
        <v>398.5623076923077</v>
      </c>
      <c r="E225" s="66" t="n">
        <v>54257.19076923076</v>
      </c>
      <c r="F225" s="66" t="n">
        <v>5181.31</v>
      </c>
      <c r="G225" s="68" t="n">
        <v>82</v>
      </c>
      <c r="H225" s="70" t="n">
        <v>13</v>
      </c>
      <c r="I225" s="68" t="n">
        <v>608</v>
      </c>
      <c r="J225" s="69" t="n">
        <v>4.3</v>
      </c>
      <c r="K225" s="69" t="inlineStr">
        <is>
          <t>https://amazon.com/dp/B09B2M6T6N</t>
        </is>
      </c>
      <c r="L225" s="114">
        <f>HYPERLINK(Table3258[[#This Row],[Column1]])</f>
        <v/>
      </c>
    </row>
    <row r="226" ht="45" customHeight="1" s="314">
      <c r="A226" s="35" t="inlineStr">
        <is>
          <t>iCarsoft CR MAX 2026 Ver Bidirectional Scan Tool All System Diagnosis 49+ Services 47+ Special Functions Full Active Test OBD2 Scanner Diagnostic Tool Car Code Reader ECU Coding CAN FD Free Update</t>
        </is>
      </c>
      <c r="B226" s="35" t="inlineStr">
        <is>
          <t>B0DXLCFJ1L</t>
        </is>
      </c>
      <c r="C226" s="35" t="inlineStr">
        <is>
          <t>Tablet</t>
        </is>
      </c>
      <c r="D226" s="359" t="n">
        <v>342.5846153846154</v>
      </c>
      <c r="E226" s="66" t="n">
        <v>141980.27</v>
      </c>
      <c r="F226" s="66" t="n">
        <v>4453.6</v>
      </c>
      <c r="G226" s="68" t="n">
        <v>374</v>
      </c>
      <c r="H226" s="70" t="n">
        <v>13</v>
      </c>
      <c r="I226" s="68" t="n">
        <v>48</v>
      </c>
      <c r="J226" s="69" t="n">
        <v>4.1</v>
      </c>
      <c r="K226" s="69" t="inlineStr">
        <is>
          <t>https://amazon.com/dp/B0DXLCFJ1L</t>
        </is>
      </c>
      <c r="L226" s="114">
        <f>HYPERLINK(Table3258[[#This Row],[Column1]])</f>
        <v/>
      </c>
    </row>
    <row r="227" ht="45" customHeight="1" s="314">
      <c r="A227" s="35" t="inlineStr">
        <is>
          <t>iCarsoft US V3.0 for GM/Ford/Chrysler/Jeep Bi-Directional Scan Tool, Full System Diagnostic Code Reader Scanner, 37 Reset Functions, AUTOVIN, Full OBD2, Lifetime Free Update- 2025</t>
        </is>
      </c>
      <c r="B227" s="35" t="inlineStr">
        <is>
          <t>B07FPS53NG</t>
        </is>
      </c>
      <c r="C227" s="35" t="inlineStr">
        <is>
          <t>Tablet</t>
        </is>
      </c>
      <c r="D227" s="359" t="n">
        <v>235.3653846153846</v>
      </c>
      <c r="E227" s="66" t="n">
        <v>27809.57</v>
      </c>
      <c r="F227" s="66" t="n">
        <v>3059.75</v>
      </c>
      <c r="G227" s="68" t="n">
        <v>122</v>
      </c>
      <c r="H227" s="70" t="n">
        <v>13</v>
      </c>
      <c r="I227" s="68" t="n">
        <v>98</v>
      </c>
      <c r="J227" s="69" t="n">
        <v>4.1</v>
      </c>
      <c r="K227" s="69" t="inlineStr">
        <is>
          <t>https://amazon.com/dp/B07FPS53NG</t>
        </is>
      </c>
      <c r="L227" s="114">
        <f>HYPERLINK(Table3258[[#This Row],[Column1]])</f>
        <v/>
      </c>
    </row>
    <row r="228" ht="45" customHeight="1" s="314">
      <c r="A228" s="35" t="inlineStr">
        <is>
          <t>iCarsoft MB V3.0 Bidirectional Scan Tool for Most Mercedes-Benz/Sprinter/Smart 38+ Reset Service All System Scanner Full Active Test Quick Auto VIN Diagnostic Tool Car Code Reader with 38 Pin for Benz</t>
        </is>
      </c>
      <c r="B228" s="35" t="inlineStr">
        <is>
          <t>B0DV5F3G46</t>
        </is>
      </c>
      <c r="C228" s="35" t="inlineStr">
        <is>
          <t>Tablet</t>
        </is>
      </c>
      <c r="D228" s="359" t="n">
        <v>234.5661538461539</v>
      </c>
      <c r="E228" s="66" t="n">
        <v>90665.47999999998</v>
      </c>
      <c r="F228" s="66" t="n">
        <v>3049.36</v>
      </c>
      <c r="G228" s="68" t="n">
        <v>368</v>
      </c>
      <c r="H228" s="70" t="n">
        <v>13</v>
      </c>
      <c r="I228" s="68" t="n">
        <v>17</v>
      </c>
      <c r="J228" s="69" t="n">
        <v>4.1</v>
      </c>
      <c r="K228" s="69" t="inlineStr">
        <is>
          <t>https://amazon.com/dp/B0DV5F3G46</t>
        </is>
      </c>
      <c r="L228" s="114">
        <f>HYPERLINK(Table3258[[#This Row],[Column1]])</f>
        <v/>
      </c>
    </row>
    <row r="229" ht="45" customHeight="1" s="314">
      <c r="A229" s="35" t="inlineStr">
        <is>
          <t>iCarsoft MT V6 Motorcycle Diagnostic Tool for BMW Full System 115 Reset /197 Actuation Test, Motorbike+Car OBD2 Scanner Code Reader with ABS Bleeding, Throttle Valve Reset, Battery Test, AutoVIN</t>
        </is>
      </c>
      <c r="B229" s="35" t="inlineStr">
        <is>
          <t>B0DGCGXZBJ</t>
        </is>
      </c>
      <c r="C229" s="35" t="inlineStr">
        <is>
          <t>Tablet</t>
        </is>
      </c>
      <c r="D229" s="359" t="n">
        <v>200.6853846153846</v>
      </c>
      <c r="E229" s="66" t="n">
        <v>38132.44</v>
      </c>
      <c r="F229" s="66" t="n">
        <v>2608.91</v>
      </c>
      <c r="G229" s="68" t="n">
        <v>156</v>
      </c>
      <c r="H229" s="70" t="n">
        <v>13</v>
      </c>
      <c r="I229" s="68" t="n">
        <v>7</v>
      </c>
      <c r="J229" s="69" t="n">
        <v>2.2</v>
      </c>
      <c r="K229" s="69" t="inlineStr">
        <is>
          <t>https://amazon.com/dp/B0DGCGXZBJ</t>
        </is>
      </c>
      <c r="L229" s="114">
        <f>HYPERLINK(Table3258[[#This Row],[Column1]])</f>
        <v/>
      </c>
    </row>
    <row r="230" ht="30" customHeight="1" s="314">
      <c r="A230" s="35" t="inlineStr">
        <is>
          <t>OBD2 Scanner AUTO Diagnostic Tool iCarsoft MB V1.0 for Benz/Sprinter/Smart, Full System ABS/SRS/Transmission/Check Engine Car Code Reader, MIL/SAS/Oil Reset/Battery Test/Live Data</t>
        </is>
      </c>
      <c r="B230" s="35" t="inlineStr">
        <is>
          <t>B07FCLPFNZ</t>
        </is>
      </c>
      <c r="C230" s="35" t="inlineStr">
        <is>
          <t>Handheld</t>
        </is>
      </c>
      <c r="D230" s="359" t="n">
        <v>128.3</v>
      </c>
      <c r="E230" s="66" t="n">
        <v>32584.54</v>
      </c>
      <c r="F230" s="66" t="n">
        <v>1539.6</v>
      </c>
      <c r="G230" s="68" t="n">
        <v>263</v>
      </c>
      <c r="H230" s="70" t="n">
        <v>12</v>
      </c>
      <c r="I230" s="68" t="n">
        <v>55</v>
      </c>
      <c r="J230" s="69" t="n">
        <v>3.9</v>
      </c>
      <c r="K230" s="69" t="inlineStr">
        <is>
          <t>https://amazon.com/dp/B07FCLPFNZ</t>
        </is>
      </c>
      <c r="L230" s="114">
        <f>HYPERLINK(Table3258[[#This Row],[Column1]])</f>
        <v/>
      </c>
    </row>
    <row r="231" ht="45" customHeight="1" s="314">
      <c r="A231" s="35" t="inlineStr">
        <is>
          <t>Auto Diagnostic Scanner iCarsoft VOL V2.0 for Volvo/SAAB with ABS Scan,Oil Reset, ABS Bleeding, Injector Coding ect</t>
        </is>
      </c>
      <c r="B231" s="35" t="inlineStr">
        <is>
          <t>B07F36NJ5K</t>
        </is>
      </c>
      <c r="C231" s="35" t="inlineStr">
        <is>
          <t>Tablet</t>
        </is>
      </c>
      <c r="D231" s="359" t="n">
        <v>135.57</v>
      </c>
      <c r="E231" s="66" t="n">
        <v>18238.22</v>
      </c>
      <c r="F231" s="66" t="n">
        <v>1626.84</v>
      </c>
      <c r="G231" s="68" t="n">
        <v>130</v>
      </c>
      <c r="H231" s="70" t="n">
        <v>12</v>
      </c>
      <c r="I231" s="68" t="n">
        <v>239</v>
      </c>
      <c r="J231" s="69" t="n">
        <v>3.8</v>
      </c>
      <c r="K231" s="69" t="inlineStr">
        <is>
          <t>https://amazon.com/dp/B07F36NJ5K</t>
        </is>
      </c>
      <c r="L231" s="114">
        <f>HYPERLINK(Table3258[[#This Row],[Column1]])</f>
        <v/>
      </c>
    </row>
    <row r="232" ht="30" customHeight="1" s="314">
      <c r="A232" s="35" t="inlineStr">
        <is>
          <t>iCarsoft BMM V4.0 Bidirectional OBD2 Scanner for BMW/Rolls-Royce/Mini+ 2 Extra Brand, Diagnostic Scan Tool with ECU Coding 14 Resets, Full System Code Reader, Battery Registration, 4-in-1 Live Data</t>
        </is>
      </c>
      <c r="B232" s="35" t="inlineStr">
        <is>
          <t>B0FWXN93N5</t>
        </is>
      </c>
      <c r="C232" s="35" t="inlineStr">
        <is>
          <t>Tablet</t>
        </is>
      </c>
      <c r="D232" s="359" t="n">
        <v>252.5818181818182</v>
      </c>
      <c r="E232" s="66" t="n">
        <v>27556.90538461539</v>
      </c>
      <c r="F232" s="66" t="n">
        <v>2778.4</v>
      </c>
      <c r="G232" s="68" t="n">
        <v>28</v>
      </c>
      <c r="H232" s="70" t="n">
        <v>11</v>
      </c>
      <c r="I232" s="68" t="n"/>
      <c r="J232" s="69" t="n"/>
      <c r="K232" s="69" t="inlineStr">
        <is>
          <t>https://amazon.com/dp/B0FWXN93N5</t>
        </is>
      </c>
      <c r="L232" s="114">
        <f>HYPERLINK(Table3258[[#This Row],[Column1]])</f>
        <v/>
      </c>
    </row>
    <row r="233" ht="45" customHeight="1" s="314">
      <c r="A233" s="35" t="inlineStr">
        <is>
          <t>Auto Diagnostic Scanner iCarsoft FD V1.0 for Ford/Holden, ABS, SRS, Oil Service Reset ect (Red)</t>
        </is>
      </c>
      <c r="B233" s="35" t="inlineStr">
        <is>
          <t>B07L4FQK8V</t>
        </is>
      </c>
      <c r="C233" s="35" t="inlineStr">
        <is>
          <t>Handheld</t>
        </is>
      </c>
      <c r="D233" s="359" t="n">
        <v>88.75272727272727</v>
      </c>
      <c r="E233" s="66" t="n">
        <v>13090.39615384615</v>
      </c>
      <c r="F233" s="66" t="n">
        <v>976.28</v>
      </c>
      <c r="G233" s="68" t="n">
        <v>90</v>
      </c>
      <c r="H233" s="70" t="n">
        <v>11</v>
      </c>
      <c r="I233" s="68" t="n">
        <v>25</v>
      </c>
      <c r="J233" s="69" t="n">
        <v>4</v>
      </c>
      <c r="K233" s="69" t="inlineStr">
        <is>
          <t>https://amazon.com/dp/B07L4FQK8V</t>
        </is>
      </c>
      <c r="L233" s="114">
        <f>HYPERLINK(Table3258[[#This Row],[Column1]])</f>
        <v/>
      </c>
    </row>
    <row r="234" ht="45" customHeight="1" s="314">
      <c r="A234" s="35" t="inlineStr">
        <is>
          <t>iCarsoft i906 Compatible for Volvo/Saab OBD2 Diagnostic Scanner Multi-System Engine ABS SRS</t>
        </is>
      </c>
      <c r="B234" s="35" t="inlineStr">
        <is>
          <t>B00S8KJHBM</t>
        </is>
      </c>
      <c r="C234" s="35" t="inlineStr">
        <is>
          <t>Handheld</t>
        </is>
      </c>
      <c r="D234" s="359" t="n">
        <v>102.5018181818182</v>
      </c>
      <c r="E234" s="66" t="n">
        <v>20082.02</v>
      </c>
      <c r="F234" s="66" t="n">
        <v>1127.52</v>
      </c>
      <c r="G234" s="68" t="n">
        <v>194</v>
      </c>
      <c r="H234" s="70" t="n">
        <v>11</v>
      </c>
      <c r="I234" s="68" t="n">
        <v>219</v>
      </c>
      <c r="J234" s="69" t="n">
        <v>4.2</v>
      </c>
      <c r="K234" s="69" t="inlineStr">
        <is>
          <t>https://amazon.com/dp/B00S8KJHBM</t>
        </is>
      </c>
      <c r="L234" s="114">
        <f>HYPERLINK(Table3258[[#This Row],[Column1]])</f>
        <v/>
      </c>
    </row>
    <row r="235" ht="30" customHeight="1" s="314">
      <c r="A235" s="35" t="inlineStr">
        <is>
          <t>iCarsoft HD V3.0 Heavy Duty Diesel Truck Diagnostic Scanner Tool Code Reader</t>
        </is>
      </c>
      <c r="B235" s="35" t="inlineStr">
        <is>
          <t>B08V8Q2WH4</t>
        </is>
      </c>
      <c r="C235" s="35" t="inlineStr">
        <is>
          <t>Handheld</t>
        </is>
      </c>
      <c r="D235" s="359" t="n">
        <v>107.9863636363636</v>
      </c>
      <c r="E235" s="66" t="n">
        <v>20017.11</v>
      </c>
      <c r="F235" s="66" t="n">
        <v>1187.85</v>
      </c>
      <c r="G235" s="68" t="n">
        <v>194</v>
      </c>
      <c r="H235" s="70" t="n">
        <v>11</v>
      </c>
      <c r="I235" s="68" t="n">
        <v>313</v>
      </c>
      <c r="J235" s="69" t="n">
        <v>4.1</v>
      </c>
      <c r="K235" s="69" t="inlineStr">
        <is>
          <t>https://amazon.com/dp/B08V8Q2WH4</t>
        </is>
      </c>
      <c r="L235" s="114">
        <f>HYPERLINK(Table3258[[#This Row],[Column1]])</f>
        <v/>
      </c>
    </row>
    <row r="236" ht="30" customHeight="1" s="314">
      <c r="A236" s="35" t="inlineStr">
        <is>
          <t>iCarsoft OBD2 Scanner POR V1.0 for Porsche/Cayenne/Macan/911, All System Diagnostic Tool Oil/SAS Reset Battery Test 10 OBD2/EOBD Modes CAN Car Scan Code Reader/DTC/Live Data/Freeze Frame</t>
        </is>
      </c>
      <c r="B236" s="35" t="inlineStr">
        <is>
          <t>B0DMN93FH3</t>
        </is>
      </c>
      <c r="C236" s="35" t="inlineStr">
        <is>
          <t>Handheld</t>
        </is>
      </c>
      <c r="D236" s="359" t="n">
        <v>125.184</v>
      </c>
      <c r="E236" s="66" t="n">
        <v>22387.74</v>
      </c>
      <c r="F236" s="66" t="n">
        <v>1251.84</v>
      </c>
      <c r="G236" s="68" t="n">
        <v>172</v>
      </c>
      <c r="H236" s="70" t="n">
        <v>10</v>
      </c>
      <c r="I236" s="68" t="n">
        <v>12</v>
      </c>
      <c r="J236" s="69" t="n">
        <v>4.4</v>
      </c>
      <c r="K236" s="69" t="inlineStr">
        <is>
          <t>https://amazon.com/dp/B0DMN93FH3</t>
        </is>
      </c>
      <c r="L236" s="114">
        <f>HYPERLINK(Table3258[[#This Row],[Column1]])</f>
        <v/>
      </c>
    </row>
    <row r="237" ht="30" customHeight="1" s="314">
      <c r="A237" s="35" t="inlineStr">
        <is>
          <t>iCarsoft MT V6 Motorcycle Diagnostic Scan Tool for Harley, 57 Reset Services, 43 Actuation Test, Battery Test, All Motorbike System Diagnose, Read/Clear Codes, Live Data,Also Car OBD2 Diagnose</t>
        </is>
      </c>
      <c r="B237" s="35" t="inlineStr">
        <is>
          <t>B0FRFFNCZ9</t>
        </is>
      </c>
      <c r="C237" s="35" t="inlineStr">
        <is>
          <t>Tablet</t>
        </is>
      </c>
      <c r="D237" s="359" t="n">
        <v>218.659</v>
      </c>
      <c r="E237" s="66" t="n">
        <v>23252.26769230769</v>
      </c>
      <c r="F237" s="66" t="n">
        <v>2186.59</v>
      </c>
      <c r="G237" s="68" t="n">
        <v>14</v>
      </c>
      <c r="H237" s="70" t="n">
        <v>10</v>
      </c>
      <c r="I237" s="68" t="n">
        <v>2</v>
      </c>
      <c r="J237" s="69" t="n">
        <v>5</v>
      </c>
      <c r="K237" s="69" t="inlineStr">
        <is>
          <t>https://amazon.com/dp/B0FRFFNCZ9</t>
        </is>
      </c>
      <c r="L237" s="114">
        <f>HYPERLINK(Table3258[[#This Row],[Column1]])</f>
        <v/>
      </c>
    </row>
    <row r="238" ht="45" customHeight="1" s="314">
      <c r="A238" s="35" t="inlineStr">
        <is>
          <t>iCarsoft Heavy Duty Truck Scanner HD V3.0 All System Diesel Diagnostic Scan Tool Battery Test Code Reader for Freightliner, Paccar, International, Mack, Volvo, Hino, Isuzu, Cummins Heavy Duty Trucks</t>
        </is>
      </c>
      <c r="B238" s="35" t="inlineStr">
        <is>
          <t>B075FL11NQ</t>
        </is>
      </c>
      <c r="C238" s="35" t="inlineStr">
        <is>
          <t>Handheld</t>
        </is>
      </c>
      <c r="D238" s="359" t="n">
        <v>109.24</v>
      </c>
      <c r="E238" s="66" t="n">
        <v>33922.97</v>
      </c>
      <c r="F238" s="66" t="n">
        <v>1092.4</v>
      </c>
      <c r="G238" s="68" t="n">
        <v>270</v>
      </c>
      <c r="H238" s="70" t="n">
        <v>10</v>
      </c>
      <c r="I238" s="68" t="n">
        <v>110</v>
      </c>
      <c r="J238" s="69" t="n">
        <v>3.8</v>
      </c>
      <c r="K238" s="69" t="inlineStr">
        <is>
          <t>https://amazon.com/dp/B075FL11NQ</t>
        </is>
      </c>
      <c r="L238" s="114">
        <f>HYPERLINK(Table3258[[#This Row],[Column1]])</f>
        <v/>
      </c>
    </row>
    <row r="239" ht="45" customHeight="1" s="314">
      <c r="A239" s="35" t="inlineStr">
        <is>
          <t>iCarsoft VOL V3.0 for Volvo/Saab Diagnostic Tool with auto VIN/Quick Test/Actuation Test</t>
        </is>
      </c>
      <c r="B239" s="35" t="inlineStr">
        <is>
          <t>B08V8L1VXB</t>
        </is>
      </c>
      <c r="C239" s="35" t="inlineStr">
        <is>
          <t>Tablet</t>
        </is>
      </c>
      <c r="D239" s="359" t="n">
        <v>168.7288888888889</v>
      </c>
      <c r="E239" s="66" t="n">
        <v>22091.21769230769</v>
      </c>
      <c r="F239" s="66" t="n">
        <v>1518.56</v>
      </c>
      <c r="G239" s="68" t="n">
        <v>113</v>
      </c>
      <c r="H239" s="70" t="n">
        <v>9</v>
      </c>
      <c r="I239" s="68" t="n">
        <v>64</v>
      </c>
      <c r="J239" s="69" t="n">
        <v>3.7</v>
      </c>
      <c r="K239" s="69" t="inlineStr">
        <is>
          <t>https://amazon.com/dp/B08V8L1VXB</t>
        </is>
      </c>
      <c r="L239" s="114">
        <f>HYPERLINK(Table3258[[#This Row],[Column1]])</f>
        <v/>
      </c>
    </row>
    <row r="240" ht="45" customHeight="1" s="314">
      <c r="A240" s="35" t="inlineStr">
        <is>
          <t>OBD2 Scanner Diagnostic Tool for Most Porsche from 1996-2019, iCarsoft POR II Car Code Reader, Full System Diagnosis Car Scan Tool with Oil Reset/EPB/DP/ETC/SAS, Live Data Graph-Free Update/Repair</t>
        </is>
      </c>
      <c r="B240" s="35" t="inlineStr">
        <is>
          <t>B0D769KZ59</t>
        </is>
      </c>
      <c r="C240" s="35" t="inlineStr">
        <is>
          <t>Tablet</t>
        </is>
      </c>
      <c r="D240" s="359" t="n">
        <v>168.5322222222222</v>
      </c>
      <c r="E240" s="66" t="n">
        <v>16498.03384615385</v>
      </c>
      <c r="F240" s="66" t="n">
        <v>1516.79</v>
      </c>
      <c r="G240" s="68" t="n">
        <v>90</v>
      </c>
      <c r="H240" s="70" t="n">
        <v>9</v>
      </c>
      <c r="I240" s="68" t="n">
        <v>21</v>
      </c>
      <c r="J240" s="69" t="n">
        <v>3.9</v>
      </c>
      <c r="K240" s="69" t="inlineStr">
        <is>
          <t>https://amazon.com/dp/B0D769KZ59</t>
        </is>
      </c>
      <c r="L240" s="114">
        <f>HYPERLINK(Table3258[[#This Row],[Column1]])</f>
        <v/>
      </c>
    </row>
    <row r="241" ht="45" customHeight="1" s="314">
      <c r="A241" s="35" t="inlineStr">
        <is>
          <t>OBD2 Scanner for Toyota/Honda (Acura) /Lexus, iCarsoft JP V3.0 All Reset+Full System Diagnostic Scan Car Code Reader for Nissan/Infiniti/Mitsubishi/Mazda/Suzuki/Hyundai</t>
        </is>
      </c>
      <c r="B241" s="35" t="inlineStr">
        <is>
          <t>B0FKGHKXHC</t>
        </is>
      </c>
      <c r="C241" s="35" t="inlineStr">
        <is>
          <t>Tablet</t>
        </is>
      </c>
      <c r="D241" s="359" t="n">
        <v>228.3966666666667</v>
      </c>
      <c r="E241" s="66" t="n">
        <v>15662.72692307692</v>
      </c>
      <c r="F241" s="66" t="n">
        <v>2055.57</v>
      </c>
      <c r="G241" s="68" t="n">
        <v>36</v>
      </c>
      <c r="H241" s="70" t="n">
        <v>9</v>
      </c>
      <c r="I241" s="68" t="n">
        <v>1</v>
      </c>
      <c r="J241" s="69" t="n">
        <v>5</v>
      </c>
      <c r="K241" s="69" t="inlineStr">
        <is>
          <t>https://amazon.com/dp/B0FKGHKXHC</t>
        </is>
      </c>
      <c r="L241" s="114">
        <f>HYPERLINK(Table3258[[#This Row],[Column1]])</f>
        <v/>
      </c>
    </row>
    <row r="242" ht="45" customHeight="1" s="314">
      <c r="A242" s="35" t="inlineStr">
        <is>
          <t>iCarsoft CR MAX 2026 Version Bidirectional Scan Tools Full System Diagnosis 49 Services All Active Test OBD2 Scanner Diagnostic Tool Car Code Reader ECU Coding CAN FD Free Update for 10000+ Vehicles</t>
        </is>
      </c>
      <c r="B242" s="35" t="inlineStr">
        <is>
          <t>B0FZ89PCWN</t>
        </is>
      </c>
      <c r="C242" s="35" t="inlineStr">
        <is>
          <t>Tablet</t>
        </is>
      </c>
      <c r="D242" s="359" t="n">
        <v>451.39</v>
      </c>
      <c r="E242" s="66" t="n">
        <v>49478.79384615386</v>
      </c>
      <c r="F242" s="66" t="n">
        <v>4062.51</v>
      </c>
      <c r="G242" s="68" t="n">
        <v>45</v>
      </c>
      <c r="H242" s="70" t="n">
        <v>9</v>
      </c>
      <c r="I242" s="68" t="n">
        <v>1</v>
      </c>
      <c r="J242" s="69" t="n">
        <v>5</v>
      </c>
      <c r="K242" s="69" t="inlineStr">
        <is>
          <t>https://amazon.com/dp/B0FZ89PCWN</t>
        </is>
      </c>
      <c r="L242" s="114">
        <f>HYPERLINK(Table3258[[#This Row],[Column1]])</f>
        <v/>
      </c>
    </row>
    <row r="243" ht="45" customHeight="1" s="314">
      <c r="A243" s="35" t="inlineStr">
        <is>
          <t>iCarsoft VAWS V3.0 2026 Bidirectional Scan Tool for VW, Audi, Bentley, Bugatti, Seat, MAN LD, Skoda and etc, 40 Special Services Full Systems OBD2 Diagnostic Scanner ECU Coding in-Depth Code Reader</t>
        </is>
      </c>
      <c r="B243" s="35" t="inlineStr">
        <is>
          <t>B0DNMJSBM3</t>
        </is>
      </c>
      <c r="C243" s="35" t="inlineStr">
        <is>
          <t>Tablet</t>
        </is>
      </c>
      <c r="D243" s="359" t="n">
        <v>227.085</v>
      </c>
      <c r="E243" s="66" t="n">
        <v>45328.77</v>
      </c>
      <c r="F243" s="66" t="n">
        <v>1816.68</v>
      </c>
      <c r="G243" s="68" t="n">
        <v>206</v>
      </c>
      <c r="H243" s="70" t="n">
        <v>8</v>
      </c>
      <c r="I243" s="68" t="n">
        <v>40</v>
      </c>
      <c r="J243" s="69" t="n">
        <v>4.1</v>
      </c>
      <c r="K243" s="69" t="inlineStr">
        <is>
          <t>https://amazon.com/dp/B0DNMJSBM3</t>
        </is>
      </c>
      <c r="L243" s="114">
        <f>HYPERLINK(Table3258[[#This Row],[Column1]])</f>
        <v/>
      </c>
    </row>
    <row r="244" ht="45" customHeight="1" s="314">
      <c r="A244" s="35" t="inlineStr">
        <is>
          <t>iCarsoft CR MAX P Bidirectional Scan Tools 10-inch Full System Diagnostic Tool Up to 51 Services All Active Test OBD2 Scanner ECU Coding CAN FD/DoIP Free Update Car Code Reader for 10000+ Vehicles</t>
        </is>
      </c>
      <c r="B244" s="35" t="inlineStr">
        <is>
          <t>B0GLFPC298</t>
        </is>
      </c>
      <c r="C244" s="35" t="inlineStr">
        <is>
          <t>Tablet</t>
        </is>
      </c>
      <c r="D244" s="359" t="n">
        <v>663.10375</v>
      </c>
      <c r="E244" s="66" t="n">
        <v>61116.25769230769</v>
      </c>
      <c r="F244" s="66" t="n">
        <v>5304.83</v>
      </c>
      <c r="G244" s="68" t="n">
        <v>11</v>
      </c>
      <c r="H244" s="70" t="n">
        <v>8</v>
      </c>
      <c r="I244" s="68" t="n"/>
      <c r="J244" s="69" t="n"/>
      <c r="K244" s="69" t="inlineStr">
        <is>
          <t>https://amazon.com/dp/B0GLFPC298</t>
        </is>
      </c>
      <c r="L244" s="114">
        <f>HYPERLINK(Table3258[[#This Row],[Column1]])</f>
        <v/>
      </c>
    </row>
    <row r="245" ht="45" customHeight="1" s="314">
      <c r="A245" s="35" t="inlineStr">
        <is>
          <t>iCarsoft CR V2.0 Diagnostic Scan Tool for Multi-Brand Vehicles (10-19 Vehicle Choices) +Oil Reset +EPB+BMS+DPF+SAS+ETC+BLD+IN|J</t>
        </is>
      </c>
      <c r="B245" s="35" t="inlineStr">
        <is>
          <t>B07KR4KR4Z</t>
        </is>
      </c>
      <c r="C245" s="35" t="inlineStr">
        <is>
          <t>Tablet</t>
        </is>
      </c>
      <c r="D245" s="359" t="n">
        <v>157.1885714285714</v>
      </c>
      <c r="E245" s="66" t="n">
        <v>12033.01</v>
      </c>
      <c r="F245" s="66" t="n">
        <v>1100.32</v>
      </c>
      <c r="G245" s="68" t="n">
        <v>70</v>
      </c>
      <c r="H245" s="70" t="n">
        <v>7</v>
      </c>
      <c r="I245" s="68" t="n">
        <v>99</v>
      </c>
      <c r="J245" s="69" t="n">
        <v>4.1</v>
      </c>
      <c r="K245" s="69" t="inlineStr">
        <is>
          <t>https://amazon.com/dp/B07KR4KR4Z</t>
        </is>
      </c>
      <c r="L245" s="114">
        <f>HYPERLINK(Table3258[[#This Row],[Column1]])</f>
        <v/>
      </c>
    </row>
    <row r="246" ht="30" customHeight="1" s="314">
      <c r="A246" s="35" t="inlineStr">
        <is>
          <t>iCarsoft LR V2.0 Enhanced Ver Car Scan Tool for Land Rover/Jaguar and for Benz/Sprinter/Smart, All Systems in-Depth Diagnostic OBD2 Scanner Max 9 Service Battery Test 118 Live Data Fault Code Reader</t>
        </is>
      </c>
      <c r="B246" s="35" t="inlineStr">
        <is>
          <t>B0F6B9HLZ1</t>
        </is>
      </c>
      <c r="C246" s="35" t="inlineStr">
        <is>
          <t>Handheld</t>
        </is>
      </c>
      <c r="D246" s="359" t="n">
        <v>146.1314285714286</v>
      </c>
      <c r="E246" s="66" t="n">
        <v>11633.82538461538</v>
      </c>
      <c r="F246" s="66" t="n">
        <v>1022.92</v>
      </c>
      <c r="G246" s="68" t="n">
        <v>45</v>
      </c>
      <c r="H246" s="70" t="n">
        <v>7</v>
      </c>
      <c r="I246" s="68" t="n">
        <v>2</v>
      </c>
      <c r="J246" s="69" t="n">
        <v>5</v>
      </c>
      <c r="K246" s="69" t="inlineStr">
        <is>
          <t>https://amazon.com/dp/B0F6B9HLZ1</t>
        </is>
      </c>
      <c r="L246" s="114">
        <f>HYPERLINK(Table3258[[#This Row],[Column1]])</f>
        <v/>
      </c>
    </row>
    <row r="247" ht="45" customHeight="1" s="314">
      <c r="A247" s="35" t="inlineStr">
        <is>
          <t>Full System Diagnostic Scan Tool for GM Ford Chrysler Jeep, iCarsoft US V2.0 Diagnose OBD2 Code Reader-Reset/Calibration, Battery Registration for Buick/Chevrolet/Cadillac/GMC -16PIN OBDII Adapter</t>
        </is>
      </c>
      <c r="B247" s="35" t="inlineStr">
        <is>
          <t>B0DBQFYCQK</t>
        </is>
      </c>
      <c r="C247" s="35" t="inlineStr">
        <is>
          <t>Tablet</t>
        </is>
      </c>
      <c r="D247" s="359" t="n">
        <v>133.7528571428572</v>
      </c>
      <c r="E247" s="66" t="n">
        <v>20651.1</v>
      </c>
      <c r="F247" s="66" t="n">
        <v>936.27</v>
      </c>
      <c r="G247" s="68" t="n">
        <v>111</v>
      </c>
      <c r="H247" s="70" t="n">
        <v>7</v>
      </c>
      <c r="I247" s="68" t="n">
        <v>90</v>
      </c>
      <c r="J247" s="69" t="n">
        <v>4</v>
      </c>
      <c r="K247" s="69" t="inlineStr">
        <is>
          <t>https://amazon.com/dp/B0DBQFYCQK</t>
        </is>
      </c>
      <c r="L247" s="114">
        <f>HYPERLINK(Table3258[[#This Row],[Column1]])</f>
        <v/>
      </c>
    </row>
    <row r="248" ht="45" customHeight="1" s="314">
      <c r="A248" s="35" t="inlineStr">
        <is>
          <t>iCarsoft VAWS V4.0 Full System Bidirectional Diagnostic Scan Tool for Most V.A.G Models Such as VW/Audi/ect and Other 2 Car Make from 1996-2023 OBD2 Scanner Up to 51 Service Live Data Car Code Reader</t>
        </is>
      </c>
      <c r="B248" s="35" t="inlineStr">
        <is>
          <t>B0G38N7YV1</t>
        </is>
      </c>
      <c r="C248" s="35" t="inlineStr">
        <is>
          <t>Handheld</t>
        </is>
      </c>
      <c r="D248" s="359" t="n">
        <v>275.5028571428571</v>
      </c>
      <c r="E248" s="66" t="n">
        <v>25655.73846153846</v>
      </c>
      <c r="F248" s="66" t="n">
        <v>1928.52</v>
      </c>
      <c r="G248" s="68" t="n">
        <v>43</v>
      </c>
      <c r="H248" s="70" t="n">
        <v>7</v>
      </c>
      <c r="I248" s="68" t="n"/>
      <c r="J248" s="69" t="n"/>
      <c r="K248" s="69" t="inlineStr">
        <is>
          <t>https://amazon.com/dp/B0G38N7YV1</t>
        </is>
      </c>
      <c r="L248" s="114">
        <f>HYPERLINK(Table3258[[#This Row],[Column1]])</f>
        <v/>
      </c>
    </row>
    <row r="249" ht="30" customHeight="1" s="314">
      <c r="A249" s="35" t="inlineStr">
        <is>
          <t>iCarsoft VOL V3.0(New Ver) Bidirectional Diagnostic Scan Tool for Volvo/SAAB OBD2 Scanner, All System Diagnose, 29 Resets(239 Sub-Services) /Actuation Test/Battery Registration Tool-Free Update</t>
        </is>
      </c>
      <c r="B249" s="35" t="inlineStr">
        <is>
          <t>B0FNK4SW44</t>
        </is>
      </c>
      <c r="C249" s="35" t="inlineStr">
        <is>
          <t>Tablet</t>
        </is>
      </c>
      <c r="D249" s="359" t="n">
        <v>224.9166666666667</v>
      </c>
      <c r="E249" s="66" t="n">
        <v>17279.66846153847</v>
      </c>
      <c r="F249" s="66" t="n">
        <v>1349.5</v>
      </c>
      <c r="G249" s="68" t="n">
        <v>33</v>
      </c>
      <c r="H249" s="70" t="n">
        <v>6</v>
      </c>
      <c r="I249" s="68" t="n">
        <v>10</v>
      </c>
      <c r="J249" s="69" t="n">
        <v>4.1</v>
      </c>
      <c r="K249" s="69" t="inlineStr">
        <is>
          <t>https://amazon.com/dp/B0FNK4SW44</t>
        </is>
      </c>
      <c r="L249" s="114">
        <f>HYPERLINK(Table3258[[#This Row],[Column1]])</f>
        <v/>
      </c>
    </row>
    <row r="250" ht="45" customHeight="1" s="314">
      <c r="A250" s="35" t="inlineStr">
        <is>
          <t>iCarsoft MT V6 Motorcycle Diagnostic Tool for BMW Full System/115 Reset/197 Actuation Test, Motorbike OBD2 Scanner+Car Engine Code Reader, ABS Bleeding/Throttle Valve adaptation/10-Pin Adapter</t>
        </is>
      </c>
      <c r="B250" s="35" t="inlineStr">
        <is>
          <t>B0FDK6TQY5</t>
        </is>
      </c>
      <c r="C250" s="35" t="inlineStr">
        <is>
          <t>Handheld</t>
        </is>
      </c>
      <c r="D250" s="359" t="n">
        <v>199.5116666666667</v>
      </c>
      <c r="E250" s="66" t="n">
        <v>9985.513076923076</v>
      </c>
      <c r="F250" s="66" t="n">
        <v>1197.07</v>
      </c>
      <c r="G250" s="68" t="n">
        <v>30</v>
      </c>
      <c r="H250" s="70" t="n">
        <v>6</v>
      </c>
      <c r="I250" s="68" t="n">
        <v>5</v>
      </c>
      <c r="J250" s="69" t="n">
        <v>2.1</v>
      </c>
      <c r="K250" s="69" t="inlineStr">
        <is>
          <t>https://amazon.com/dp/B0FDK6TQY5</t>
        </is>
      </c>
      <c r="L250" s="114">
        <f>HYPERLINK(Table3258[[#This Row],[Column1]])</f>
        <v/>
      </c>
    </row>
    <row r="251" ht="45" customHeight="1" s="314">
      <c r="A251" s="35" t="inlineStr">
        <is>
          <t>iCarsoft MT V6 for Indian Motorcycle Full System Diagnostic Tool Motorbike and Car 2-in-1 OBD2 Scanner Engine Code Reader with 33+ Active Test of Engine, AutoVIN, Battery Test, Lifetime Free Update</t>
        </is>
      </c>
      <c r="B251" s="35" t="inlineStr">
        <is>
          <t>B0F6CGKV6K</t>
        </is>
      </c>
      <c r="C251" s="35" t="inlineStr">
        <is>
          <t>Tablet</t>
        </is>
      </c>
      <c r="D251" s="359" t="n">
        <v>231.1</v>
      </c>
      <c r="E251" s="66" t="n">
        <v>13619.63384615384</v>
      </c>
      <c r="F251" s="66" t="n">
        <v>1386.6</v>
      </c>
      <c r="G251" s="68" t="n">
        <v>37</v>
      </c>
      <c r="H251" s="70" t="n">
        <v>6</v>
      </c>
      <c r="I251" s="68" t="n">
        <v>2</v>
      </c>
      <c r="J251" s="69" t="n">
        <v>1</v>
      </c>
      <c r="K251" s="69" t="inlineStr">
        <is>
          <t>https://amazon.com/dp/B0F6CGKV6K</t>
        </is>
      </c>
      <c r="L251" s="114">
        <f>HYPERLINK(Table3258[[#This Row],[Column1]])</f>
        <v/>
      </c>
    </row>
    <row r="252" ht="30" customHeight="1" s="314">
      <c r="A252" s="35" t="inlineStr">
        <is>
          <t>iCarsoft i820 Obdii/Eobd and Can Check Engine Light Auto Diagnostic Tool New Version</t>
        </is>
      </c>
      <c r="B252" s="35" t="inlineStr">
        <is>
          <t>B071CLFHFQ</t>
        </is>
      </c>
      <c r="C252" s="35" t="inlineStr">
        <is>
          <t>Handheld</t>
        </is>
      </c>
      <c r="D252" s="359" t="n">
        <v>90.55666666666669</v>
      </c>
      <c r="E252" s="66" t="n">
        <v>2549.518461538461</v>
      </c>
      <c r="F252" s="66" t="n">
        <v>543.34</v>
      </c>
      <c r="G252" s="68" t="n">
        <v>6</v>
      </c>
      <c r="H252" s="70" t="n">
        <v>6</v>
      </c>
      <c r="I252" s="68" t="n">
        <v>19</v>
      </c>
      <c r="J252" s="69" t="n">
        <v>3.8</v>
      </c>
      <c r="K252" s="69" t="inlineStr">
        <is>
          <t>https://amazon.com/dp/B071CLFHFQ</t>
        </is>
      </c>
      <c r="L252" s="114">
        <f>HYPERLINK(Table3258[[#This Row],[Column1]])</f>
        <v/>
      </c>
    </row>
    <row r="253" ht="45" customHeight="1" s="314">
      <c r="A253" s="35" t="inlineStr">
        <is>
          <t>iCarsoft VAWS V2.0 2026 Ver OBD2 Scanner All System Diagnostic Tool for VW, Audi, Bentley, Bugatti, Seat, Man LD, Skoda and etc, 9 Special Services 118 Live Data Battery Test Check Engine Code Reader</t>
        </is>
      </c>
      <c r="B253" s="35" t="inlineStr">
        <is>
          <t>B079LZRK5Y</t>
        </is>
      </c>
      <c r="C253" s="35" t="inlineStr">
        <is>
          <t>Tablet</t>
        </is>
      </c>
      <c r="D253" s="359" t="n">
        <v>157.484</v>
      </c>
      <c r="E253" s="66" t="n">
        <v>19614.16</v>
      </c>
      <c r="F253" s="66" t="n">
        <v>787.42</v>
      </c>
      <c r="G253" s="68" t="n">
        <v>119</v>
      </c>
      <c r="H253" s="70" t="n">
        <v>5</v>
      </c>
      <c r="I253" s="68" t="n">
        <v>29</v>
      </c>
      <c r="J253" s="69" t="n">
        <v>4.5</v>
      </c>
      <c r="K253" s="69" t="inlineStr">
        <is>
          <t>https://amazon.com/dp/B079LZRK5Y</t>
        </is>
      </c>
      <c r="L253" s="114">
        <f>HYPERLINK(Table3258[[#This Row],[Column1]])</f>
        <v/>
      </c>
    </row>
    <row r="254" ht="45" customHeight="1" s="314">
      <c r="A254" s="35" t="inlineStr">
        <is>
          <t>Bidirectional Diagnostic Tool for Land Rover/Volvo, iCarsoft VOL V3.0 (Enhanced Ver) All System Active Test 42 Resets for Land Rove, 39 Resets for Volvo, OBD2 Scanner Code Reader</t>
        </is>
      </c>
      <c r="B254" s="35" t="inlineStr">
        <is>
          <t>B0F6VHLQ3Y</t>
        </is>
      </c>
      <c r="C254" s="35" t="inlineStr">
        <is>
          <t>Tablet</t>
        </is>
      </c>
      <c r="D254" s="359" t="n">
        <v>201.498</v>
      </c>
      <c r="E254" s="66" t="n">
        <v>11249.52230769231</v>
      </c>
      <c r="F254" s="66" t="n">
        <v>1007.49</v>
      </c>
      <c r="G254" s="68" t="n">
        <v>38</v>
      </c>
      <c r="H254" s="70" t="n">
        <v>5</v>
      </c>
      <c r="I254" s="68" t="n">
        <v>438</v>
      </c>
      <c r="J254" s="69" t="n">
        <v>4.2</v>
      </c>
      <c r="K254" s="69" t="inlineStr">
        <is>
          <t>https://amazon.com/dp/B0F6VHLQ3Y</t>
        </is>
      </c>
      <c r="L254" s="114">
        <f>HYPERLINK(Table3258[[#This Row],[Column1]])</f>
        <v/>
      </c>
    </row>
    <row r="255" ht="45" customHeight="1" s="314">
      <c r="A255" s="35" t="inlineStr">
        <is>
          <t>iCarsoft Wireless Bidirectional Diagnostic Tool, CR Eagle ECU Coding &amp; TPMS Programming &amp; Battery Registration, All System 49 Reset,10000+Extra Services OBD2 Scanner with 4 Sensors/Endoscope</t>
        </is>
      </c>
      <c r="B255" s="35" t="inlineStr">
        <is>
          <t>B0F1TD28WF</t>
        </is>
      </c>
      <c r="C255" s="35" t="inlineStr">
        <is>
          <t>Tablet</t>
        </is>
      </c>
      <c r="D255" s="359" t="n">
        <v>846.96</v>
      </c>
      <c r="E255" s="66" t="n">
        <v>47251.92846153846</v>
      </c>
      <c r="F255" s="66" t="n">
        <v>4234.8</v>
      </c>
      <c r="G255" s="68" t="n">
        <v>35</v>
      </c>
      <c r="H255" s="70" t="n">
        <v>5</v>
      </c>
      <c r="I255" s="68" t="n">
        <v>1</v>
      </c>
      <c r="J255" s="69" t="n">
        <v>2</v>
      </c>
      <c r="K255" s="69" t="inlineStr">
        <is>
          <t>https://amazon.com/dp/B0F1TD28WF</t>
        </is>
      </c>
      <c r="L255" s="114">
        <f>HYPERLINK(Table3258[[#This Row],[Column1]])</f>
        <v/>
      </c>
    </row>
    <row r="256" ht="45" customHeight="1" s="314">
      <c r="A256" s="35" t="inlineStr">
        <is>
          <t>iCarsoft DE V4.0 Full System Bidirectional Diagnostic Scan Tool for Most Mercedes-Benz, BMW, V.A.G and Porsche Manufacturing Group Car Models OBD2 Scanner Up to 42 Service Live Data Car Code Reader</t>
        </is>
      </c>
      <c r="B256" s="35" t="inlineStr">
        <is>
          <t>B0FS6CLZQY</t>
        </is>
      </c>
      <c r="C256" s="35" t="inlineStr">
        <is>
          <t>Handheld</t>
        </is>
      </c>
      <c r="D256" s="359" t="n">
        <v>276.424</v>
      </c>
      <c r="E256" s="66" t="n">
        <v>21351.99153846153</v>
      </c>
      <c r="F256" s="66" t="n">
        <v>1382.12</v>
      </c>
      <c r="G256" s="68" t="n">
        <v>43</v>
      </c>
      <c r="H256" s="70" t="n">
        <v>5</v>
      </c>
      <c r="I256" s="68" t="n"/>
      <c r="J256" s="69" t="n"/>
      <c r="K256" s="69" t="inlineStr">
        <is>
          <t>https://amazon.com/dp/B0FS6CLZQY</t>
        </is>
      </c>
      <c r="L256" s="114">
        <f>HYPERLINK(Table3258[[#This Row],[Column1]])</f>
        <v/>
      </c>
    </row>
    <row r="257" ht="45" customHeight="1" s="314">
      <c r="A257" s="35" t="inlineStr">
        <is>
          <t>iCarsoft CR Max BT (Enhanced) Wireless Bidirectional Diagnostic Tool, ECU Adaptation/Teach-in, 49+ Reset All System Touchscreen Battery Registration ECU Coding OBD2 Scanner with 38Pin + 20Pin Adapter</t>
        </is>
      </c>
      <c r="B257" s="35" t="inlineStr">
        <is>
          <t>B0DRJM17KL</t>
        </is>
      </c>
      <c r="C257" s="35" t="inlineStr">
        <is>
          <t>Tablet</t>
        </is>
      </c>
      <c r="D257" s="359" t="n">
        <v>478.542</v>
      </c>
      <c r="E257" s="66" t="n">
        <v>50005.79</v>
      </c>
      <c r="F257" s="66" t="n">
        <v>2392.71</v>
      </c>
      <c r="G257" s="68" t="n">
        <v>97</v>
      </c>
      <c r="H257" s="70" t="n">
        <v>5</v>
      </c>
      <c r="I257" s="68" t="n">
        <v>603</v>
      </c>
      <c r="J257" s="69" t="n">
        <v>4.3</v>
      </c>
      <c r="K257" s="69" t="inlineStr">
        <is>
          <t>https://amazon.com/dp/B0DRJM17KL</t>
        </is>
      </c>
      <c r="L257" s="114">
        <f>HYPERLINK(Table3258[[#This Row],[Column1]])</f>
        <v/>
      </c>
    </row>
    <row r="258" ht="17" customHeight="1" s="314">
      <c r="A258" s="35" t="inlineStr">
        <is>
          <t>iCarsoft BMM V1.0 2025 Version for BMW/MINI/RollsRoyce OBD2 Scanner Code Reader, Full Systems Diagnostic Scan Tool, Oil Reset + SAS Calibration Services, Lifetime Free Update</t>
        </is>
      </c>
      <c r="B258" s="35" t="inlineStr">
        <is>
          <t>B0F37X7TN5</t>
        </is>
      </c>
      <c r="C258" s="35" t="inlineStr">
        <is>
          <t>Tablet</t>
        </is>
      </c>
      <c r="D258" s="359" t="n">
        <v>122.482</v>
      </c>
      <c r="E258" s="66" t="n">
        <v>4482.96923076923</v>
      </c>
      <c r="F258" s="66" t="n">
        <v>612.41</v>
      </c>
      <c r="G258" s="68" t="n">
        <v>8</v>
      </c>
      <c r="H258" s="70" t="n">
        <v>5</v>
      </c>
      <c r="I258" s="68" t="n">
        <v>2</v>
      </c>
      <c r="J258" s="69" t="n">
        <v>2.4</v>
      </c>
      <c r="K258" s="69" t="inlineStr">
        <is>
          <t>https://amazon.com/dp/B0F37X7TN5</t>
        </is>
      </c>
      <c r="L258" s="114">
        <f>HYPERLINK(Table3258[[#This Row],[Column1]])</f>
        <v/>
      </c>
    </row>
    <row r="259" ht="45" customHeight="1" s="314">
      <c r="A259" s="35" t="inlineStr">
        <is>
          <t>Bidirectional OBD2 Diagnostic Tool for BMW/Mini/Mercedes-Benz/Audi/Porsche/Volkswagen etc,2025 iCarsoft EU MAX Code Reader Scanner, All System, 44 Services</t>
        </is>
      </c>
      <c r="B259" s="35" t="inlineStr">
        <is>
          <t>B0D3H41895</t>
        </is>
      </c>
      <c r="C259" s="35" t="inlineStr">
        <is>
          <t>Tablet</t>
        </is>
      </c>
      <c r="D259" s="359" t="n">
        <v>224.578</v>
      </c>
      <c r="E259" s="66" t="n">
        <v>14817.03384615384</v>
      </c>
      <c r="F259" s="66" t="n">
        <v>1122.89</v>
      </c>
      <c r="G259" s="68" t="n">
        <v>53</v>
      </c>
      <c r="H259" s="70" t="n">
        <v>5</v>
      </c>
      <c r="I259" s="68" t="n">
        <v>5</v>
      </c>
      <c r="J259" s="69" t="n">
        <v>4.2</v>
      </c>
      <c r="K259" s="69" t="inlineStr">
        <is>
          <t>https://amazon.com/dp/B0D3H41895</t>
        </is>
      </c>
      <c r="L259" s="114">
        <f>HYPERLINK(Table3258[[#This Row],[Column1]])</f>
        <v/>
      </c>
    </row>
    <row r="260" ht="45" customHeight="1" s="314">
      <c r="A260" s="35" t="inlineStr">
        <is>
          <t>iCarsoft DE V4.0 Bidirectional Diagnostic Scan Tool for Most Mercedes-Benz, BMW, V.A.G, Porsche Group Car Models from 1996-2023 All System OBD2 Scanner 44 Service Live Data Code Reader Free Update</t>
        </is>
      </c>
      <c r="B260" s="35" t="inlineStr">
        <is>
          <t>B0GBVY2B12</t>
        </is>
      </c>
      <c r="C260" s="35" t="inlineStr">
        <is>
          <t>Handheld</t>
        </is>
      </c>
      <c r="D260" s="359" t="n">
        <v>275.68</v>
      </c>
      <c r="E260" s="66" t="n">
        <v>14710.50230769231</v>
      </c>
      <c r="F260" s="66" t="n">
        <v>1378.4</v>
      </c>
      <c r="G260" s="68" t="n">
        <v>7</v>
      </c>
      <c r="H260" s="70" t="n">
        <v>5</v>
      </c>
      <c r="I260" s="68" t="n"/>
      <c r="J260" s="69" t="n"/>
      <c r="K260" s="69" t="inlineStr">
        <is>
          <t>https://amazon.com/dp/B0GBVY2B12</t>
        </is>
      </c>
      <c r="L260" s="114">
        <f>HYPERLINK(Table3258[[#This Row],[Column1]])</f>
        <v/>
      </c>
    </row>
    <row r="261" ht="45" customHeight="1" s="314">
      <c r="A261" s="35" t="inlineStr">
        <is>
          <t>iCarsoft i900 General Motors Gm Obd2 Car Truck Diagnostic Scanner Tool Reset Erase Fault Code</t>
        </is>
      </c>
      <c r="B261" s="35" t="inlineStr">
        <is>
          <t>B00NLM7W5U</t>
        </is>
      </c>
      <c r="C261" s="35" t="inlineStr">
        <is>
          <t>Handheld</t>
        </is>
      </c>
      <c r="D261" s="359" t="n">
        <v>93.548</v>
      </c>
      <c r="E261" s="66" t="n">
        <v>4407.08</v>
      </c>
      <c r="F261" s="66" t="n">
        <v>467.74</v>
      </c>
      <c r="G261" s="68" t="n">
        <v>38</v>
      </c>
      <c r="H261" s="70" t="n">
        <v>5</v>
      </c>
      <c r="I261" s="68" t="n">
        <v>139</v>
      </c>
      <c r="J261" s="69" t="n">
        <v>4.1</v>
      </c>
      <c r="K261" s="69" t="inlineStr">
        <is>
          <t>https://amazon.com/dp/B00NLM7W5U</t>
        </is>
      </c>
      <c r="L261" s="114">
        <f>HYPERLINK(Table3258[[#This Row],[Column1]])</f>
        <v/>
      </c>
    </row>
    <row r="262" ht="30" customHeight="1" s="314">
      <c r="A262" s="35" t="inlineStr">
        <is>
          <t>iCarsoft CR MAX 2025 Bidirectional Scan Tool All System 49+ Services and 47+ Special Functions Full Active Test OBD2 Scanner Diagnostic Tool Car Code Reader CAN FD with 38 Pin for Benz 20 Pin for BMW</t>
        </is>
      </c>
      <c r="B262" s="35" t="inlineStr">
        <is>
          <t>B0DNPHMWL2</t>
        </is>
      </c>
      <c r="C262" s="35" t="inlineStr">
        <is>
          <t>Tablet</t>
        </is>
      </c>
      <c r="D262" s="359" t="n">
        <v>391.42</v>
      </c>
      <c r="E262" s="66" t="n">
        <v>56137.97</v>
      </c>
      <c r="F262" s="66" t="n">
        <v>1957.1</v>
      </c>
      <c r="G262" s="68" t="n">
        <v>116</v>
      </c>
      <c r="H262" s="70" t="n">
        <v>5</v>
      </c>
      <c r="I262" s="68" t="n">
        <v>48</v>
      </c>
      <c r="J262" s="69" t="n">
        <v>4.1</v>
      </c>
      <c r="K262" s="69" t="inlineStr">
        <is>
          <t>https://amazon.com/dp/B0DNPHMWL2</t>
        </is>
      </c>
      <c r="L262" s="114">
        <f>HYPERLINK(Table3258[[#This Row],[Column1]])</f>
        <v/>
      </c>
    </row>
    <row r="263" ht="45" customHeight="1" s="314">
      <c r="A263" s="35" t="inlineStr">
        <is>
          <t>iCarsoft Auto Diagnostic Scanner BMM V1.0 for BMW&amp;Mini Test Oil Reset, SAS Reset New Version of i910 (red)</t>
        </is>
      </c>
      <c r="B263" s="35" t="inlineStr">
        <is>
          <t>B075FKTX16</t>
        </is>
      </c>
      <c r="C263" s="35" t="inlineStr">
        <is>
          <t>Handheld</t>
        </is>
      </c>
      <c r="D263" s="359" t="n">
        <v>68.71599999999999</v>
      </c>
      <c r="E263" s="66" t="n">
        <v>9325.631538461539</v>
      </c>
      <c r="F263" s="66" t="n">
        <v>343.58</v>
      </c>
      <c r="G263" s="68" t="n">
        <v>88</v>
      </c>
      <c r="H263" s="70" t="n">
        <v>5</v>
      </c>
      <c r="I263" s="68" t="n">
        <v>34</v>
      </c>
      <c r="J263" s="69" t="n">
        <v>3.6</v>
      </c>
      <c r="K263" s="69" t="inlineStr">
        <is>
          <t>https://amazon.com/dp/B075FKTX16</t>
        </is>
      </c>
      <c r="L263" s="114">
        <f>HYPERLINK(Table3258[[#This Row],[Column1]])</f>
        <v/>
      </c>
    </row>
    <row r="264" ht="45" customHeight="1" s="314">
      <c r="A264" s="35" t="inlineStr">
        <is>
          <t>iCarsoft CR Pro Diagnostic Scan Tool,Professional Multi-Brand Multi-System Car Diagnostic Tools</t>
        </is>
      </c>
      <c r="B264" s="35" t="inlineStr">
        <is>
          <t>B07MS14X7K</t>
        </is>
      </c>
      <c r="C264" s="35" t="inlineStr">
        <is>
          <t>Tablet</t>
        </is>
      </c>
      <c r="D264" s="359" t="n">
        <v>195.358</v>
      </c>
      <c r="E264" s="66" t="n">
        <v>13514.42</v>
      </c>
      <c r="F264" s="66" t="n">
        <v>976.79</v>
      </c>
      <c r="G264" s="68" t="n">
        <v>58</v>
      </c>
      <c r="H264" s="70" t="n">
        <v>5</v>
      </c>
      <c r="I264" s="68" t="n">
        <v>786</v>
      </c>
      <c r="J264" s="69" t="n">
        <v>4</v>
      </c>
      <c r="K264" s="69" t="inlineStr">
        <is>
          <t>https://amazon.com/dp/B07MS14X7K</t>
        </is>
      </c>
      <c r="L264" s="114">
        <f>HYPERLINK(Table3258[[#This Row],[Column1]])</f>
        <v/>
      </c>
    </row>
    <row r="265" ht="60" customHeight="1" s="314">
      <c r="A265" s="35" t="inlineStr">
        <is>
          <t>iCarsoft CR Max + Free Screen Protector - Professional Multibrand Automotive Diagnostic Scanner - Read/Erase Faults Codes - Reset Oil Service - Coding &amp; Programming</t>
        </is>
      </c>
      <c r="B265" s="35" t="inlineStr">
        <is>
          <t>B09RGBD8BQ</t>
        </is>
      </c>
      <c r="C265" s="35" t="inlineStr">
        <is>
          <t>Tablet</t>
        </is>
      </c>
      <c r="D265" s="359" t="n">
        <v>406.3575</v>
      </c>
      <c r="E265" s="66" t="n">
        <v>19557.39</v>
      </c>
      <c r="F265" s="66" t="n">
        <v>1625.43</v>
      </c>
      <c r="G265" s="68" t="n">
        <v>57</v>
      </c>
      <c r="H265" s="70" t="n">
        <v>4</v>
      </c>
      <c r="I265" s="68" t="n">
        <v>107</v>
      </c>
      <c r="J265" s="69" t="n">
        <v>3.8</v>
      </c>
      <c r="K265" s="69" t="inlineStr">
        <is>
          <t>https://amazon.com/dp/B09RGBD8BQ</t>
        </is>
      </c>
      <c r="L265" s="114">
        <f>HYPERLINK(Table3258[[#This Row],[Column1]])</f>
        <v/>
      </c>
    </row>
    <row r="266" ht="60" customHeight="1" s="314">
      <c r="A266" s="35" t="inlineStr">
        <is>
          <t>iCarsoft HD V3.0 Heavy Duty Truck Multi-Systems Scanner, OBD2 Scanner for Diesel Trucks, 2-in-1 Code Reader for Truck &amp; Car with Full OBD2 Modes, Diagnostic Tool with 16/6/9 Pin Adapter</t>
        </is>
      </c>
      <c r="B266" s="35" t="inlineStr">
        <is>
          <t>B0F9XZXSYZ</t>
        </is>
      </c>
      <c r="C266" s="35" t="inlineStr">
        <is>
          <t>Handheld</t>
        </is>
      </c>
      <c r="D266" s="359" t="n">
        <v>104.145</v>
      </c>
      <c r="E266" s="66" t="n">
        <v>3749.341538461538</v>
      </c>
      <c r="F266" s="66" t="n">
        <v>416.58</v>
      </c>
      <c r="G266" s="68" t="n">
        <v>21</v>
      </c>
      <c r="H266" s="70" t="n">
        <v>4</v>
      </c>
      <c r="I266" s="68" t="n">
        <v>2</v>
      </c>
      <c r="J266" s="69" t="n">
        <v>2</v>
      </c>
      <c r="K266" s="69" t="inlineStr">
        <is>
          <t>https://amazon.com/dp/B0F9XZXSYZ</t>
        </is>
      </c>
      <c r="L266" s="114">
        <f>HYPERLINK(Table3258[[#This Row],[Column1]])</f>
        <v/>
      </c>
    </row>
    <row r="267" ht="17" customHeight="1" s="314">
      <c r="A267" s="35" t="inlineStr">
        <is>
          <t>iCarsoft CR Pro Multi-Systems Diagnostic Scan Tool for Multi-Brand Vehicles +Oil Reset+EPB+BMS++SAS+ETC+BLD+INJ</t>
        </is>
      </c>
      <c r="B267" s="35" t="inlineStr">
        <is>
          <t>B07KR4GZXN</t>
        </is>
      </c>
      <c r="C267" s="35" t="inlineStr">
        <is>
          <t>Tablet</t>
        </is>
      </c>
      <c r="D267" s="359" t="n">
        <v>257.765</v>
      </c>
      <c r="E267" s="66" t="n">
        <v>12481.62</v>
      </c>
      <c r="F267" s="66" t="n">
        <v>1031.06</v>
      </c>
      <c r="G267" s="68" t="n">
        <v>50</v>
      </c>
      <c r="H267" s="70" t="n">
        <v>4</v>
      </c>
      <c r="I267" s="68" t="n">
        <v>689</v>
      </c>
      <c r="J267" s="69" t="n">
        <v>3.9</v>
      </c>
      <c r="K267" s="69" t="inlineStr">
        <is>
          <t>https://amazon.com/dp/B07KR4GZXN</t>
        </is>
      </c>
      <c r="L267" s="114">
        <f>HYPERLINK(Table3258[[#This Row],[Column1]])</f>
        <v/>
      </c>
    </row>
    <row r="268" ht="45" customHeight="1" s="314">
      <c r="A268" s="35" t="inlineStr">
        <is>
          <t>iCarsoft OBD2 Scanner for Volvo/Saab, VOL V1.0 All Systems in-Depth Diagnostic Tool, Oil/SAS Reset/Live Data, ABS Airbag Engine Transmission Code Reader 10 OBD2/EOBD/CAN Scan Tool</t>
        </is>
      </c>
      <c r="B268" s="35" t="inlineStr">
        <is>
          <t>B0DMNMDHLC</t>
        </is>
      </c>
      <c r="C268" s="35" t="inlineStr">
        <is>
          <t>Handheld</t>
        </is>
      </c>
      <c r="D268" s="359" t="n">
        <v>121.615</v>
      </c>
      <c r="E268" s="66" t="n">
        <v>10088.44</v>
      </c>
      <c r="F268" s="66" t="n">
        <v>486.46</v>
      </c>
      <c r="G268" s="68" t="n">
        <v>80</v>
      </c>
      <c r="H268" s="70" t="n">
        <v>4</v>
      </c>
      <c r="I268" s="68" t="n">
        <v>25</v>
      </c>
      <c r="J268" s="69" t="n">
        <v>4</v>
      </c>
      <c r="K268" s="69" t="inlineStr">
        <is>
          <t>https://amazon.com/dp/B0DMNMDHLC</t>
        </is>
      </c>
      <c r="L268" s="114">
        <f>HYPERLINK(Table3258[[#This Row],[Column1]])</f>
        <v/>
      </c>
    </row>
    <row r="269" ht="45" customHeight="1" s="314">
      <c r="A269" s="35" t="inlineStr">
        <is>
          <t>iCarsoft 2025 BMM V2.0 OBD2 Scanner for BMW/Mini/Rolls-Royce, Full System Diagnostic Tool Code Reader with 9 Resets-Oil/SAS/EPB/BMS/ETC/D.P.F/BLD/INJ/TPMS, AutoVIN Battery Test, Lifetime Update</t>
        </is>
      </c>
      <c r="B269" s="35" t="inlineStr">
        <is>
          <t>B0DZCHFKB2</t>
        </is>
      </c>
      <c r="C269" s="35" t="inlineStr">
        <is>
          <t>Tablet</t>
        </is>
      </c>
      <c r="D269" s="359" t="n">
        <v>179.8825</v>
      </c>
      <c r="E269" s="66" t="n">
        <v>7446.466153846153</v>
      </c>
      <c r="F269" s="66" t="n">
        <v>719.53</v>
      </c>
      <c r="G269" s="68" t="n">
        <v>30</v>
      </c>
      <c r="H269" s="70" t="n">
        <v>4</v>
      </c>
      <c r="I269" s="68" t="n">
        <v>118</v>
      </c>
      <c r="J269" s="69" t="n">
        <v>3.7</v>
      </c>
      <c r="K269" s="69" t="inlineStr">
        <is>
          <t>https://amazon.com/dp/B0DZCHFKB2</t>
        </is>
      </c>
      <c r="L269" s="114">
        <f>HYPERLINK(Table3258[[#This Row],[Column1]])</f>
        <v/>
      </c>
    </row>
    <row r="270" ht="45" customHeight="1" s="314">
      <c r="A270" s="35" t="inlineStr">
        <is>
          <t>iCarsoft JP V4.0 Bidirectional Diagnostic Tool for Japanese/Korean Cars (Honda/Toyota/Nissan/Kia etc), All System 47 Services + Active Test OBD2 Scanner, Battery Registration</t>
        </is>
      </c>
      <c r="B270" s="35" t="inlineStr">
        <is>
          <t>B0G39N8Q3C</t>
        </is>
      </c>
      <c r="C270" s="35" t="inlineStr">
        <is>
          <t>Tablet</t>
        </is>
      </c>
      <c r="D270" s="359" t="n">
        <v>270.47</v>
      </c>
      <c r="E270" s="66" t="n">
        <v>13053.48615384616</v>
      </c>
      <c r="F270" s="66" t="n">
        <v>1081.88</v>
      </c>
      <c r="G270" s="68" t="n">
        <v>14</v>
      </c>
      <c r="H270" s="70" t="n">
        <v>4</v>
      </c>
      <c r="I270" s="68" t="n"/>
      <c r="J270" s="69" t="n"/>
      <c r="K270" s="69" t="inlineStr">
        <is>
          <t>https://amazon.com/dp/B0G39N8Q3C</t>
        </is>
      </c>
      <c r="L270" s="114">
        <f>HYPERLINK(Table3258[[#This Row],[Column1]])</f>
        <v/>
      </c>
    </row>
    <row r="271" ht="30" customHeight="1" s="314">
      <c r="A271" s="35" t="inlineStr">
        <is>
          <t>iCarsoft OBD2 Scanner for Landrover/Jaguar 9 Reset Functions Oil Reset BMS TPMS etc, Full System Diagnostic Tool with Airbag Transmission Scan, Battery Test/Live Data, LR V2.0 Car Code Reader</t>
        </is>
      </c>
      <c r="B271" s="35" t="inlineStr">
        <is>
          <t>B0D9XZYH44</t>
        </is>
      </c>
      <c r="C271" s="35" t="inlineStr">
        <is>
          <t>Tablet</t>
        </is>
      </c>
      <c r="D271" s="359" t="n">
        <v>153.0433333333333</v>
      </c>
      <c r="E271" s="66" t="n">
        <v>31041.39</v>
      </c>
      <c r="F271" s="66" t="n">
        <v>459.13</v>
      </c>
      <c r="G271" s="68" t="n">
        <v>186</v>
      </c>
      <c r="H271" s="70" t="n">
        <v>3</v>
      </c>
      <c r="I271" s="68" t="n">
        <v>13</v>
      </c>
      <c r="J271" s="69" t="n">
        <v>3.8</v>
      </c>
      <c r="K271" s="69" t="inlineStr">
        <is>
          <t>https://amazon.com/dp/B0D9XZYH44</t>
        </is>
      </c>
      <c r="L271" s="114">
        <f>HYPERLINK(Table3258[[#This Row],[Column1]])</f>
        <v/>
      </c>
    </row>
    <row r="272" ht="45" customHeight="1" s="314">
      <c r="A272" s="35" t="inlineStr">
        <is>
          <t>iCarsoft LR II Compatible for Landrover/Jaguar OBD II Scanner Tool Multi Systems ABS SRS Oil Reset</t>
        </is>
      </c>
      <c r="B272" s="35" t="inlineStr">
        <is>
          <t>B010ODE238</t>
        </is>
      </c>
      <c r="C272" s="35" t="inlineStr">
        <is>
          <t>Tablet</t>
        </is>
      </c>
      <c r="D272" s="359" t="n">
        <v>130.82</v>
      </c>
      <c r="E272" s="66" t="n">
        <v>2384.05</v>
      </c>
      <c r="F272" s="66" t="n">
        <v>392.46</v>
      </c>
      <c r="G272" s="68" t="n">
        <v>16</v>
      </c>
      <c r="H272" s="70" t="n">
        <v>3</v>
      </c>
      <c r="I272" s="68" t="n">
        <v>178</v>
      </c>
      <c r="J272" s="69" t="n">
        <v>4.2</v>
      </c>
      <c r="K272" s="69" t="inlineStr">
        <is>
          <t>https://amazon.com/dp/B010ODE238</t>
        </is>
      </c>
      <c r="L272" s="114">
        <f>HYPERLINK(Table3258[[#This Row],[Column1]])</f>
        <v/>
      </c>
    </row>
    <row r="273" ht="45" customHeight="1" s="314">
      <c r="A273" s="35" t="inlineStr">
        <is>
          <t>iCarsoft CR Pro+ | Outil Diagnostic Automobile Multimarques OBD2 | Lecture et effacements Codes défauts | Reset FAP | Codage Injecteurs | Purge ABS et autres fonctions</t>
        </is>
      </c>
      <c r="B273" s="35" t="inlineStr">
        <is>
          <t>B0BHZL5CB6</t>
        </is>
      </c>
      <c r="C273" s="35" t="inlineStr">
        <is>
          <t>Tablet</t>
        </is>
      </c>
      <c r="D273" s="359" t="n">
        <v>205.92</v>
      </c>
      <c r="E273" s="66" t="n">
        <v>17872.26</v>
      </c>
      <c r="F273" s="66" t="n">
        <v>617.76</v>
      </c>
      <c r="G273" s="68" t="n">
        <v>73</v>
      </c>
      <c r="H273" s="70" t="n">
        <v>3</v>
      </c>
      <c r="I273" s="68" t="n">
        <v>118</v>
      </c>
      <c r="J273" s="69" t="n">
        <v>4.2</v>
      </c>
      <c r="K273" s="69" t="inlineStr">
        <is>
          <t>https://amazon.com/dp/B0BHZL5CB6</t>
        </is>
      </c>
      <c r="L273" s="114">
        <f>HYPERLINK(Table3258[[#This Row],[Column1]])</f>
        <v/>
      </c>
    </row>
    <row r="274" ht="45" customHeight="1" s="314">
      <c r="A274" s="35" t="inlineStr">
        <is>
          <t>iCarsoft i800 Plus OBD2 Scanner Diagnostic Tool with Component Test/118 Live Data/Reset CEL/Battery Test/Freeze Frame/VIN, Code Reader for All Cars Full OBD2 Functions, Fuel System Scan Tool para Auto</t>
        </is>
      </c>
      <c r="B274" s="35" t="inlineStr">
        <is>
          <t>B0C4KTVRW8</t>
        </is>
      </c>
      <c r="C274" s="35" t="inlineStr">
        <is>
          <t>Handheld</t>
        </is>
      </c>
      <c r="D274" s="359" t="n">
        <v>73.85666666666667</v>
      </c>
      <c r="E274" s="66" t="n">
        <v>2896.58</v>
      </c>
      <c r="F274" s="66" t="n">
        <v>221.57</v>
      </c>
      <c r="G274" s="68" t="n">
        <v>44</v>
      </c>
      <c r="H274" s="70" t="n">
        <v>3</v>
      </c>
      <c r="I274" s="68" t="n">
        <v>19</v>
      </c>
      <c r="J274" s="69" t="n">
        <v>4.1</v>
      </c>
      <c r="K274" s="69" t="inlineStr">
        <is>
          <t>https://amazon.com/dp/B0C4KTVRW8</t>
        </is>
      </c>
      <c r="L274" s="114">
        <f>HYPERLINK(Table3258[[#This Row],[Column1]])</f>
        <v/>
      </c>
    </row>
    <row r="275" ht="60" customHeight="1" s="314">
      <c r="A275" s="35" t="inlineStr">
        <is>
          <t>Motorcycle Bidirectional Diagnostic Scan Tool for Kawasaki, iCarsoft MT V6 All System Motor OBD2 Scanner- All Actuation Tests, Special Functions, Battery Test, Also for Car OBD2 Diagnose-Upgraded Ver</t>
        </is>
      </c>
      <c r="B275" s="35" t="inlineStr">
        <is>
          <t>B0F62P4KTL</t>
        </is>
      </c>
      <c r="C275" s="35" t="inlineStr">
        <is>
          <t>Tablet</t>
        </is>
      </c>
      <c r="D275" s="359" t="n">
        <v>178.8433333333333</v>
      </c>
      <c r="E275" s="66" t="n">
        <v>8873.836923076924</v>
      </c>
      <c r="F275" s="66" t="n">
        <v>536.53</v>
      </c>
      <c r="G275" s="68" t="n">
        <v>34</v>
      </c>
      <c r="H275" s="70" t="n">
        <v>3</v>
      </c>
      <c r="I275" s="68" t="n">
        <v>4</v>
      </c>
      <c r="J275" s="69" t="n">
        <v>2.7</v>
      </c>
      <c r="K275" s="69" t="inlineStr">
        <is>
          <t>https://amazon.com/dp/B0F62P4KTL</t>
        </is>
      </c>
      <c r="L275" s="114">
        <f>HYPERLINK(Table3258[[#This Row],[Column1]])</f>
        <v/>
      </c>
    </row>
    <row r="276" ht="45" customHeight="1" s="314">
      <c r="A276" s="35" t="inlineStr">
        <is>
          <t>iCarsoft VDSP2000 USB Videoscope, 0.21'' Camera Len, Waterproof HD Borescope Inspection Camera, 39.37'',LED Light, Industrial HD Endoscope Work with CR Ultra,CR Unicorn,CR Unicorn S, CR MAX, CR MAX BT</t>
        </is>
      </c>
      <c r="B276" s="35" t="inlineStr">
        <is>
          <t>B0FRD886R8</t>
        </is>
      </c>
      <c r="C276" s="35" t="inlineStr">
        <is>
          <t>Other</t>
        </is>
      </c>
      <c r="D276" s="359" t="n">
        <v>43.22</v>
      </c>
      <c r="E276" s="66" t="n">
        <v>1954.109230769232</v>
      </c>
      <c r="F276" s="66" t="n">
        <v>129.66</v>
      </c>
      <c r="G276" s="68" t="n">
        <v>22</v>
      </c>
      <c r="H276" s="70" t="n">
        <v>3</v>
      </c>
      <c r="I276" s="68" t="n"/>
      <c r="J276" s="69" t="n"/>
      <c r="K276" s="69" t="inlineStr">
        <is>
          <t>https://amazon.com/dp/B0FRD886R8</t>
        </is>
      </c>
      <c r="L276" s="114">
        <f>HYPERLINK(Table3258[[#This Row],[Column1]])</f>
        <v/>
      </c>
    </row>
    <row r="277" ht="45" customHeight="1" s="314">
      <c r="A277" s="35" t="inlineStr">
        <is>
          <t>iCarsoft 14-Pin OBDII Diagnostic Cable Adapter for Sprinter - 14 Pin to 16 Pin Connector, Car Male to Female OBD2 Cord</t>
        </is>
      </c>
      <c r="B277" s="35" t="inlineStr">
        <is>
          <t>B0DRYV74PS</t>
        </is>
      </c>
      <c r="C277" s="35" t="inlineStr">
        <is>
          <t>Cable/Adapter</t>
        </is>
      </c>
      <c r="D277" s="359" t="n">
        <v>18.38333333333333</v>
      </c>
      <c r="E277" s="66" t="n">
        <v>685.2061538461537</v>
      </c>
      <c r="F277" s="66" t="n">
        <v>55.15</v>
      </c>
      <c r="G277" s="68" t="n">
        <v>19</v>
      </c>
      <c r="H277" s="70" t="n">
        <v>3</v>
      </c>
      <c r="I277" s="68" t="n"/>
      <c r="J277" s="69" t="n"/>
      <c r="K277" s="69" t="inlineStr">
        <is>
          <t>https://amazon.com/dp/B0DRYV74PS</t>
        </is>
      </c>
      <c r="L277" s="114">
        <f>HYPERLINK(Table3258[[#This Row],[Column1]])</f>
        <v/>
      </c>
    </row>
    <row r="278" ht="30" customHeight="1" s="314">
      <c r="A278" s="35" t="inlineStr">
        <is>
          <t>iCarsoft MT V6 for Honda Motorcycle Full System Diagnostic Tool 7 Service Motorbike and Car 2-in-1 OBD2 Scanner Engine Code Reader with AutoVIN, Battery Test, Lifetime Free Update</t>
        </is>
      </c>
      <c r="B278" s="35" t="inlineStr">
        <is>
          <t>B0F6C7X9GP</t>
        </is>
      </c>
      <c r="C278" s="35" t="inlineStr">
        <is>
          <t>Handheld</t>
        </is>
      </c>
      <c r="D278" s="359" t="n">
        <v>232.78</v>
      </c>
      <c r="E278" s="66" t="n">
        <v>4269.776153846154</v>
      </c>
      <c r="F278" s="66" t="n">
        <v>698.34</v>
      </c>
      <c r="G278" s="68" t="n">
        <v>8</v>
      </c>
      <c r="H278" s="70" t="n">
        <v>3</v>
      </c>
      <c r="I278" s="68" t="n"/>
      <c r="J278" s="69" t="n"/>
      <c r="K278" s="69" t="inlineStr">
        <is>
          <t>https://amazon.com/dp/B0F6C7X9GP</t>
        </is>
      </c>
      <c r="L278" s="114">
        <f>HYPERLINK(Table3258[[#This Row],[Column1]])</f>
        <v/>
      </c>
    </row>
    <row r="279" ht="45" customHeight="1" s="314">
      <c r="A279" s="35" t="inlineStr">
        <is>
          <t>iCarsoft VAWS V2.0</t>
        </is>
      </c>
      <c r="B279" s="35" t="inlineStr">
        <is>
          <t>B07B8C8J8N</t>
        </is>
      </c>
      <c r="C279" s="35" t="inlineStr">
        <is>
          <t>Tablet</t>
        </is>
      </c>
      <c r="D279" s="359" t="n">
        <v>146.6066666666667</v>
      </c>
      <c r="E279" s="66" t="n">
        <v>6359.820000000001</v>
      </c>
      <c r="F279" s="66" t="n">
        <v>439.82</v>
      </c>
      <c r="G279" s="68" t="n">
        <v>45</v>
      </c>
      <c r="H279" s="70" t="n">
        <v>3</v>
      </c>
      <c r="I279" s="68" t="n">
        <v>229</v>
      </c>
      <c r="J279" s="69" t="n">
        <v>4</v>
      </c>
      <c r="K279" s="69" t="inlineStr">
        <is>
          <t>https://amazon.com/dp/B07B8C8J8N</t>
        </is>
      </c>
      <c r="L279" s="114">
        <f>HYPERLINK(Table3258[[#This Row],[Column1]])</f>
        <v/>
      </c>
    </row>
    <row r="280" ht="45" customHeight="1" s="314">
      <c r="A280" s="35" t="inlineStr">
        <is>
          <t>iCarsoft FR V4.0 Bidirectional Scan Tool for French Brand Cars (Peugeo/Dacia/Citroen/Renault/Fiat)+ 2 Extra Car Brands, 45+ Resets,4000+Active Test Items, All Systems Diagnose OBD2 Scanner,Live Data</t>
        </is>
      </c>
      <c r="B280" s="35" t="inlineStr">
        <is>
          <t>B0FS6G6D23</t>
        </is>
      </c>
      <c r="C280" s="35" t="inlineStr">
        <is>
          <t>Tablet</t>
        </is>
      </c>
      <c r="D280" s="359" t="n">
        <v>301.0033333333333</v>
      </c>
      <c r="E280" s="66" t="n">
        <v>9240.171538461538</v>
      </c>
      <c r="F280" s="66" t="n">
        <v>903.01</v>
      </c>
      <c r="G280" s="68" t="n">
        <v>9</v>
      </c>
      <c r="H280" s="70" t="n">
        <v>3</v>
      </c>
      <c r="I280" s="68" t="n">
        <v>3</v>
      </c>
      <c r="J280" s="69" t="n">
        <v>3.7</v>
      </c>
      <c r="K280" s="69" t="inlineStr">
        <is>
          <t>https://amazon.com/dp/B0FS6G6D23</t>
        </is>
      </c>
      <c r="L280" s="114">
        <f>HYPERLINK(Table3258[[#This Row],[Column1]])</f>
        <v/>
      </c>
    </row>
    <row r="281" ht="45" customHeight="1" s="314">
      <c r="A281" s="35" t="inlineStr">
        <is>
          <t>iCarsoft POR II-D OBD2 Full System Diagnostic Tool for Porsche, with Oil/EPB/DP/ETC/SAS Reset, Real-Time Data Display &amp; Free Lifetime Update</t>
        </is>
      </c>
      <c r="B281" s="35" t="inlineStr">
        <is>
          <t>B0DZ65TH1G</t>
        </is>
      </c>
      <c r="C281" s="35" t="inlineStr">
        <is>
          <t>Tablet</t>
        </is>
      </c>
      <c r="D281" s="359" t="n">
        <v>141.2266666666667</v>
      </c>
      <c r="E281" s="66" t="n">
        <v>4809.446153846154</v>
      </c>
      <c r="F281" s="66" t="n">
        <v>423.68</v>
      </c>
      <c r="G281" s="68" t="n">
        <v>20</v>
      </c>
      <c r="H281" s="70" t="n">
        <v>3</v>
      </c>
      <c r="I281" s="68" t="n"/>
      <c r="J281" s="69" t="n"/>
      <c r="K281" s="69" t="inlineStr">
        <is>
          <t>https://amazon.com/dp/B0DZ65TH1G</t>
        </is>
      </c>
      <c r="L281" s="114">
        <f>HYPERLINK(Table3258[[#This Row],[Column1]])</f>
        <v/>
      </c>
    </row>
    <row r="282" ht="30" customHeight="1" s="314">
      <c r="A282" s="35" t="inlineStr">
        <is>
          <t>iCarsoft VAWS V3.0 Enhanced Ver Bidirectional Scan Tool for VW, Audi, Bentley, Bugatti, Seat, Skoda and for Porsche, All Systems Diagnostic OBD2 Scanner Max 42 Service Full Active Test Code Reader</t>
        </is>
      </c>
      <c r="B282" s="35" t="inlineStr">
        <is>
          <t>B0F6BB5RWX</t>
        </is>
      </c>
      <c r="C282" s="35" t="inlineStr">
        <is>
          <t>Tablet</t>
        </is>
      </c>
      <c r="D282" s="359" t="n">
        <v>235.9666666666667</v>
      </c>
      <c r="E282" s="66" t="n">
        <v>17106.65461538462</v>
      </c>
      <c r="F282" s="66" t="n">
        <v>707.9</v>
      </c>
      <c r="G282" s="68" t="n">
        <v>58</v>
      </c>
      <c r="H282" s="70" t="n">
        <v>3</v>
      </c>
      <c r="I282" s="68" t="n">
        <v>38</v>
      </c>
      <c r="J282" s="69" t="n">
        <v>4.1</v>
      </c>
      <c r="K282" s="69" t="inlineStr">
        <is>
          <t>https://amazon.com/dp/B0F6BB5RWX</t>
        </is>
      </c>
      <c r="L282" s="114">
        <f>HYPERLINK(Table3258[[#This Row],[Column1]])</f>
        <v/>
      </c>
    </row>
    <row r="283" ht="30" customHeight="1" s="314">
      <c r="A283" s="35" t="inlineStr">
        <is>
          <t>iCarsoft POR V3.0(Enhanced) Bidirectional Diagnostic Tool for Porsche/BMW, All System, 27 Resets (234 Sub-Resets) + Extra Services +1333 Test Items for Porsche, 16 Reset +ECU Coding for BMW</t>
        </is>
      </c>
      <c r="B283" s="35" t="inlineStr">
        <is>
          <t>B0FRFKT73F</t>
        </is>
      </c>
      <c r="C283" s="35" t="inlineStr">
        <is>
          <t>Tablet</t>
        </is>
      </c>
      <c r="D283" s="359" t="n">
        <v>207.4666666666667</v>
      </c>
      <c r="E283" s="66" t="n">
        <v>8261.231538461536</v>
      </c>
      <c r="F283" s="66" t="n">
        <v>622.4</v>
      </c>
      <c r="G283" s="68" t="n">
        <v>19</v>
      </c>
      <c r="H283" s="70" t="n">
        <v>3</v>
      </c>
      <c r="I283" s="68" t="n">
        <v>152</v>
      </c>
      <c r="J283" s="69" t="n">
        <v>4</v>
      </c>
      <c r="K283" s="69" t="inlineStr">
        <is>
          <t>https://amazon.com/dp/B0FRFKT73F</t>
        </is>
      </c>
      <c r="L283" s="114">
        <f>HYPERLINK(Table3258[[#This Row],[Column1]])</f>
        <v/>
      </c>
    </row>
    <row r="284" ht="30" customHeight="1" s="314">
      <c r="A284" s="35" t="inlineStr">
        <is>
          <t>iCarsoft VAWS V4.0 Bidirectional Diagnostic Scan Tool for Most V.A.G Models as VW/Audi/ect and Other 2 Car Make All System OBD2 Scanner Up to 51 Service Live Data Code Reader AUTO VIN Free Update</t>
        </is>
      </c>
      <c r="B284" s="35" t="inlineStr">
        <is>
          <t>B0GC5BF6MQ</t>
        </is>
      </c>
      <c r="C284" s="35" t="inlineStr">
        <is>
          <t>Handheld</t>
        </is>
      </c>
      <c r="D284" s="359" t="n">
        <v>235.0033333333333</v>
      </c>
      <c r="E284" s="66" t="n">
        <v>8144.343076923078</v>
      </c>
      <c r="F284" s="66" t="n">
        <v>705.01</v>
      </c>
      <c r="G284" s="68" t="n">
        <v>4</v>
      </c>
      <c r="H284" s="70" t="n">
        <v>3</v>
      </c>
      <c r="I284" s="68" t="n"/>
      <c r="J284" s="69" t="n"/>
      <c r="K284" s="69" t="inlineStr">
        <is>
          <t>https://amazon.com/dp/B0GC5BF6MQ</t>
        </is>
      </c>
      <c r="L284" s="114">
        <f>HYPERLINK(Table3258[[#This Row],[Column1]])</f>
        <v/>
      </c>
    </row>
    <row r="285" ht="45" customHeight="1" s="314">
      <c r="A285" s="35" t="inlineStr">
        <is>
          <t>MB V3.0 for Mercedes-Benz/Sprinter/Smart Diagnostic Tool with auto VIN/Quick Test</t>
        </is>
      </c>
      <c r="B285" s="35" t="inlineStr">
        <is>
          <t>B08ZH9T8C7</t>
        </is>
      </c>
      <c r="C285" s="35" t="inlineStr">
        <is>
          <t>Tablet</t>
        </is>
      </c>
      <c r="D285" s="359" t="n">
        <v>170.0866666666667</v>
      </c>
      <c r="E285" s="66" t="n">
        <v>53722.16923076924</v>
      </c>
      <c r="F285" s="66" t="n">
        <v>510.26</v>
      </c>
      <c r="G285" s="68" t="n">
        <v>316</v>
      </c>
      <c r="H285" s="70" t="n">
        <v>3</v>
      </c>
      <c r="I285" s="68" t="n">
        <v>406</v>
      </c>
      <c r="J285" s="69" t="n">
        <v>3.8</v>
      </c>
      <c r="K285" s="69" t="inlineStr">
        <is>
          <t>https://amazon.com/dp/B08ZH9T8C7</t>
        </is>
      </c>
      <c r="L285" s="114">
        <f>HYPERLINK(Table3258[[#This Row],[Column1]])</f>
        <v/>
      </c>
    </row>
    <row r="286" ht="30" customHeight="1" s="314">
      <c r="A286" s="35" t="inlineStr">
        <is>
          <t>iCarsoft MT V6 Plus Motorcycle Scanner with Bidirectional Control for 21 Brands, Full System Motorcycle Diagnostic Tool, Full Resets/Actuation Test, Motorbike Code Reader+Car OBD2 Diagnostics 2 in 1</t>
        </is>
      </c>
      <c r="B286" s="35" t="inlineStr">
        <is>
          <t>B0G6CWLGQM</t>
        </is>
      </c>
      <c r="C286" s="35" t="inlineStr">
        <is>
          <t>Tablet</t>
        </is>
      </c>
      <c r="D286" s="359" t="n">
        <v>328.0833333333333</v>
      </c>
      <c r="E286" s="66" t="n">
        <v>11886.71153846154</v>
      </c>
      <c r="F286" s="66" t="n">
        <v>984.25</v>
      </c>
      <c r="G286" s="68" t="n">
        <v>3</v>
      </c>
      <c r="H286" s="70" t="n">
        <v>3</v>
      </c>
      <c r="I286" s="68" t="n">
        <v>1</v>
      </c>
      <c r="J286" s="69" t="n">
        <v>5</v>
      </c>
      <c r="K286" s="69" t="inlineStr">
        <is>
          <t>https://amazon.com/dp/B0G6CWLGQM</t>
        </is>
      </c>
      <c r="L286" s="114">
        <f>HYPERLINK(Table3258[[#This Row],[Column1]])</f>
        <v/>
      </c>
    </row>
    <row r="287" ht="45" customHeight="1" s="314">
      <c r="A287" s="35" t="inlineStr">
        <is>
          <t>iCarsoft Original OBD2 Main Test Cable, 16 Pin OBDII Diagnostic Test Cable, Work with iCarsoft Scanner</t>
        </is>
      </c>
      <c r="B287" s="35" t="inlineStr">
        <is>
          <t>B0G7QSH2LS</t>
        </is>
      </c>
      <c r="C287" s="35" t="inlineStr">
        <is>
          <t>Handheld</t>
        </is>
      </c>
      <c r="D287" s="359" t="n">
        <v>42.12</v>
      </c>
      <c r="E287" s="66" t="n">
        <v>1462.25</v>
      </c>
      <c r="F287" s="66" t="n">
        <v>126.36</v>
      </c>
      <c r="G287" s="68" t="n">
        <v>8</v>
      </c>
      <c r="H287" s="70" t="n">
        <v>3</v>
      </c>
      <c r="I287" s="68" t="n"/>
      <c r="J287" s="69" t="n"/>
      <c r="K287" s="69" t="inlineStr">
        <is>
          <t>https://amazon.com/dp/B0G7QSH2LS</t>
        </is>
      </c>
      <c r="L287" s="114">
        <f>HYPERLINK(Table3258[[#This Row],[Column1]])</f>
        <v/>
      </c>
    </row>
    <row r="288" ht="30" customHeight="1" s="314">
      <c r="A288" s="35" t="inlineStr">
        <is>
          <t>iCarsoft OBD II Diagnostic Tool EU Pro</t>
        </is>
      </c>
      <c r="B288" s="35" t="inlineStr">
        <is>
          <t>B07KR2QTX1</t>
        </is>
      </c>
      <c r="C288" s="35" t="inlineStr">
        <is>
          <t>Tablet</t>
        </is>
      </c>
      <c r="D288" s="359" t="n">
        <v>139.455</v>
      </c>
      <c r="E288" s="66" t="n">
        <v>5745.200000000001</v>
      </c>
      <c r="F288" s="66" t="n">
        <v>278.91</v>
      </c>
      <c r="G288" s="68" t="n">
        <v>34</v>
      </c>
      <c r="H288" s="70" t="n">
        <v>2</v>
      </c>
      <c r="I288" s="68" t="n">
        <v>186</v>
      </c>
      <c r="J288" s="69" t="n">
        <v>4</v>
      </c>
      <c r="K288" s="69" t="inlineStr">
        <is>
          <t>https://amazon.com/dp/B07KR2QTX1</t>
        </is>
      </c>
      <c r="L288" s="114">
        <f>HYPERLINK(Table3258[[#This Row],[Column1]])</f>
        <v/>
      </c>
    </row>
    <row r="289" ht="45" customHeight="1" s="314">
      <c r="A289" s="35" t="inlineStr">
        <is>
          <t>iCarsoft CR Genius(2005) OBD2 Scanner for All Vehicle, All System Scan Tool, Powerful Bidirectional Actuation Test/Full Reset/Battery Test Registration Car Code Reader, Touchscreen, Auto VIN/Scan</t>
        </is>
      </c>
      <c r="B289" s="35" t="inlineStr">
        <is>
          <t>B0DYDQ77GH</t>
        </is>
      </c>
      <c r="C289" s="35" t="inlineStr">
        <is>
          <t>Tablet</t>
        </is>
      </c>
      <c r="D289" s="359" t="n">
        <v>245.675</v>
      </c>
      <c r="E289" s="66" t="n">
        <v>1965.19</v>
      </c>
      <c r="F289" s="66" t="n">
        <v>491.35</v>
      </c>
      <c r="G289" s="68" t="n">
        <v>7</v>
      </c>
      <c r="H289" s="70" t="n">
        <v>2</v>
      </c>
      <c r="I289" s="68" t="n"/>
      <c r="J289" s="69" t="n"/>
      <c r="K289" s="69" t="inlineStr">
        <is>
          <t>https://amazon.com/dp/B0DYDQ77GH</t>
        </is>
      </c>
      <c r="L289" s="114">
        <f>HYPERLINK(Table3258[[#This Row],[Column1]])</f>
        <v/>
      </c>
    </row>
    <row r="290" ht="60" customHeight="1" s="314">
      <c r="A290" s="35" t="inlineStr">
        <is>
          <t>CR Pro S Full System Bidirectional Diagnostic Tool for All Cars, 49 Resets Touchscreen OBD2 Scanner,4000+ Active Tests/Live Data/Battery Registration Code Reader, ECU Coding for Audi/BMW/VW</t>
        </is>
      </c>
      <c r="B290" s="35" t="inlineStr">
        <is>
          <t>B0FS6TKHCP</t>
        </is>
      </c>
      <c r="C290" s="35" t="inlineStr">
        <is>
          <t>Tablet</t>
        </is>
      </c>
      <c r="D290" s="359" t="n">
        <v>419.27</v>
      </c>
      <c r="E290" s="66" t="n">
        <v>13660.65538461538</v>
      </c>
      <c r="F290" s="66" t="n">
        <v>838.54</v>
      </c>
      <c r="G290" s="68" t="n">
        <v>20</v>
      </c>
      <c r="H290" s="70" t="n">
        <v>2</v>
      </c>
      <c r="I290" s="68" t="n"/>
      <c r="J290" s="69" t="n"/>
      <c r="K290" s="69" t="inlineStr">
        <is>
          <t>https://amazon.com/dp/B0FS6TKHCP</t>
        </is>
      </c>
      <c r="L290" s="114">
        <f>HYPERLINK(Table3258[[#This Row],[Column1]])</f>
        <v/>
      </c>
    </row>
    <row r="291" ht="30" customHeight="1" s="314">
      <c r="A291" s="35" t="inlineStr">
        <is>
          <t>iCarsoft for Volvo/SAAB OBD-II Multi Systems Scanner Tool, SRS ABS Engine Oil Reset, EPB i906-II New Version</t>
        </is>
      </c>
      <c r="B291" s="35" t="inlineStr">
        <is>
          <t>B010ODE03K</t>
        </is>
      </c>
      <c r="C291" s="35" t="inlineStr">
        <is>
          <t>Tablet</t>
        </is>
      </c>
      <c r="D291" s="359" t="n">
        <v>127.92</v>
      </c>
      <c r="E291" s="66" t="n">
        <v>2280.64</v>
      </c>
      <c r="F291" s="66" t="n">
        <v>255.84</v>
      </c>
      <c r="G291" s="68" t="n">
        <v>11</v>
      </c>
      <c r="H291" s="70" t="n">
        <v>2</v>
      </c>
      <c r="I291" s="68" t="n">
        <v>109</v>
      </c>
      <c r="J291" s="69" t="n">
        <v>3.9</v>
      </c>
      <c r="K291" s="69" t="inlineStr">
        <is>
          <t>https://amazon.com/dp/B010ODE03K</t>
        </is>
      </c>
      <c r="L291" s="114">
        <f>HYPERLINK(Table3258[[#This Row],[Column1]])</f>
        <v/>
      </c>
    </row>
    <row r="292" ht="60" customHeight="1" s="314">
      <c r="A292" s="35" t="inlineStr">
        <is>
          <t>iCarsoft CR Ultra P Bidirectional Scan Tool with ECU Coding Topology Map 41+ Resets, All System Automotive Diagnostic Scanner, Upgraded Ver. of CR Ultra, Full Active Test/CANFD/DoIP/3Years Free Update</t>
        </is>
      </c>
      <c r="B292" s="35" t="inlineStr">
        <is>
          <t>B0FRMFBS1L</t>
        </is>
      </c>
      <c r="C292" s="35" t="inlineStr">
        <is>
          <t>Tablet</t>
        </is>
      </c>
      <c r="D292" s="359" t="n">
        <v>1499.935</v>
      </c>
      <c r="E292" s="66" t="n">
        <v>31455.01615384617</v>
      </c>
      <c r="F292" s="66" t="n">
        <v>2999.87</v>
      </c>
      <c r="G292" s="68" t="n">
        <v>6</v>
      </c>
      <c r="H292" s="70" t="n">
        <v>2</v>
      </c>
      <c r="I292" s="68" t="n"/>
      <c r="J292" s="69" t="n"/>
      <c r="K292" s="69" t="inlineStr">
        <is>
          <t>https://amazon.com/dp/B0FRMFBS1L</t>
        </is>
      </c>
      <c r="L292" s="114">
        <f>HYPERLINK(Table3258[[#This Row],[Column1]])</f>
        <v/>
      </c>
    </row>
    <row r="293" ht="45" customHeight="1" s="314">
      <c r="A293" s="35" t="inlineStr">
        <is>
          <t>iCarsoft Obd2 Scanner, Code Reader Car Diagnostic Tool BMM V2.0 for BMW/Mini, with Oil Service Reset, EPB, BMS, DPF, SAS, ETC, OBD II, Updated Version of i910-II</t>
        </is>
      </c>
      <c r="B293" s="35" t="inlineStr">
        <is>
          <t>B0791C1VVD</t>
        </is>
      </c>
      <c r="C293" s="35" t="inlineStr">
        <is>
          <t>Tablet</t>
        </is>
      </c>
      <c r="D293" s="359" t="n">
        <v>146.045</v>
      </c>
      <c r="E293" s="66" t="n">
        <v>12071.08</v>
      </c>
      <c r="F293" s="66" t="n">
        <v>292.09</v>
      </c>
      <c r="G293" s="68" t="n">
        <v>85</v>
      </c>
      <c r="H293" s="70" t="n">
        <v>2</v>
      </c>
      <c r="I293" s="68" t="n">
        <v>290</v>
      </c>
      <c r="J293" s="69" t="n">
        <v>4.2</v>
      </c>
      <c r="K293" s="69" t="inlineStr">
        <is>
          <t>https://amazon.com/dp/B0791C1VVD</t>
        </is>
      </c>
      <c r="L293" s="114">
        <f>HYPERLINK(Table3258[[#This Row],[Column1]])</f>
        <v/>
      </c>
    </row>
    <row r="294" ht="45" customHeight="1" s="314">
      <c r="A294" s="35" t="inlineStr">
        <is>
          <t>iCarsoft CR Pro 2025 Ver OBD2 Scanner Diagnostic Tool All System Car Scan Tool Battery Test Live Data Graph with 9 Service Oil Reset EPB BMS ETC SAS DP-F ABS TPMS Injector Coding Fault Code Reader</t>
        </is>
      </c>
      <c r="B294" s="35" t="inlineStr">
        <is>
          <t>B0F6B9YVK5</t>
        </is>
      </c>
      <c r="C294" s="35" t="inlineStr">
        <is>
          <t>Tablet</t>
        </is>
      </c>
      <c r="D294" s="359" t="n">
        <v>212.72</v>
      </c>
      <c r="E294" s="66" t="n">
        <v>5372.993846153847</v>
      </c>
      <c r="F294" s="66" t="n">
        <v>425.44</v>
      </c>
      <c r="G294" s="68" t="n">
        <v>18</v>
      </c>
      <c r="H294" s="70" t="n">
        <v>2</v>
      </c>
      <c r="I294" s="68" t="n">
        <v>38</v>
      </c>
      <c r="J294" s="69" t="n">
        <v>3.7</v>
      </c>
      <c r="K294" s="69" t="inlineStr">
        <is>
          <t>https://amazon.com/dp/B0F6B9YVK5</t>
        </is>
      </c>
      <c r="L294" s="114">
        <f>HYPERLINK(Table3258[[#This Row],[Column1]])</f>
        <v/>
      </c>
    </row>
    <row r="295" ht="60" customHeight="1" s="314">
      <c r="A295" s="35" t="inlineStr">
        <is>
          <t>iCarsoft OBD2 Scanner Diagnostic Tool for BMW/VW/Audi, BMM V2.0 (Enhanced Ver) All System 9 Maintenance Resets Battery Registration/Battery Test Code Reader Auto VIN -16PIN OBDII Adapter</t>
        </is>
      </c>
      <c r="B295" s="35" t="inlineStr">
        <is>
          <t>B0F6XKVXS1</t>
        </is>
      </c>
      <c r="C295" s="35" t="inlineStr">
        <is>
          <t>Handheld</t>
        </is>
      </c>
      <c r="D295" s="359" t="n">
        <v>154.135</v>
      </c>
      <c r="E295" s="66" t="n">
        <v>2403.837692307692</v>
      </c>
      <c r="F295" s="66" t="n">
        <v>308.27</v>
      </c>
      <c r="G295" s="68" t="n">
        <v>6</v>
      </c>
      <c r="H295" s="70" t="n">
        <v>2</v>
      </c>
      <c r="I295" s="68" t="n">
        <v>118</v>
      </c>
      <c r="J295" s="69" t="n">
        <v>3.8</v>
      </c>
      <c r="K295" s="69" t="inlineStr">
        <is>
          <t>https://amazon.com/dp/B0F6XKVXS1</t>
        </is>
      </c>
      <c r="L295" s="114">
        <f>HYPERLINK(Table3258[[#This Row],[Column1]])</f>
        <v/>
      </c>
    </row>
    <row r="296" ht="60" customHeight="1" s="314">
      <c r="A296" s="35" t="inlineStr">
        <is>
          <t>car Scanner</t>
        </is>
      </c>
      <c r="B296" s="35" t="inlineStr">
        <is>
          <t>B09YMFLHD5</t>
        </is>
      </c>
      <c r="C296" s="35" t="inlineStr">
        <is>
          <t>Tablet</t>
        </is>
      </c>
      <c r="D296" s="359" t="n">
        <v>367.53</v>
      </c>
      <c r="E296" s="66" t="n">
        <v>19267.45</v>
      </c>
      <c r="F296" s="66" t="n">
        <v>735.0599999999999</v>
      </c>
      <c r="G296" s="68" t="n">
        <v>51</v>
      </c>
      <c r="H296" s="70" t="n">
        <v>2</v>
      </c>
      <c r="I296" s="68" t="n">
        <v>200</v>
      </c>
      <c r="J296" s="69" t="n">
        <v>4</v>
      </c>
      <c r="K296" s="69" t="inlineStr">
        <is>
          <t>https://amazon.com/dp/B09YMFLHD5</t>
        </is>
      </c>
      <c r="L296" s="114">
        <f>HYPERLINK(Table3258[[#This Row],[Column1]])</f>
        <v/>
      </c>
    </row>
    <row r="297" ht="45" customHeight="1" s="314">
      <c r="A297" s="35" t="inlineStr">
        <is>
          <t>Heavy Duty Truck Scanner, iCarsoft HD V3.0 Multi-System OBD2 Diagnostic Scan Tool for Truck, Car, Mini Van, Light Duty Vehicle, Code Reader,Battery Test, Graphic Data Display-Red</t>
        </is>
      </c>
      <c r="B297" s="35" t="inlineStr">
        <is>
          <t>B07FP96X2D</t>
        </is>
      </c>
      <c r="C297" s="35" t="inlineStr">
        <is>
          <t>Handheld</t>
        </is>
      </c>
      <c r="D297" s="359" t="n">
        <v>122.81</v>
      </c>
      <c r="E297" s="66" t="n">
        <v>13258.53</v>
      </c>
      <c r="F297" s="66" t="n">
        <v>245.62</v>
      </c>
      <c r="G297" s="68" t="n">
        <v>108</v>
      </c>
      <c r="H297" s="70" t="n">
        <v>2</v>
      </c>
      <c r="I297" s="68" t="n">
        <v>34</v>
      </c>
      <c r="J297" s="69" t="n">
        <v>3.6</v>
      </c>
      <c r="K297" s="69" t="inlineStr">
        <is>
          <t>https://amazon.com/dp/B07FP96X2D</t>
        </is>
      </c>
      <c r="L297" s="114">
        <f>HYPERLINK(Table3258[[#This Row],[Column1]])</f>
        <v/>
      </c>
    </row>
    <row r="298" ht="45" customHeight="1" s="314">
      <c r="A298" s="35" t="inlineStr">
        <is>
          <t>iCarsoft JP V2.0 Diagnostic Scan Tool for Japanese Vehicles Toyota/Lexus/Scion/Isuzu/Nissan/Infiniti/Mitsubishi/Honda(Acura)/Mazda/Subaru +Oil Reset +EPB+BMS+DPF+SAS+ETC+BLD+INJ</t>
        </is>
      </c>
      <c r="B298" s="35" t="inlineStr">
        <is>
          <t>B07KR4L69G</t>
        </is>
      </c>
      <c r="C298" s="35" t="inlineStr">
        <is>
          <t>Tablet</t>
        </is>
      </c>
      <c r="D298" s="359" t="n">
        <v>125.58</v>
      </c>
      <c r="E298" s="66" t="n">
        <v>9483.02</v>
      </c>
      <c r="F298" s="66" t="n">
        <v>251.16</v>
      </c>
      <c r="G298" s="68" t="n">
        <v>62</v>
      </c>
      <c r="H298" s="70" t="n">
        <v>2</v>
      </c>
      <c r="I298" s="68" t="n">
        <v>50</v>
      </c>
      <c r="J298" s="69" t="n">
        <v>3.6</v>
      </c>
      <c r="K298" s="69" t="inlineStr">
        <is>
          <t>https://amazon.com/dp/B07KR4L69G</t>
        </is>
      </c>
      <c r="L298" s="114">
        <f>HYPERLINK(Table3258[[#This Row],[Column1]])</f>
        <v/>
      </c>
    </row>
    <row r="299" ht="30" customHeight="1" s="314">
      <c r="A299" s="35" t="inlineStr">
        <is>
          <t>iCarsoft BMM V3.0(New Ver) Diagnostic Scan Tool for BMW OBD2 Scanner, All System Bi-Directional Tests/ECU Coding Code Reader, All Resets/Battery Registration- for BMW Mini Rolls-Royce-Free Update</t>
        </is>
      </c>
      <c r="B299" s="35" t="inlineStr">
        <is>
          <t>B00NS16FIO</t>
        </is>
      </c>
      <c r="C299" s="35" t="inlineStr">
        <is>
          <t>Handheld</t>
        </is>
      </c>
      <c r="D299" s="359" t="n">
        <v>232.59</v>
      </c>
      <c r="E299" s="66" t="n">
        <v>6689.018461538464</v>
      </c>
      <c r="F299" s="66" t="n">
        <v>465.18</v>
      </c>
      <c r="G299" s="68" t="n">
        <v>18</v>
      </c>
      <c r="H299" s="70" t="n">
        <v>2</v>
      </c>
      <c r="I299" s="68" t="n">
        <v>11</v>
      </c>
      <c r="J299" s="69" t="n">
        <v>4.2</v>
      </c>
      <c r="K299" s="69" t="inlineStr">
        <is>
          <t>https://amazon.com/dp/B00NS16FIO</t>
        </is>
      </c>
      <c r="L299" s="114">
        <f>HYPERLINK(Table3258[[#This Row],[Column1]])</f>
        <v/>
      </c>
    </row>
    <row r="300" ht="45" customHeight="1" s="314">
      <c r="A300" s="35" t="inlineStr">
        <is>
          <t>iCarsoft OBD2 Scanner POR V1.0 for Porsche/Macan, All System Diagnostic Scan Tool Oil/SAS Reset Check Engine Light I/M Readiness Battery Test OBD2/CAN Car Code Reader/PCM Live Data</t>
        </is>
      </c>
      <c r="B300" s="35" t="inlineStr">
        <is>
          <t>B0DMN9WKSD</t>
        </is>
      </c>
      <c r="C300" s="35" t="inlineStr">
        <is>
          <t>Handheld</t>
        </is>
      </c>
      <c r="D300" s="359" t="n">
        <v>153.95</v>
      </c>
      <c r="E300" s="66" t="n">
        <v>13189.71</v>
      </c>
      <c r="F300" s="66" t="n">
        <v>307.9</v>
      </c>
      <c r="G300" s="68" t="n">
        <v>105</v>
      </c>
      <c r="H300" s="70" t="n">
        <v>2</v>
      </c>
      <c r="I300" s="68" t="n">
        <v>3</v>
      </c>
      <c r="J300" s="69" t="n">
        <v>2.9</v>
      </c>
      <c r="K300" s="69" t="inlineStr">
        <is>
          <t>https://amazon.com/dp/B0DMN9WKSD</t>
        </is>
      </c>
      <c r="L300" s="114">
        <f>HYPERLINK(Table3258[[#This Row],[Column1]])</f>
        <v/>
      </c>
    </row>
    <row r="301" ht="45" customHeight="1" s="314">
      <c r="A301" s="35" t="inlineStr">
        <is>
          <t>iCarsoft CR V3.0 (2026) Scan Tool Bidirectional OBD2 Scanner Diagnostic Tool for All Cars, 45 Reset,All System Diagnose, 4000+ Active Test, Battery Test-Customizable Diagnosis for 10 Car Brands</t>
        </is>
      </c>
      <c r="B301" s="35" t="inlineStr">
        <is>
          <t>B0F2HL8P5G</t>
        </is>
      </c>
      <c r="C301" s="35" t="inlineStr">
        <is>
          <t>Tablet</t>
        </is>
      </c>
      <c r="D301" s="359" t="n">
        <v>226.305</v>
      </c>
      <c r="E301" s="66" t="n">
        <v>4992.533846153846</v>
      </c>
      <c r="F301" s="66" t="n">
        <v>452.61</v>
      </c>
      <c r="G301" s="68" t="n">
        <v>18</v>
      </c>
      <c r="H301" s="70" t="n">
        <v>2</v>
      </c>
      <c r="I301" s="68" t="n">
        <v>5</v>
      </c>
      <c r="J301" s="69" t="n">
        <v>4.1</v>
      </c>
      <c r="K301" s="69" t="inlineStr">
        <is>
          <t>https://amazon.com/dp/B0F2HL8P5G</t>
        </is>
      </c>
      <c r="L301" s="114">
        <f>HYPERLINK(Table3258[[#This Row],[Column1]])</f>
        <v/>
      </c>
    </row>
    <row r="302" ht="17" customHeight="1" s="314">
      <c r="A302" s="35" t="inlineStr">
        <is>
          <t>iCarsoft OBD2 Scanner for Ford/Holden, FD V1.0 All System in-Depth Diagnostic Scan Tool, Oil/SAS Reset/Live Data, ABS Airbag Engine Transmission Code Reader OBD2/EOBD/CAN Scan Tool</t>
        </is>
      </c>
      <c r="B302" s="35" t="inlineStr">
        <is>
          <t>B0DMNZN2MZ</t>
        </is>
      </c>
      <c r="C302" s="35" t="inlineStr">
        <is>
          <t>Handheld</t>
        </is>
      </c>
      <c r="D302" s="359" t="n">
        <v>129.91</v>
      </c>
      <c r="E302" s="66" t="n">
        <v>2488.99</v>
      </c>
      <c r="F302" s="66" t="n">
        <v>129.91</v>
      </c>
      <c r="G302" s="68" t="n">
        <v>20</v>
      </c>
      <c r="H302" s="70" t="n">
        <v>1</v>
      </c>
      <c r="I302" s="68" t="n">
        <v>42</v>
      </c>
      <c r="J302" s="69" t="n">
        <v>3.8</v>
      </c>
      <c r="K302" s="69" t="inlineStr">
        <is>
          <t>https://amazon.com/dp/B0DMNZN2MZ</t>
        </is>
      </c>
      <c r="L302" s="114">
        <f>HYPERLINK(Table3258[[#This Row],[Column1]])</f>
        <v/>
      </c>
    </row>
    <row r="303" ht="45" customHeight="1" s="314">
      <c r="A303" s="35" t="inlineStr">
        <is>
          <t>iCarsoft MT V6 for Suzuki Motorcycle Bidirectional Diagnostic Tool Full System Scan Code Reader with 9 Reset/12 Active Test, Motorbike &amp; Car OBD2 Scanner/Live Data/Battery Test/AutoVIN</t>
        </is>
      </c>
      <c r="B303" s="35" t="inlineStr">
        <is>
          <t>B0F6D3JTPH</t>
        </is>
      </c>
      <c r="C303" s="35" t="inlineStr">
        <is>
          <t>Handheld</t>
        </is>
      </c>
      <c r="D303" s="359" t="n">
        <v>203.79</v>
      </c>
      <c r="E303" s="66" t="n">
        <v>2323.611538461539</v>
      </c>
      <c r="F303" s="66" t="n">
        <v>203.79</v>
      </c>
      <c r="G303" s="68" t="n">
        <v>7</v>
      </c>
      <c r="H303" s="70" t="n">
        <v>1</v>
      </c>
      <c r="I303" s="68" t="n">
        <v>2</v>
      </c>
      <c r="J303" s="69" t="n">
        <v>3</v>
      </c>
      <c r="K303" s="69" t="inlineStr">
        <is>
          <t>https://amazon.com/dp/B0F6D3JTPH</t>
        </is>
      </c>
      <c r="L303" s="114">
        <f>HYPERLINK(Table3258[[#This Row],[Column1]])</f>
        <v/>
      </c>
    </row>
    <row r="304" ht="30" customHeight="1" s="314">
      <c r="A304" s="35" t="inlineStr">
        <is>
          <t>ICarsoft i980 OBD2 Scanner for Ben.z/Sprinter/Smart, ALL System Steering Angle Reset/Oil Reset Car Diagnostic Tool Car Code Reader- Battery Test/Live Data</t>
        </is>
      </c>
      <c r="B304" s="35" t="inlineStr">
        <is>
          <t>B0F62S9ZR5</t>
        </is>
      </c>
      <c r="C304" s="35" t="inlineStr">
        <is>
          <t>Handheld</t>
        </is>
      </c>
      <c r="D304" s="359" t="n">
        <v>145.37</v>
      </c>
      <c r="E304" s="66" t="n">
        <v>1487.246923076923</v>
      </c>
      <c r="F304" s="66" t="n">
        <v>145.37</v>
      </c>
      <c r="G304" s="68" t="n">
        <v>1</v>
      </c>
      <c r="H304" s="70" t="n">
        <v>1</v>
      </c>
      <c r="I304" s="68" t="n"/>
      <c r="J304" s="69" t="n"/>
      <c r="K304" s="69" t="inlineStr">
        <is>
          <t>https://amazon.com/dp/B0F62S9ZR5</t>
        </is>
      </c>
      <c r="L304" s="114">
        <f>HYPERLINK(Table3258[[#This Row],[Column1]])</f>
        <v/>
      </c>
    </row>
    <row r="305" ht="60" customHeight="1" s="314">
      <c r="A305" s="35" t="inlineStr">
        <is>
          <t>iCarsoft Bidirectional Scan Tool CR Pro+ Enhanced Version with 38 Pin Adapter for Benz Wider Compatibility 49 Reset Service Diagnostic Tool Full Systems Code Reader In-depth Scan Tool for Control Unit</t>
        </is>
      </c>
      <c r="B305" s="35" t="inlineStr">
        <is>
          <t>B0DV5KLWXX</t>
        </is>
      </c>
      <c r="C305" s="35" t="inlineStr">
        <is>
          <t>Tablet</t>
        </is>
      </c>
      <c r="D305" s="359" t="n">
        <v>263.96</v>
      </c>
      <c r="E305" s="66" t="n">
        <v>4984.18</v>
      </c>
      <c r="F305" s="66" t="n">
        <v>263.96</v>
      </c>
      <c r="G305" s="68" t="n">
        <v>15</v>
      </c>
      <c r="H305" s="70" t="n">
        <v>1</v>
      </c>
      <c r="I305" s="68" t="n">
        <v>1</v>
      </c>
      <c r="J305" s="69" t="n">
        <v>5</v>
      </c>
      <c r="K305" s="69" t="inlineStr">
        <is>
          <t>https://amazon.com/dp/B0DV5KLWXX</t>
        </is>
      </c>
      <c r="L305" s="114">
        <f>HYPERLINK(Table3258[[#This Row],[Column1]])</f>
        <v/>
      </c>
    </row>
    <row r="306" ht="30" customHeight="1" s="314">
      <c r="A306" s="35" t="inlineStr">
        <is>
          <t>iCarsoft Professional Multi-System OBD II Scanner VAWS V1.0 with Oil Service Reset for Audi/VW/Seat/Skoda (red)</t>
        </is>
      </c>
      <c r="B306" s="35" t="inlineStr">
        <is>
          <t>B07B8NP6DL</t>
        </is>
      </c>
      <c r="C306" s="35" t="inlineStr">
        <is>
          <t>Handheld</t>
        </is>
      </c>
      <c r="D306" s="359" t="n">
        <v>99.93000000000001</v>
      </c>
      <c r="E306" s="66" t="n">
        <v>2162.2</v>
      </c>
      <c r="F306" s="66" t="n">
        <v>99.93000000000001</v>
      </c>
      <c r="G306" s="68" t="n">
        <v>21</v>
      </c>
      <c r="H306" s="70" t="n">
        <v>1</v>
      </c>
      <c r="I306" s="68" t="n">
        <v>3</v>
      </c>
      <c r="J306" s="69" t="n">
        <v>5</v>
      </c>
      <c r="K306" s="69" t="inlineStr">
        <is>
          <t>https://amazon.com/dp/B07B8NP6DL</t>
        </is>
      </c>
      <c r="L306" s="114">
        <f>HYPERLINK(Table3258[[#This Row],[Column1]])</f>
        <v/>
      </c>
    </row>
    <row r="307" ht="17" customHeight="1" s="314">
      <c r="A307" s="35" t="inlineStr">
        <is>
          <t>iCarsoft VAWS V1.0 OBD2 Scanner Full Systems Diagnostic Tool for VW/Audi/Skoda, Vehicle Code Reader with Oil Reset/SAS Reset, Automotive OBD II Scanner Fault Diagnosis with Live Data Battery Test</t>
        </is>
      </c>
      <c r="B307" s="35" t="inlineStr">
        <is>
          <t>B0FP1CTGPH</t>
        </is>
      </c>
      <c r="C307" s="35" t="inlineStr">
        <is>
          <t>Handheld</t>
        </is>
      </c>
      <c r="D307" s="359" t="n">
        <v>129.94</v>
      </c>
      <c r="E307" s="66" t="n">
        <v>1209.441538461539</v>
      </c>
      <c r="F307" s="66" t="n">
        <v>129.94</v>
      </c>
      <c r="G307" s="68" t="n">
        <v>1</v>
      </c>
      <c r="H307" s="70" t="n">
        <v>1</v>
      </c>
      <c r="I307" s="68" t="n"/>
      <c r="J307" s="69" t="n"/>
      <c r="K307" s="69" t="inlineStr">
        <is>
          <t>https://amazon.com/dp/B0FP1CTGPH</t>
        </is>
      </c>
      <c r="L307" s="114">
        <f>HYPERLINK(Table3258[[#This Row],[Column1]])</f>
        <v/>
      </c>
    </row>
    <row r="308" ht="45" customHeight="1" s="314">
      <c r="A308" s="35" t="inlineStr">
        <is>
          <t>iCarsoft CR Max BT Wireless Scan Tool, OBD2 Diagnostic Touchscreen Scanner, 4-in-1 Live Graphing, Lifetime Free Update</t>
        </is>
      </c>
      <c r="B308" s="35" t="inlineStr">
        <is>
          <t>B00S5AB54W</t>
        </is>
      </c>
      <c r="C308" s="35" t="inlineStr">
        <is>
          <t>Handheld</t>
        </is>
      </c>
      <c r="D308" s="359" t="n">
        <v>462.18</v>
      </c>
      <c r="E308" s="66" t="n">
        <v>18592.8</v>
      </c>
      <c r="F308" s="66" t="n">
        <v>462.18</v>
      </c>
      <c r="G308" s="68" t="n">
        <v>46</v>
      </c>
      <c r="H308" s="70" t="n">
        <v>1</v>
      </c>
      <c r="I308" s="68" t="n">
        <v>121</v>
      </c>
      <c r="J308" s="69" t="n">
        <v>4.2</v>
      </c>
      <c r="K308" s="69" t="inlineStr">
        <is>
          <t>https://amazon.com/dp/B00S5AB54W</t>
        </is>
      </c>
      <c r="L308" s="114">
        <f>HYPERLINK(Table3258[[#This Row],[Column1]])</f>
        <v/>
      </c>
    </row>
    <row r="309" ht="45" customHeight="1" s="314">
      <c r="A309" s="35" t="inlineStr">
        <is>
          <t>iCarsoft HD V4.0 Heavy Duty Truck Scanner with 8 Reset, Full System Diagnostic Tool, D P -F Re-gen/Injector Coding/Li-mit Setting, 2 in 1 Code Reader for Car &amp; Truck Cummins/Detroit/Caterpillar/Hino</t>
        </is>
      </c>
      <c r="B309" s="35" t="inlineStr">
        <is>
          <t>B0FFYC134P</t>
        </is>
      </c>
      <c r="C309" s="35" t="inlineStr">
        <is>
          <t>Tablet</t>
        </is>
      </c>
      <c r="D309" s="359" t="n">
        <v>399.96</v>
      </c>
      <c r="E309" s="66" t="n">
        <v>10206.29923076923</v>
      </c>
      <c r="F309" s="66" t="n">
        <v>399.96</v>
      </c>
      <c r="G309" s="68" t="n">
        <v>18</v>
      </c>
      <c r="H309" s="70" t="n">
        <v>1</v>
      </c>
      <c r="I309" s="68" t="n">
        <v>5</v>
      </c>
      <c r="J309" s="69" t="n">
        <v>3.3</v>
      </c>
      <c r="K309" s="69" t="inlineStr">
        <is>
          <t>https://amazon.com/dp/B0FFYC134P</t>
        </is>
      </c>
      <c r="L309" s="114">
        <f>HYPERLINK(Table3258[[#This Row],[Column1]])</f>
        <v/>
      </c>
    </row>
    <row r="310" ht="17" customHeight="1" s="314">
      <c r="A310" s="35" t="inlineStr">
        <is>
          <t>Auto Diagnostic Scanner iCarsoft POR V1.0 for Porsche with Airbag Scan,Oil Service Reset, SAS Reset ect</t>
        </is>
      </c>
      <c r="B310" s="35" t="inlineStr">
        <is>
          <t>B07F3918N7</t>
        </is>
      </c>
      <c r="C310" s="35" t="inlineStr">
        <is>
          <t>Handheld</t>
        </is>
      </c>
      <c r="D310" s="359" t="n">
        <v>157.56</v>
      </c>
      <c r="E310" s="66" t="n">
        <v>9695.65</v>
      </c>
      <c r="F310" s="66" t="n">
        <v>157.56</v>
      </c>
      <c r="G310" s="68" t="n">
        <v>91</v>
      </c>
      <c r="H310" s="70" t="n">
        <v>1</v>
      </c>
      <c r="I310" s="68" t="n">
        <v>120</v>
      </c>
      <c r="J310" s="69" t="n">
        <v>4.2</v>
      </c>
      <c r="K310" s="69" t="inlineStr">
        <is>
          <t>https://amazon.com/dp/B07F3918N7</t>
        </is>
      </c>
      <c r="L310" s="114">
        <f>HYPERLINK(Table3258[[#This Row],[Column1]])</f>
        <v/>
      </c>
    </row>
    <row r="311" ht="30" customHeight="1" s="314">
      <c r="A311" s="35" t="inlineStr">
        <is>
          <t>iCarsoft OBD2 Scanner CR Pro+, Car Diagnostic Tool with Full System Diagnostic, 49 Maintenance Services, Actuation/Bi-Directional Test/Battery Test/Auto VIN/IMMO, Lifetime Update</t>
        </is>
      </c>
      <c r="B311" s="35" t="inlineStr">
        <is>
          <t>B0762MG1W7</t>
        </is>
      </c>
      <c r="C311" s="35" t="inlineStr">
        <is>
          <t>Tablet</t>
        </is>
      </c>
      <c r="D311" s="359" t="n">
        <v>329.96</v>
      </c>
      <c r="E311" s="66" t="n">
        <v>3680.323076923076</v>
      </c>
      <c r="F311" s="66" t="n">
        <v>329.96</v>
      </c>
      <c r="G311" s="68" t="n">
        <v>1</v>
      </c>
      <c r="H311" s="70" t="n">
        <v>1</v>
      </c>
      <c r="I311" s="68" t="n">
        <v>22</v>
      </c>
      <c r="J311" s="69" t="n">
        <v>4.2</v>
      </c>
      <c r="K311" s="69" t="inlineStr">
        <is>
          <t>https://amazon.com/dp/B0762MG1W7</t>
        </is>
      </c>
      <c r="L311" s="114">
        <f>HYPERLINK(Table3258[[#This Row],[Column1]])</f>
        <v/>
      </c>
    </row>
    <row r="312" ht="45" customHeight="1" s="314">
      <c r="A312" s="35" t="inlineStr">
        <is>
          <t>iCarsoft CR Pro Enhanced Version OBD2 Scanner Diagnostic Tool, 15 Special Service All System Car Scan Tool Battery Test Live Data Graph Fault Code Reader</t>
        </is>
      </c>
      <c r="B312" s="35" t="inlineStr">
        <is>
          <t>B0F6CC4RWB</t>
        </is>
      </c>
      <c r="C312" s="35" t="inlineStr">
        <is>
          <t>Tablet</t>
        </is>
      </c>
      <c r="D312" s="359" t="n">
        <v>158.61</v>
      </c>
      <c r="E312" s="66" t="n">
        <v>1124.116923076923</v>
      </c>
      <c r="F312" s="66" t="n">
        <v>158.61</v>
      </c>
      <c r="G312" s="68" t="n">
        <v>3</v>
      </c>
      <c r="H312" s="70" t="n">
        <v>1</v>
      </c>
      <c r="I312" s="68" t="n">
        <v>38</v>
      </c>
      <c r="J312" s="69" t="n">
        <v>3.7</v>
      </c>
      <c r="K312" s="69" t="inlineStr">
        <is>
          <t>https://amazon.com/dp/B0F6CC4RWB</t>
        </is>
      </c>
      <c r="L312" s="114">
        <f>HYPERLINK(Table3258[[#This Row],[Column1]])</f>
        <v/>
      </c>
    </row>
    <row r="313" ht="45" customHeight="1" s="314">
      <c r="A313" s="35" t="inlineStr">
        <is>
          <t>iCarsoft OBD2 Scanner Diagnostic Tool MB II with Oil/ABS Bleeding/SAS Reset, Full OBDII Modes Full Systems Car Code Reader with Battery Test, Live Data, Full ODB2 Scan Tool, Lifetime Free Updates</t>
        </is>
      </c>
      <c r="B313" s="35" t="inlineStr">
        <is>
          <t>B0DZ2MPR83</t>
        </is>
      </c>
      <c r="C313" s="35" t="inlineStr">
        <is>
          <t>Tablet</t>
        </is>
      </c>
      <c r="D313" s="359" t="n">
        <v>149.94</v>
      </c>
      <c r="E313" s="66" t="n">
        <v>1545.515384615384</v>
      </c>
      <c r="F313" s="66" t="n">
        <v>149.94</v>
      </c>
      <c r="G313" s="68" t="n">
        <v>2</v>
      </c>
      <c r="H313" s="70" t="n">
        <v>1</v>
      </c>
      <c r="I313" s="68" t="n"/>
      <c r="J313" s="69" t="n"/>
      <c r="K313" s="69" t="inlineStr">
        <is>
          <t>https://amazon.com/dp/B0DZ2MPR83</t>
        </is>
      </c>
      <c r="L313" s="114">
        <f>HYPERLINK(Table3258[[#This Row],[Column1]])</f>
        <v/>
      </c>
    </row>
    <row r="314" ht="45" customHeight="1" s="314">
      <c r="A314" s="35" t="inlineStr">
        <is>
          <t>iCarsoft JP V2.0 Diagnostic Tool for Daewoo/Toyota/Honda/Mitsubishi/Suzuki/Mazda/Hyundai, Full System OBD2 Scanner with 9 Service Function, Oil/EPB/BMS/ETC/SAS/BLD/INJ/TPMS/DPfilter</t>
        </is>
      </c>
      <c r="B314" s="35" t="inlineStr">
        <is>
          <t>B0FL7VL8N2</t>
        </is>
      </c>
      <c r="C314" s="35" t="inlineStr">
        <is>
          <t>Tablet</t>
        </is>
      </c>
      <c r="D314" s="359" t="n">
        <v>169.96</v>
      </c>
      <c r="E314" s="66" t="n">
        <v>6416.756923076926</v>
      </c>
      <c r="F314" s="66" t="n">
        <v>169.96</v>
      </c>
      <c r="G314" s="68" t="n">
        <v>32</v>
      </c>
      <c r="H314" s="70" t="n">
        <v>1</v>
      </c>
      <c r="I314" s="68" t="n"/>
      <c r="J314" s="69" t="n"/>
      <c r="K314" s="69" t="inlineStr">
        <is>
          <t>https://amazon.com/dp/B0FL7VL8N2</t>
        </is>
      </c>
      <c r="L314" s="114">
        <f>HYPERLINK(Table3258[[#This Row],[Column1]])</f>
        <v/>
      </c>
    </row>
    <row r="315" ht="45" customHeight="1" s="314">
      <c r="A315" s="35" t="inlineStr">
        <is>
          <t>iCarsoft CR Elite(2005) OBD2 Scanner for All Vehicle, Engine/Transmission/ABS/Airbag System Scan Tool with Oil Reset/EPB/BMS/ETC/Sterring Angle/D.P.F/ABS Reset/Injector Coding/Battery Test</t>
        </is>
      </c>
      <c r="B315" s="35" t="inlineStr">
        <is>
          <t>B0DYDPX7FF</t>
        </is>
      </c>
      <c r="C315" s="35" t="inlineStr">
        <is>
          <t>Tablet</t>
        </is>
      </c>
      <c r="D315" s="359" t="n">
        <v>233.57</v>
      </c>
      <c r="E315" s="66" t="n">
        <v>3267.79</v>
      </c>
      <c r="F315" s="66" t="n">
        <v>233.57</v>
      </c>
      <c r="G315" s="68" t="n">
        <v>16</v>
      </c>
      <c r="H315" s="70" t="n">
        <v>1</v>
      </c>
      <c r="I315" s="68" t="n">
        <v>1</v>
      </c>
      <c r="J315" s="69" t="n">
        <v>4</v>
      </c>
      <c r="K315" s="69" t="inlineStr">
        <is>
          <t>https://amazon.com/dp/B0DYDPX7FF</t>
        </is>
      </c>
      <c r="L315" s="114">
        <f>HYPERLINK(Table3258[[#This Row],[Column1]])</f>
        <v/>
      </c>
    </row>
    <row r="316" ht="45" customHeight="1" s="314">
      <c r="A316" s="35" t="inlineStr">
        <is>
          <t>Bidirectional Diagnostic Tool for BMW/Rolls-Royce, iCarsoft BMM V3.0(Enhanced VER) Full Resets/Battery Registration/ECU Coding All System OBD2 Scanner Code Reader with 16PIN+20PIN Diagnostic Adapters</t>
        </is>
      </c>
      <c r="B316" s="35" t="inlineStr">
        <is>
          <t>B0F6TNGTWY</t>
        </is>
      </c>
      <c r="C316" s="35" t="inlineStr">
        <is>
          <t>Tablet</t>
        </is>
      </c>
      <c r="D316" s="359" t="n">
        <v>181.84</v>
      </c>
      <c r="E316" s="66" t="n">
        <v>5277.473846153845</v>
      </c>
      <c r="F316" s="66" t="n">
        <v>181.84</v>
      </c>
      <c r="G316" s="68" t="n">
        <v>22</v>
      </c>
      <c r="H316" s="70" t="n">
        <v>1</v>
      </c>
      <c r="I316" s="68" t="n">
        <v>10</v>
      </c>
      <c r="J316" s="69" t="n">
        <v>4.3</v>
      </c>
      <c r="K316" s="69" t="inlineStr">
        <is>
          <t>https://amazon.com/dp/B0F6TNGTWY</t>
        </is>
      </c>
      <c r="L316" s="114">
        <f>HYPERLINK(Table3258[[#This Row],[Column1]])</f>
        <v/>
      </c>
    </row>
    <row r="317" ht="45" customHeight="1" s="314">
      <c r="A317" s="35" t="inlineStr">
        <is>
          <t>‌iCarsoft CR Pro-D OBD2 Scanner Professional Full-System Diagnostic Tool with Oil Reset, EPB, ABS, TPMS, Live Data &amp; Battery Test for Most Vehicles‌‌ Compact Design with Free Lifetime Updates</t>
        </is>
      </c>
      <c r="B317" s="35" t="inlineStr">
        <is>
          <t>B0DXVXFBCG</t>
        </is>
      </c>
      <c r="C317" s="35" t="inlineStr">
        <is>
          <t>Tablet</t>
        </is>
      </c>
      <c r="D317" s="359" t="n">
        <v>238.2</v>
      </c>
      <c r="E317" s="66" t="n">
        <v>2876.723076923076</v>
      </c>
      <c r="F317" s="66" t="n">
        <v>238.2</v>
      </c>
      <c r="G317" s="68" t="n">
        <v>1</v>
      </c>
      <c r="H317" s="70" t="n">
        <v>1</v>
      </c>
      <c r="I317" s="68" t="n"/>
      <c r="J317" s="69" t="n"/>
      <c r="K317" s="69" t="inlineStr">
        <is>
          <t>https://amazon.com/dp/B0DXVXFBCG</t>
        </is>
      </c>
      <c r="L317" s="114">
        <f>HYPERLINK(Table3258[[#This Row],[Column1]])</f>
        <v/>
      </c>
    </row>
    <row r="318" ht="45" customHeight="1" s="314">
      <c r="A318" s="35" t="inlineStr">
        <is>
          <t>iCarsoft CR Elite P 4 Systems OBD2 Scanner Diagnostic Tool, Bidirectional Scan Tool with 49+ Reset,ABS SRS Engine Transmission Car Code Reader/CAN FD/Battery Test/4 in 1 Live Data/Lifetime Free Update</t>
        </is>
      </c>
      <c r="B318" s="35" t="inlineStr">
        <is>
          <t>B0FS7FY2RN</t>
        </is>
      </c>
      <c r="C318" s="35" t="inlineStr">
        <is>
          <t>Tablet</t>
        </is>
      </c>
      <c r="D318" s="359" t="n">
        <v>319.99</v>
      </c>
      <c r="E318" s="66" t="n">
        <v>1690.92</v>
      </c>
      <c r="F318" s="66" t="n">
        <v>0</v>
      </c>
      <c r="G318" s="68" t="n">
        <v>5</v>
      </c>
      <c r="H318" s="70" t="n">
        <v>0</v>
      </c>
      <c r="I318" s="68" t="n"/>
      <c r="J318" s="69" t="n"/>
      <c r="K318" s="69" t="inlineStr">
        <is>
          <t>https://amazon.com/dp/B0FS7FY2RN</t>
        </is>
      </c>
      <c r="L318" s="114">
        <f>HYPERLINK(Table3258[[#This Row],[Column1]])</f>
        <v/>
      </c>
    </row>
    <row r="319" ht="45" customHeight="1" s="314">
      <c r="A319" s="35" t="inlineStr">
        <is>
          <t>Bidirectional Scan Tool iCarsoft CR MAX OBD2 Scanner Diagnostic Tool with CAN FD, 49 Reset, Active Test for Cooling Fan/MIL/ABS Pump, Full Systems Code Reader, 4-in-1 Graphic Live Data</t>
        </is>
      </c>
      <c r="B319" s="35" t="inlineStr">
        <is>
          <t>B0DXVLF1WX</t>
        </is>
      </c>
      <c r="C319" s="35" t="inlineStr">
        <is>
          <t>Tablet</t>
        </is>
      </c>
      <c r="D319" s="359" t="n">
        <v>369.95</v>
      </c>
      <c r="E319" s="66" t="n">
        <v>726.28</v>
      </c>
      <c r="F319" s="66" t="n">
        <v>0</v>
      </c>
      <c r="G319" s="68" t="n">
        <v>2</v>
      </c>
      <c r="H319" s="70" t="n">
        <v>0</v>
      </c>
      <c r="I319" s="68" t="n"/>
      <c r="J319" s="69" t="n"/>
      <c r="K319" s="69" t="inlineStr">
        <is>
          <t>https://amazon.com/dp/B0DXVLF1WX</t>
        </is>
      </c>
      <c r="L319" s="114">
        <f>HYPERLINK(Table3258[[#This Row],[Column1]])</f>
        <v/>
      </c>
    </row>
    <row r="320" ht="17" customHeight="1" s="314">
      <c r="A320" s="35" t="inlineStr">
        <is>
          <t>iCarsoft CR Ultra Advanced Automotive Diagnostic Tool</t>
        </is>
      </c>
      <c r="B320" s="35" t="inlineStr">
        <is>
          <t>B097RKCJSN</t>
        </is>
      </c>
      <c r="C320" s="35" t="inlineStr">
        <is>
          <t>Tablet</t>
        </is>
      </c>
      <c r="D320" s="359" t="n">
        <v>1150</v>
      </c>
      <c r="E320" s="66" t="n">
        <v>0</v>
      </c>
      <c r="F320" s="66" t="n">
        <v>0</v>
      </c>
      <c r="G320" s="68" t="n">
        <v>0</v>
      </c>
      <c r="H320" s="70" t="n">
        <v>0</v>
      </c>
      <c r="I320" s="68" t="n">
        <v>4</v>
      </c>
      <c r="J320" s="69" t="n">
        <v>3.5</v>
      </c>
      <c r="K320" s="69" t="inlineStr">
        <is>
          <t>https://amazon.com/dp/B097RKCJSN</t>
        </is>
      </c>
      <c r="L320" s="114">
        <f>HYPERLINK(Table3258[[#This Row],[Column1]])</f>
        <v/>
      </c>
    </row>
    <row r="321" ht="60" customHeight="1" s="314">
      <c r="A321" s="35" t="inlineStr">
        <is>
          <t>iCarsoft MT V6 Motorcycle OBD2 Scanner for Aprilia, Full-System Motorcycle Bidirectional Diagnostic Tool with 88 Resets &amp; 122 Active Test, Battery Test, 2 in 1 Motor Scan Tool+Car OBD2 Diagnostics</t>
        </is>
      </c>
      <c r="B321" s="35" t="inlineStr">
        <is>
          <t>B0G6D72SDY</t>
        </is>
      </c>
      <c r="C321" s="35" t="inlineStr">
        <is>
          <t>Tablet</t>
        </is>
      </c>
      <c r="D321" s="359" t="n">
        <v>199.99</v>
      </c>
      <c r="E321" s="66" t="n">
        <v>0</v>
      </c>
      <c r="F321" s="66" t="n">
        <v>0</v>
      </c>
      <c r="G321" s="68" t="n">
        <v>0</v>
      </c>
      <c r="H321" s="70" t="n">
        <v>0</v>
      </c>
      <c r="I321" s="68" t="n"/>
      <c r="J321" s="69" t="n"/>
      <c r="K321" s="69" t="inlineStr">
        <is>
          <t>https://amazon.com/dp/B0G6D72SDY</t>
        </is>
      </c>
      <c r="L321" s="114">
        <f>HYPERLINK(Table3258[[#This Row],[Column1]])</f>
        <v/>
      </c>
    </row>
    <row r="322" ht="45" customHeight="1" s="314">
      <c r="A322" s="35" t="inlineStr">
        <is>
          <t>iCarsoft i900 OBD2 Scanner for US Brand Vehicles, All System in-Depth Diagnostic Scan Tool for Ford/Jeep/Chevrolet/Cadillac, Oil Reset/Steering Angle Reset, Live Data OBDII Engine Code Reader</t>
        </is>
      </c>
      <c r="B322" s="35" t="inlineStr">
        <is>
          <t>B0F62YNX9J</t>
        </is>
      </c>
      <c r="C322" s="35" t="inlineStr">
        <is>
          <t>Tablet</t>
        </is>
      </c>
      <c r="D322" s="359" t="n">
        <v>109</v>
      </c>
      <c r="E322" s="66" t="n">
        <v>633.9300000000001</v>
      </c>
      <c r="F322" s="66" t="n">
        <v>0</v>
      </c>
      <c r="G322" s="68" t="n">
        <v>5</v>
      </c>
      <c r="H322" s="70" t="n">
        <v>0</v>
      </c>
      <c r="I322" s="68" t="n"/>
      <c r="J322" s="69" t="n"/>
      <c r="K322" s="69" t="inlineStr">
        <is>
          <t>https://amazon.com/dp/B0F62YNX9J</t>
        </is>
      </c>
      <c r="L322" s="114">
        <f>HYPERLINK(Table3258[[#This Row],[Column1]])</f>
        <v/>
      </c>
    </row>
    <row r="323" ht="45" customHeight="1" s="314">
      <c r="A323" s="35" t="inlineStr">
        <is>
          <t>OBD2 Scanner iCarsoft CR V2.0 Diagnostic Tool with 8 Resets ABS Bleeding/SAS Calibration/Oil/EPB/ETC Reset, Full Systems Code Reader Scan Tools, ABS SRS Engine Transmission Battery Test Car Scanner</t>
        </is>
      </c>
      <c r="B323" s="35" t="inlineStr">
        <is>
          <t>B0DXW2B99V</t>
        </is>
      </c>
      <c r="C323" s="35" t="inlineStr">
        <is>
          <t>Tablet</t>
        </is>
      </c>
      <c r="D323" s="359" t="n">
        <v>189.95</v>
      </c>
      <c r="E323" s="66" t="n">
        <v>379.86</v>
      </c>
      <c r="F323" s="66" t="n">
        <v>0</v>
      </c>
      <c r="G323" s="68" t="n">
        <v>2</v>
      </c>
      <c r="H323" s="70" t="n">
        <v>0</v>
      </c>
      <c r="I323" s="68" t="n"/>
      <c r="J323" s="69" t="n"/>
      <c r="K323" s="69" t="inlineStr">
        <is>
          <t>https://amazon.com/dp/B0DXW2B99V</t>
        </is>
      </c>
      <c r="L323" s="114">
        <f>HYPERLINK(Table3258[[#This Row],[Column1]])</f>
        <v/>
      </c>
    </row>
    <row r="324" ht="30" customHeight="1" s="314">
      <c r="A324" s="35" t="inlineStr">
        <is>
          <t>Auto Diagnostic Scan Tool iCarsoft OP V2.0 for OPEL/Vauxhall +Oil Reset +EPB+SAS+ETCS</t>
        </is>
      </c>
      <c r="B324" s="35" t="inlineStr">
        <is>
          <t>B07HNZ3X8Z</t>
        </is>
      </c>
      <c r="C324" s="35" t="inlineStr">
        <is>
          <t>Tablet</t>
        </is>
      </c>
      <c r="D324" s="359" t="n">
        <v>145.95</v>
      </c>
      <c r="E324" s="66" t="n">
        <v>437.55</v>
      </c>
      <c r="F324" s="66" t="n">
        <v>0</v>
      </c>
      <c r="G324" s="68" t="n">
        <v>2</v>
      </c>
      <c r="H324" s="70" t="n">
        <v>0</v>
      </c>
      <c r="I324" s="68" t="n">
        <v>6</v>
      </c>
      <c r="J324" s="69" t="n">
        <v>4.3</v>
      </c>
      <c r="K324" s="69" t="inlineStr">
        <is>
          <t>https://amazon.com/dp/B07HNZ3X8Z</t>
        </is>
      </c>
      <c r="L324" s="114">
        <f>HYPERLINK(Table3258[[#This Row],[Column1]])</f>
        <v/>
      </c>
    </row>
    <row r="325" ht="30" customHeight="1" s="314">
      <c r="A325" s="35" t="inlineStr">
        <is>
          <t>iCarsoft CR MAX Professional Multi-Brand Car Diagnostic Tool for Fault Analysis, Read and Clear All System Fault Codes Such as Engine, Transmission, ABS and Airbag, Black</t>
        </is>
      </c>
      <c r="B325" s="35" t="inlineStr">
        <is>
          <t>B09WNCML7X</t>
        </is>
      </c>
      <c r="C325" s="35" t="inlineStr">
        <is>
          <t>Tablet</t>
        </is>
      </c>
      <c r="D325" s="359" t="n">
        <v>409.99</v>
      </c>
      <c r="E325" s="66" t="n">
        <v>0</v>
      </c>
      <c r="F325" s="66" t="n">
        <v>0</v>
      </c>
      <c r="G325" s="68" t="n">
        <v>0</v>
      </c>
      <c r="H325" s="70" t="n">
        <v>0</v>
      </c>
      <c r="I325" s="68" t="n">
        <v>76</v>
      </c>
      <c r="J325" s="69" t="n">
        <v>4.3</v>
      </c>
      <c r="K325" s="69" t="inlineStr">
        <is>
          <t>https://amazon.com/dp/B09WNCML7X</t>
        </is>
      </c>
      <c r="L325" s="114">
        <f>HYPERLINK(Table3258[[#This Row],[Column1]])</f>
        <v/>
      </c>
    </row>
    <row r="326" ht="30" customHeight="1" s="314">
      <c r="A326" s="35" t="inlineStr">
        <is>
          <t>iCarsoft Original OBD2 Adapter for Chrysler 12+8 Programming Cable Connector, Bypass Gateway Protocol Cable</t>
        </is>
      </c>
      <c r="B326" s="35" t="inlineStr">
        <is>
          <t>B0FHJB2BFZ</t>
        </is>
      </c>
      <c r="C326" s="35" t="inlineStr">
        <is>
          <t>Cable/Adapter</t>
        </is>
      </c>
      <c r="D326" s="359" t="n">
        <v>69.98999999999999</v>
      </c>
      <c r="E326" s="66" t="n">
        <v>0</v>
      </c>
      <c r="F326" s="66" t="n">
        <v>0</v>
      </c>
      <c r="G326" s="68" t="n">
        <v>0</v>
      </c>
      <c r="H326" s="70" t="n">
        <v>0</v>
      </c>
      <c r="I326" s="68" t="n"/>
      <c r="J326" s="69" t="n"/>
      <c r="K326" s="69" t="inlineStr">
        <is>
          <t>https://amazon.com/dp/B0FHJB2BFZ</t>
        </is>
      </c>
      <c r="L326" s="114">
        <f>HYPERLINK(Table3258[[#This Row],[Column1]])</f>
        <v/>
      </c>
    </row>
    <row r="327" ht="45" customHeight="1" s="314">
      <c r="A327" s="35" t="inlineStr">
        <is>
          <t>iCarsoft i800 Obdii/Eobd and Can Engine Fault Code Scanner New Version</t>
        </is>
      </c>
      <c r="B327" s="35" t="inlineStr">
        <is>
          <t>B01N3616JH</t>
        </is>
      </c>
      <c r="C327" s="35" t="inlineStr">
        <is>
          <t>Handheld</t>
        </is>
      </c>
      <c r="D327" s="359" t="n">
        <v>46.95</v>
      </c>
      <c r="E327" s="66" t="n">
        <v>0</v>
      </c>
      <c r="F327" s="66" t="n">
        <v>0</v>
      </c>
      <c r="G327" s="68" t="n">
        <v>0</v>
      </c>
      <c r="H327" s="70" t="n">
        <v>0</v>
      </c>
      <c r="I327" s="68" t="n">
        <v>3</v>
      </c>
      <c r="J327" s="69" t="n">
        <v>3.5</v>
      </c>
      <c r="K327" s="69" t="inlineStr">
        <is>
          <t>https://amazon.com/dp/B01N3616JH</t>
        </is>
      </c>
      <c r="L327" s="114">
        <f>HYPERLINK(Table3258[[#This Row],[Column1]])</f>
        <v/>
      </c>
    </row>
    <row r="328" ht="45" customHeight="1" s="314">
      <c r="A328" s="35" t="inlineStr">
        <is>
          <t>iCarsoft CR V2.0 Full Systems OBD2 Scanner Diagnostic Tool with 9 Reset, Allow to Diagnose 10 Car Brands, Live Data/Battery Test/BMS Reset/Auto VIN/Scanner for Car, Lifetime Free Update</t>
        </is>
      </c>
      <c r="B328" s="35" t="inlineStr">
        <is>
          <t>B0G4GHLSFB</t>
        </is>
      </c>
      <c r="C328" s="35" t="inlineStr">
        <is>
          <t>Tablet</t>
        </is>
      </c>
      <c r="D328" s="359" t="n">
        <v>219.99</v>
      </c>
      <c r="E328" s="66" t="n">
        <v>219.96</v>
      </c>
      <c r="F328" s="66" t="n">
        <v>0</v>
      </c>
      <c r="G328" s="68" t="n">
        <v>1</v>
      </c>
      <c r="H328" s="70" t="n">
        <v>0</v>
      </c>
      <c r="I328" s="68" t="n"/>
      <c r="J328" s="69" t="n"/>
      <c r="K328" s="69" t="inlineStr">
        <is>
          <t>https://amazon.com/dp/B0G4GHLSFB</t>
        </is>
      </c>
      <c r="L328" s="114">
        <f>HYPERLINK(Table3258[[#This Row],[Column1]])</f>
        <v/>
      </c>
    </row>
    <row r="329" ht="45" customHeight="1" s="314">
      <c r="A329" s="35" t="inlineStr">
        <is>
          <t>iCarsoft Auto Diagnostic Scanner BCC V1.0 for Chrysler/Jeep/GM (Chevrolet/Buick/Cadillac/GMC),Oil Service Reset, SAS Reset ect</t>
        </is>
      </c>
      <c r="B329" s="35" t="inlineStr">
        <is>
          <t>B07L1LWR85</t>
        </is>
      </c>
      <c r="C329" s="35" t="inlineStr">
        <is>
          <t>Handheld</t>
        </is>
      </c>
      <c r="D329" s="359" t="n">
        <v>85.17</v>
      </c>
      <c r="E329" s="66" t="n">
        <v>0</v>
      </c>
      <c r="F329" s="66" t="n">
        <v>0</v>
      </c>
      <c r="G329" s="68" t="n">
        <v>0</v>
      </c>
      <c r="H329" s="70" t="n">
        <v>0</v>
      </c>
      <c r="I329" s="68" t="n">
        <v>1</v>
      </c>
      <c r="J329" s="69" t="n">
        <v>5</v>
      </c>
      <c r="K329" s="69" t="inlineStr">
        <is>
          <t>https://amazon.com/dp/B07L1LWR85</t>
        </is>
      </c>
      <c r="L329" s="114">
        <f>HYPERLINK(Table3258[[#This Row],[Column1]])</f>
        <v/>
      </c>
    </row>
    <row r="330" ht="45" customHeight="1" s="314">
      <c r="A330" s="35" t="inlineStr">
        <is>
          <t>iCarsoft OBD2 Scanner CR Plus(New Ver) Diagnostic Tool for Engine ABS Transmission Airbag-Oil Reset/EPB/BMS/ETC/Steering Angle/DP Filter/ABS Bleeding/Injector Coding/TPMS,Battery Registration</t>
        </is>
      </c>
      <c r="B330" s="35" t="inlineStr">
        <is>
          <t>B0FQHTKTVB</t>
        </is>
      </c>
      <c r="C330" s="35" t="inlineStr">
        <is>
          <t>Tablet</t>
        </is>
      </c>
      <c r="D330" s="359" t="n">
        <v>209.99</v>
      </c>
      <c r="E330" s="66" t="n">
        <v>399.95</v>
      </c>
      <c r="F330" s="66" t="n">
        <v>0</v>
      </c>
      <c r="G330" s="68" t="n">
        <v>1</v>
      </c>
      <c r="H330" s="70" t="n">
        <v>0</v>
      </c>
      <c r="I330" s="68" t="n"/>
      <c r="J330" s="69" t="n"/>
      <c r="K330" s="69" t="inlineStr">
        <is>
          <t>https://amazon.com/dp/B0FQHTKTVB</t>
        </is>
      </c>
      <c r="L330" s="114">
        <f>HYPERLINK(Table3258[[#This Row],[Column1]])</f>
        <v/>
      </c>
    </row>
    <row r="331" ht="45" customHeight="1" s="314">
      <c r="A331" s="35" t="inlineStr">
        <is>
          <t>Auto Diagnostic Scanner iCarsoft POR V1.0 for Porsche with Airbag Scan,Oil Service Reset, SAS Reset ect</t>
        </is>
      </c>
      <c r="B331" s="35" t="inlineStr">
        <is>
          <t>B07F377NXQ</t>
        </is>
      </c>
      <c r="C331" s="35" t="inlineStr">
        <is>
          <t>Handheld</t>
        </is>
      </c>
      <c r="D331" s="359" t="n">
        <v>141.89</v>
      </c>
      <c r="E331" s="66" t="n">
        <v>3395.83</v>
      </c>
      <c r="F331" s="66" t="n">
        <v>0</v>
      </c>
      <c r="G331" s="68" t="n">
        <v>29</v>
      </c>
      <c r="H331" s="70" t="n">
        <v>0</v>
      </c>
      <c r="I331" s="68" t="n">
        <v>65</v>
      </c>
      <c r="J331" s="69" t="n">
        <v>4.2</v>
      </c>
      <c r="K331" s="69" t="inlineStr">
        <is>
          <t>https://amazon.com/dp/B07F377NXQ</t>
        </is>
      </c>
      <c r="L331" s="114">
        <f>HYPERLINK(Table3258[[#This Row],[Column1]])</f>
        <v/>
      </c>
    </row>
    <row r="332" ht="30" customHeight="1" s="314">
      <c r="A332" s="35" t="inlineStr">
        <is>
          <t>iCarsoft OBD2 Scanner MB V2.0 Enhanced Ver 2 in 1 for Mercedes Benz/for Land Rover/for Jaguar, TPMS/Oil Reset Full Systems Diagnostic Tool 8 Resets Car Code Reader, Auto VIN,Battery Test, SAS/EPB/DP</t>
        </is>
      </c>
      <c r="B332" s="35" t="inlineStr">
        <is>
          <t>B0DZNX96YR</t>
        </is>
      </c>
      <c r="C332" s="35" t="inlineStr">
        <is>
          <t>Tablet</t>
        </is>
      </c>
      <c r="D332" s="359" t="n">
        <v>189.99</v>
      </c>
      <c r="E332" s="66" t="n">
        <v>1034.26</v>
      </c>
      <c r="F332" s="66" t="n">
        <v>0</v>
      </c>
      <c r="G332" s="68" t="n">
        <v>6</v>
      </c>
      <c r="H332" s="70" t="n">
        <v>0</v>
      </c>
      <c r="I332" s="68" t="n"/>
      <c r="J332" s="69" t="n"/>
      <c r="K332" s="69" t="inlineStr">
        <is>
          <t>https://amazon.com/dp/B0DZNX96YR</t>
        </is>
      </c>
      <c r="L332" s="114">
        <f>HYPERLINK(Table3258[[#This Row],[Column1]])</f>
        <v/>
      </c>
    </row>
    <row r="333" ht="45" customHeight="1" s="314">
      <c r="A333" s="35" t="inlineStr">
        <is>
          <t>iCarsoft OP V3.0 Pro Car Diagnostic Tool for Opel and Vauxhall</t>
        </is>
      </c>
      <c r="B333" s="35" t="inlineStr">
        <is>
          <t>B0B5MTBR9L</t>
        </is>
      </c>
      <c r="C333" s="35" t="inlineStr">
        <is>
          <t>Tablet</t>
        </is>
      </c>
      <c r="D333" s="359" t="n">
        <v>121.67</v>
      </c>
      <c r="E333" s="66" t="n">
        <v>0</v>
      </c>
      <c r="F333" s="66" t="n">
        <v>0</v>
      </c>
      <c r="G333" s="68" t="n">
        <v>0</v>
      </c>
      <c r="H333" s="70" t="n">
        <v>0</v>
      </c>
      <c r="I333" s="68" t="n">
        <v>664</v>
      </c>
      <c r="J333" s="69" t="n">
        <v>4.3</v>
      </c>
      <c r="K333" s="69" t="inlineStr">
        <is>
          <t>https://amazon.com/dp/B0B5MTBR9L</t>
        </is>
      </c>
      <c r="L333" s="114">
        <f>HYPERLINK(Table3258[[#This Row],[Column1]])</f>
        <v/>
      </c>
    </row>
    <row r="334" ht="45" customHeight="1" s="314">
      <c r="A334" s="35" t="inlineStr">
        <is>
          <t>iCarsoft LR V4.0 Bidirectional Diagnostic Scan Tool for Most Land Rover/Jaguar and Other 2 Car Makes from 1996-2023 All System OBD2 Scanner Up to 51 Service Live Data Code Reader AUTO VIN Free Update</t>
        </is>
      </c>
      <c r="B334" s="35" t="inlineStr">
        <is>
          <t>B0GC526PYX</t>
        </is>
      </c>
      <c r="C334" s="35" t="inlineStr">
        <is>
          <t>Handheld</t>
        </is>
      </c>
      <c r="D334" s="359" t="n">
        <v>254.16</v>
      </c>
      <c r="E334" s="66" t="n">
        <v>3752.4</v>
      </c>
      <c r="F334" s="66" t="n">
        <v>0</v>
      </c>
      <c r="G334" s="68" t="n">
        <v>14</v>
      </c>
      <c r="H334" s="70" t="n">
        <v>0</v>
      </c>
      <c r="I334" s="68" t="n"/>
      <c r="J334" s="69" t="n"/>
      <c r="K334" s="69" t="inlineStr">
        <is>
          <t>https://amazon.com/dp/B0GC526PYX</t>
        </is>
      </c>
      <c r="L334" s="114">
        <f>HYPERLINK(Table3258[[#This Row],[Column1]])</f>
        <v/>
      </c>
    </row>
    <row r="335" ht="45" customHeight="1" s="314">
      <c r="A335" s="35" t="inlineStr">
        <is>
          <t>iCarsoft PORV1.0 Code Reader OBD2 Scanner</t>
        </is>
      </c>
      <c r="B335" s="35" t="inlineStr">
        <is>
          <t>B0D9LVQGR7</t>
        </is>
      </c>
      <c r="C335" s="35" t="inlineStr">
        <is>
          <t>Tablet</t>
        </is>
      </c>
      <c r="D335" s="359" t="n">
        <v>119.95</v>
      </c>
      <c r="E335" s="66" t="n">
        <v>0</v>
      </c>
      <c r="F335" s="66" t="n">
        <v>0</v>
      </c>
      <c r="G335" s="68" t="n">
        <v>0</v>
      </c>
      <c r="H335" s="70" t="n">
        <v>0</v>
      </c>
      <c r="I335" s="68" t="n">
        <v>66</v>
      </c>
      <c r="J335" s="69" t="n">
        <v>4.2</v>
      </c>
      <c r="K335" s="69" t="inlineStr">
        <is>
          <t>https://amazon.com/dp/B0D9LVQGR7</t>
        </is>
      </c>
      <c r="L335" s="114">
        <f>HYPERLINK(Table3258[[#This Row],[Column1]])</f>
        <v/>
      </c>
    </row>
    <row r="336" ht="45" customHeight="1" s="314">
      <c r="A336" s="35" t="inlineStr">
        <is>
          <t>iCarsoft CR Elite Universal Diagnostic Scan Tool for Multi-Brand Vehicles +Oil Reset+EPB+BMS+DPF+SAS+ETC+BLD+INJ</t>
        </is>
      </c>
      <c r="B336" s="35" t="inlineStr">
        <is>
          <t>B07TLMDCDT</t>
        </is>
      </c>
      <c r="C336" s="35" t="inlineStr">
        <is>
          <t>Tablet</t>
        </is>
      </c>
      <c r="D336" s="359" t="n">
        <v>215</v>
      </c>
      <c r="E336" s="66" t="n">
        <v>280</v>
      </c>
      <c r="F336" s="66" t="n">
        <v>0</v>
      </c>
      <c r="G336" s="68" t="n">
        <v>1</v>
      </c>
      <c r="H336" s="70" t="n">
        <v>0</v>
      </c>
      <c r="I336" s="68" t="n">
        <v>22</v>
      </c>
      <c r="J336" s="69" t="n">
        <v>4</v>
      </c>
      <c r="K336" s="69" t="inlineStr">
        <is>
          <t>https://amazon.com/dp/B07TLMDCDT</t>
        </is>
      </c>
      <c r="L336" s="114">
        <f>HYPERLINK(Table3258[[#This Row],[Column1]])</f>
        <v/>
      </c>
    </row>
    <row r="337" ht="45" customHeight="1" s="314">
      <c r="A337" s="35" t="inlineStr">
        <is>
          <t>iCarsoft OBD2 Scanner for Porsche/BMW/Mini, POR V2.0 Enhanced Version 2-IN-1 In-depth Diagnostic Tool 9 Reset, Full Systems Car Code Reader OIL/TPMS/BMS/EPB/BLD/SAS/DP- F/ETC/INJ/Auto VIN Battery Test</t>
        </is>
      </c>
      <c r="B337" s="35" t="inlineStr">
        <is>
          <t>B0DWXPMVKC</t>
        </is>
      </c>
      <c r="C337" s="35" t="inlineStr">
        <is>
          <t>Tablet</t>
        </is>
      </c>
      <c r="D337" s="359" t="n">
        <v>189.99</v>
      </c>
      <c r="E337" s="66" t="n">
        <v>427.41</v>
      </c>
      <c r="F337" s="66" t="n">
        <v>0</v>
      </c>
      <c r="G337" s="68" t="n">
        <v>2</v>
      </c>
      <c r="H337" s="70" t="n">
        <v>0</v>
      </c>
      <c r="I337" s="68" t="n"/>
      <c r="J337" s="69" t="n"/>
      <c r="K337" s="69" t="inlineStr">
        <is>
          <t>https://amazon.com/dp/B0DWXPMVKC</t>
        </is>
      </c>
      <c r="L337" s="114">
        <f>HYPERLINK(Table3258[[#This Row],[Column1]])</f>
        <v/>
      </c>
    </row>
    <row r="338" ht="17" customHeight="1" s="314">
      <c r="A338" s="35" t="inlineStr">
        <is>
          <t>iCarsoft All Systems OBDII Scan Tool for Toyota/Corolla/Nissan/Honda/Hyundai/Kia, TYT V1.0 (2025) Oil Reset + SAS Calibration Services for Japanese/Korean Cars Auto VIN/Scan, Lifetime Free Update</t>
        </is>
      </c>
      <c r="B338" s="35" t="inlineStr">
        <is>
          <t>B0F43R9NHW</t>
        </is>
      </c>
      <c r="C338" s="35" t="inlineStr">
        <is>
          <t>Tablet</t>
        </is>
      </c>
      <c r="D338" s="359" t="n">
        <v>109.99</v>
      </c>
      <c r="E338" s="66" t="n">
        <v>1405.9</v>
      </c>
      <c r="F338" s="66" t="n">
        <v>0</v>
      </c>
      <c r="G338" s="68" t="n">
        <v>12</v>
      </c>
      <c r="H338" s="70" t="n">
        <v>0</v>
      </c>
      <c r="I338" s="68" t="n">
        <v>4</v>
      </c>
      <c r="J338" s="69" t="n">
        <v>3.8</v>
      </c>
      <c r="K338" s="69" t="inlineStr">
        <is>
          <t>https://amazon.com/dp/B0F43R9NHW</t>
        </is>
      </c>
      <c r="L338" s="114">
        <f>HYPERLINK(Table3258[[#This Row],[Column1]])</f>
        <v/>
      </c>
    </row>
    <row r="339" ht="30" customHeight="1" s="314">
      <c r="A339" s="35" t="inlineStr">
        <is>
          <t>iCarsoft US V3.0 for American Vehicles</t>
        </is>
      </c>
      <c r="B339" s="35" t="inlineStr">
        <is>
          <t>B09Y8KDWV1</t>
        </is>
      </c>
      <c r="C339" s="35" t="inlineStr">
        <is>
          <t>Tablet</t>
        </is>
      </c>
      <c r="D339" s="359" t="n">
        <v>174.01</v>
      </c>
      <c r="E339" s="66" t="n">
        <v>716.5400000000001</v>
      </c>
      <c r="F339" s="66" t="n">
        <v>0</v>
      </c>
      <c r="G339" s="68" t="n">
        <v>4</v>
      </c>
      <c r="H339" s="70" t="n">
        <v>0</v>
      </c>
      <c r="I339" s="68" t="n">
        <v>8</v>
      </c>
      <c r="J339" s="69" t="n">
        <v>3.6</v>
      </c>
      <c r="K339" s="69" t="inlineStr">
        <is>
          <t>https://amazon.com/dp/B09Y8KDWV1</t>
        </is>
      </c>
      <c r="L339" s="114">
        <f>HYPERLINK(Table3258[[#This Row],[Column1]])</f>
        <v/>
      </c>
    </row>
    <row r="340" ht="45" customHeight="1" s="314">
      <c r="A340" s="35" t="inlineStr">
        <is>
          <t>iCarsoft LR V3.0-D OBD2 Scanner for Land Rover &amp; Jaguar Vehicles Auto VIN, Full-System Diagnosis, 35+ Resets, ABS/SRS/Transmission Code Reader, Bidirectional Control &amp; Live Data Graphs‌</t>
        </is>
      </c>
      <c r="B340" s="35" t="inlineStr">
        <is>
          <t>B0DXVXVCHJ</t>
        </is>
      </c>
      <c r="C340" s="35" t="inlineStr">
        <is>
          <t>Tablet</t>
        </is>
      </c>
      <c r="D340" s="359" t="n">
        <v>189.95</v>
      </c>
      <c r="E340" s="66" t="n">
        <v>0</v>
      </c>
      <c r="F340" s="66" t="n">
        <v>0</v>
      </c>
      <c r="G340" s="68" t="n">
        <v>0</v>
      </c>
      <c r="H340" s="70" t="n">
        <v>0</v>
      </c>
      <c r="I340" s="68" t="n"/>
      <c r="J340" s="69" t="n"/>
      <c r="K340" s="69" t="inlineStr">
        <is>
          <t>https://amazon.com/dp/B0DXVXVCHJ</t>
        </is>
      </c>
      <c r="L340" s="114">
        <f>HYPERLINK(Table3258[[#This Row],[Column1]])</f>
        <v/>
      </c>
    </row>
    <row r="341" ht="45" customHeight="1" s="314">
      <c r="A341" s="35" t="inlineStr">
        <is>
          <t>iCarsoft MT V6 Motorcycle Diagnostic Scan Tool for K.TM, All System Motorbike OBD Scanner, Oil/ETC/ABS/Engine Idle Maintenance Tool for K.TM, Actuation Test, Battery Test</t>
        </is>
      </c>
      <c r="B341" s="35" t="inlineStr">
        <is>
          <t>B0FG2SMF6N</t>
        </is>
      </c>
      <c r="C341" s="35" t="inlineStr">
        <is>
          <t>Handheld</t>
        </is>
      </c>
      <c r="D341" s="359" t="n">
        <v>199.99</v>
      </c>
      <c r="E341" s="66" t="n">
        <v>546.13</v>
      </c>
      <c r="F341" s="66" t="n">
        <v>0</v>
      </c>
      <c r="G341" s="68" t="n">
        <v>2</v>
      </c>
      <c r="H341" s="70" t="n">
        <v>0</v>
      </c>
      <c r="I341" s="68" t="n"/>
      <c r="J341" s="69" t="n"/>
      <c r="K341" s="69" t="inlineStr">
        <is>
          <t>https://amazon.com/dp/B0FG2SMF6N</t>
        </is>
      </c>
      <c r="L341" s="114">
        <f>HYPERLINK(Table3258[[#This Row],[Column1]])</f>
        <v/>
      </c>
    </row>
    <row r="342" ht="30" customHeight="1" s="314">
      <c r="A342" s="35" t="inlineStr">
        <is>
          <t>Bidirectional OBD2 Scanner Diagnostic Tool, iCarsoft CR V3.0 Vehicle Scan Tool 45 Reset+38 Extra Services,All System, Active Test Code Reader, Auto VIN, Free Update</t>
        </is>
      </c>
      <c r="B342" s="35" t="inlineStr">
        <is>
          <t>B0D1CRWLFH</t>
        </is>
      </c>
      <c r="C342" s="35" t="inlineStr">
        <is>
          <t>Tablet</t>
        </is>
      </c>
      <c r="D342" s="359" t="n">
        <v>319.99</v>
      </c>
      <c r="E342" s="66" t="n">
        <v>4648.29</v>
      </c>
      <c r="F342" s="66" t="n">
        <v>0</v>
      </c>
      <c r="G342" s="68" t="n">
        <v>15</v>
      </c>
      <c r="H342" s="70" t="n">
        <v>0</v>
      </c>
      <c r="I342" s="68" t="n">
        <v>22</v>
      </c>
      <c r="J342" s="69" t="n">
        <v>3.4</v>
      </c>
      <c r="K342" s="69" t="inlineStr">
        <is>
          <t>https://amazon.com/dp/B0D1CRWLFH</t>
        </is>
      </c>
      <c r="L342" s="114">
        <f>HYPERLINK(Table3258[[#This Row],[Column1]])</f>
        <v/>
      </c>
    </row>
    <row r="343" ht="45" customHeight="1" s="314">
      <c r="A343" s="35" t="inlineStr">
        <is>
          <t>iCarsoft MT V6 Plus Motorcycle Diagnostic Tool for Harley/BMW/Kawasaki/Indian etc, 21 Brands, Motorbike Full System All Maintenance Reset, Actuation Test, Moto Code Reader+Car OBD2 Diagnostics 2 in 1</t>
        </is>
      </c>
      <c r="B343" s="35" t="inlineStr">
        <is>
          <t>B0FNM3PLRY</t>
        </is>
      </c>
      <c r="C343" s="35" t="inlineStr">
        <is>
          <t>Tablet</t>
        </is>
      </c>
      <c r="D343" s="359" t="n">
        <v>299.99</v>
      </c>
      <c r="E343" s="66" t="n">
        <v>14528.25</v>
      </c>
      <c r="F343" s="66" t="n">
        <v>0</v>
      </c>
      <c r="G343" s="68" t="n">
        <v>48</v>
      </c>
      <c r="H343" s="70" t="n">
        <v>0</v>
      </c>
      <c r="I343" s="68" t="n">
        <v>5</v>
      </c>
      <c r="J343" s="69" t="n">
        <v>2.6</v>
      </c>
      <c r="K343" s="69" t="inlineStr">
        <is>
          <t>https://amazon.com/dp/B0FNM3PLRY</t>
        </is>
      </c>
      <c r="L343" s="114">
        <f>HYPERLINK(Table3258[[#This Row],[Column1]])</f>
        <v/>
      </c>
    </row>
    <row r="344" ht="30" customHeight="1" s="314">
      <c r="A344" s="35" t="inlineStr">
        <is>
          <t>iCarsoft CR V2.0 OBD2 Scanner for Porsche/BMW/VAG/Volvo,etc,8 Resets/Full Systems/Battery Reset, Auto Diagnostic Tool ABS SRS SAS Transmission Code Reader, 118 Live Data Check Engine Light Scan Tool</t>
        </is>
      </c>
      <c r="B344" s="35" t="inlineStr">
        <is>
          <t>B0DCNNS8N3</t>
        </is>
      </c>
      <c r="C344" s="35" t="inlineStr">
        <is>
          <t>Tablet</t>
        </is>
      </c>
      <c r="D344" s="359" t="n">
        <v>229.99</v>
      </c>
      <c r="E344" s="66" t="n">
        <v>9727.360000000001</v>
      </c>
      <c r="F344" s="66" t="n">
        <v>0</v>
      </c>
      <c r="G344" s="68" t="n">
        <v>47</v>
      </c>
      <c r="H344" s="70" t="n">
        <v>0</v>
      </c>
      <c r="I344" s="68" t="n">
        <v>4</v>
      </c>
      <c r="J344" s="69" t="n">
        <v>3.6</v>
      </c>
      <c r="K344" s="69" t="inlineStr">
        <is>
          <t>https://amazon.com/dp/B0DCNNS8N3</t>
        </is>
      </c>
      <c r="L344" s="114">
        <f>HYPERLINK(Table3258[[#This Row],[Column1]])</f>
        <v/>
      </c>
    </row>
    <row r="345" ht="45" customHeight="1" s="314">
      <c r="A345" s="35" t="inlineStr">
        <is>
          <t>iCarsoft VAWS V3.0 for VW/Audi/Seat/Skoda Diagnostic Tool with auto VIN/Quick Test/Actuation Test</t>
        </is>
      </c>
      <c r="B345" s="35" t="inlineStr">
        <is>
          <t>B08R9L5ZT6</t>
        </is>
      </c>
      <c r="C345" s="35" t="inlineStr">
        <is>
          <t>Tablet</t>
        </is>
      </c>
      <c r="D345" s="359" t="n">
        <v>203.06</v>
      </c>
      <c r="E345" s="66" t="n">
        <v>4843.209999999999</v>
      </c>
      <c r="F345" s="66" t="n">
        <v>0</v>
      </c>
      <c r="G345" s="68" t="n">
        <v>22</v>
      </c>
      <c r="H345" s="70" t="n">
        <v>0</v>
      </c>
      <c r="I345" s="68" t="n">
        <v>90</v>
      </c>
      <c r="J345" s="69" t="n">
        <v>3.8</v>
      </c>
      <c r="K345" s="69" t="inlineStr">
        <is>
          <t>https://amazon.com/dp/B08R9L5ZT6</t>
        </is>
      </c>
      <c r="L345" s="114">
        <f>HYPERLINK(Table3258[[#This Row],[Column1]])</f>
        <v/>
      </c>
    </row>
    <row r="346" ht="45" customHeight="1" s="314">
      <c r="A346" s="35" t="inlineStr">
        <is>
          <t>iCarsoft JP V3.0 OBD2 Scanner for Toyota/Honda (Acura) /Lexus, All Reset+Full System Diagnostic Scan Tool Car Code Reader for Nissan/Infiniti/Mitsubishi/Mazda/Suzuki/Hyundai -2025</t>
        </is>
      </c>
      <c r="B346" s="35" t="inlineStr">
        <is>
          <t>B01NGU0YAG</t>
        </is>
      </c>
      <c r="C346" s="35" t="inlineStr">
        <is>
          <t>Tablet</t>
        </is>
      </c>
      <c r="D346" s="359" t="n">
        <v>229.99</v>
      </c>
      <c r="E346" s="66" t="n">
        <v>8860.4</v>
      </c>
      <c r="F346" s="66" t="n">
        <v>0</v>
      </c>
      <c r="G346" s="68" t="n">
        <v>36</v>
      </c>
      <c r="H346" s="70" t="n">
        <v>0</v>
      </c>
      <c r="I346" s="68" t="n">
        <v>15</v>
      </c>
      <c r="J346" s="69" t="n">
        <v>3.7</v>
      </c>
      <c r="K346" s="69" t="inlineStr">
        <is>
          <t>https://amazon.com/dp/B01NGU0YAG</t>
        </is>
      </c>
      <c r="L346" s="114">
        <f>HYPERLINK(Table3258[[#This Row],[Column1]])</f>
        <v/>
      </c>
    </row>
    <row r="347" ht="17" customHeight="1" s="314">
      <c r="A347" s="35" t="inlineStr">
        <is>
          <t>iCarsoft CR V3.0 Free for 3 Vehicle Groups auto VIN/Quick Test/Actuation Test/Android OS/Touch Screen</t>
        </is>
      </c>
      <c r="B347" s="35" t="inlineStr">
        <is>
          <t>B08V93JFKC</t>
        </is>
      </c>
      <c r="C347" s="35" t="inlineStr">
        <is>
          <t>Tablet</t>
        </is>
      </c>
      <c r="D347" s="359" t="n">
        <v>258.97</v>
      </c>
      <c r="E347" s="66" t="n">
        <v>4292.43</v>
      </c>
      <c r="F347" s="66" t="n">
        <v>0</v>
      </c>
      <c r="G347" s="68" t="n">
        <v>18</v>
      </c>
      <c r="H347" s="70" t="n">
        <v>0</v>
      </c>
      <c r="I347" s="68" t="n">
        <v>15</v>
      </c>
      <c r="J347" s="69" t="n">
        <v>3.8</v>
      </c>
      <c r="K347" s="69" t="inlineStr">
        <is>
          <t>https://amazon.com/dp/B08V93JFKC</t>
        </is>
      </c>
      <c r="L347" s="114">
        <f>HYPERLINK(Table3258[[#This Row],[Column1]])</f>
        <v/>
      </c>
    </row>
    <row r="348">
      <c r="A348" s="35" t="inlineStr">
        <is>
          <t>iCarsoft VOL V 4.0 Bidirectional Diagnostic Scan Tool for Volvo/SAAB + 2 Car Brand Vehicles, All System, 29 Resets(239 Sub-Services) for Volvo/SAAB, Actuation Test, Battery Registration OBD2 Scanner</t>
        </is>
      </c>
      <c r="B348" s="35" t="inlineStr">
        <is>
          <t>B0FS6LTW3P</t>
        </is>
      </c>
      <c r="C348" s="35" t="inlineStr">
        <is>
          <t>Tablet</t>
        </is>
      </c>
      <c r="D348" s="359" t="n">
        <v>269.99</v>
      </c>
      <c r="E348" s="66" t="n">
        <v>7472.299999999999</v>
      </c>
      <c r="F348" s="66" t="n">
        <v>0</v>
      </c>
      <c r="G348" s="68" t="n">
        <v>28</v>
      </c>
      <c r="H348" s="70" t="n">
        <v>0</v>
      </c>
      <c r="I348" s="68" t="n">
        <v>2</v>
      </c>
      <c r="J348" s="69" t="n">
        <v>3</v>
      </c>
      <c r="K348" s="69" t="inlineStr">
        <is>
          <t>https://amazon.com/dp/B0FS6LTW3P</t>
        </is>
      </c>
      <c r="L348" s="114">
        <f>HYPERLINK(Table3258[[#This Row],[Column1]])</f>
        <v/>
      </c>
    </row>
    <row r="349">
      <c r="A349" s="35" t="inlineStr">
        <is>
          <t>iCarsoft Auto Diagnostic Scanner VOL V1.0 for Volvo/SAAB with Airbag Scan,Oil Service Reset, SAS Reset ect</t>
        </is>
      </c>
      <c r="B349" s="35" t="inlineStr">
        <is>
          <t>B07F363S3Q</t>
        </is>
      </c>
      <c r="C349" s="35" t="inlineStr">
        <is>
          <t>Handheld</t>
        </is>
      </c>
      <c r="D349" s="359" t="n">
        <v>113.95</v>
      </c>
      <c r="E349" s="66" t="n">
        <v>703.0599999999999</v>
      </c>
      <c r="F349" s="66" t="n">
        <v>0</v>
      </c>
      <c r="G349" s="68" t="n">
        <v>6</v>
      </c>
      <c r="H349" s="70" t="n">
        <v>0</v>
      </c>
      <c r="I349" s="68" t="n">
        <v>10</v>
      </c>
      <c r="J349" s="69" t="n">
        <v>4.1</v>
      </c>
      <c r="K349" s="69" t="inlineStr">
        <is>
          <t>https://amazon.com/dp/B07F363S3Q</t>
        </is>
      </c>
      <c r="L349" s="114">
        <f>HYPERLINK(Table3258[[#This Row],[Column1]])</f>
        <v/>
      </c>
    </row>
    <row r="350">
      <c r="A350" s="35" t="inlineStr">
        <is>
          <t>iCarsoft Scanner Tool AIRBAG SRS Code Reader Oil Reset i960 911 997 981</t>
        </is>
      </c>
      <c r="B350" s="35" t="inlineStr">
        <is>
          <t>B015DN8OIS</t>
        </is>
      </c>
      <c r="C350" s="35" t="inlineStr">
        <is>
          <t>Tablet</t>
        </is>
      </c>
      <c r="D350" s="359" t="n">
        <v>149.94</v>
      </c>
      <c r="E350" s="66" t="n">
        <v>605.6099999999999</v>
      </c>
      <c r="F350" s="66" t="n">
        <v>0</v>
      </c>
      <c r="G350" s="68" t="n">
        <v>4</v>
      </c>
      <c r="H350" s="70" t="n">
        <v>0</v>
      </c>
      <c r="I350" s="68" t="n">
        <v>88</v>
      </c>
      <c r="J350" s="69" t="n">
        <v>4.2</v>
      </c>
      <c r="K350" s="69" t="inlineStr">
        <is>
          <t>https://amazon.com/dp/B015DN8OIS</t>
        </is>
      </c>
      <c r="L350" s="114">
        <f>HYPERLINK(Table3258[[#This Row],[Column1]])</f>
        <v/>
      </c>
    </row>
    <row r="351">
      <c r="A351" s="35" t="inlineStr">
        <is>
          <t>iCarsoft US V2.0 Diagnostic Scan Tool for American Vehicles Ford/GM (Cherolet/Buick/Cadillac/GMC)/Chrysler/Jeep/Holden +Oil Reset +EPB+BMS+DPF+SAS+ETC+BLD+INJ</t>
        </is>
      </c>
      <c r="B351" s="35" t="inlineStr">
        <is>
          <t>B07KR42RTT</t>
        </is>
      </c>
      <c r="C351" s="35" t="inlineStr">
        <is>
          <t>Tablet</t>
        </is>
      </c>
      <c r="D351" s="359" t="n">
        <v>149.95</v>
      </c>
      <c r="E351" s="66" t="n">
        <v>3514.3</v>
      </c>
      <c r="F351" s="66" t="n">
        <v>0</v>
      </c>
      <c r="G351" s="68" t="n">
        <v>25</v>
      </c>
      <c r="H351" s="70" t="n">
        <v>0</v>
      </c>
      <c r="I351" s="68" t="n">
        <v>77</v>
      </c>
      <c r="J351" s="69" t="n">
        <v>3.9</v>
      </c>
      <c r="K351" s="69" t="inlineStr">
        <is>
          <t>https://amazon.com/dp/B07KR42RTT</t>
        </is>
      </c>
      <c r="L351" s="114">
        <f>HYPERLINK(Table3258[[#This Row],[Column1]])</f>
        <v/>
      </c>
    </row>
    <row r="352">
      <c r="A352" s="35" t="inlineStr">
        <is>
          <t>iCarsoft POR V3.0 Scanner for Porsche, 27 Reset Servics OBD2 Scanner Code Reader,ABS Bleeding, SAS/Oil/BMS Reset,4-in-1 Graph Data,Actuation Test, Lifelong Updates</t>
        </is>
      </c>
      <c r="B352" s="35" t="inlineStr">
        <is>
          <t>B0DXVQL3YF</t>
        </is>
      </c>
      <c r="C352" s="35" t="inlineStr">
        <is>
          <t>Tablet</t>
        </is>
      </c>
      <c r="D352" s="359" t="n">
        <v>189.95</v>
      </c>
      <c r="E352" s="66" t="n">
        <v>2215.7</v>
      </c>
      <c r="F352" s="66" t="n">
        <v>0</v>
      </c>
      <c r="G352" s="68" t="n">
        <v>11</v>
      </c>
      <c r="H352" s="70" t="n">
        <v>0</v>
      </c>
      <c r="I352" s="68" t="n">
        <v>11</v>
      </c>
      <c r="J352" s="69" t="n">
        <v>3.8</v>
      </c>
      <c r="K352" s="69" t="inlineStr">
        <is>
          <t>https://amazon.com/dp/B0DXVQL3YF</t>
        </is>
      </c>
      <c r="L352" s="114">
        <f>HYPERLINK(Table3258[[#This Row],[Column1]])</f>
        <v/>
      </c>
    </row>
    <row r="353">
      <c r="A353" s="35" t="inlineStr">
        <is>
          <t>iCarsoft Bidirectional Scan Tool CR Max Enhanced Ver, OBD2 Scanner All System Diagnostic Tool with CAN FD ECU Coding 38-Pin Adapter for Benz, 49 Resets+46 Services Code Reader-Oil/EPB/SAS/BMS/TCM/ETC</t>
        </is>
      </c>
      <c r="B353" s="35" t="inlineStr">
        <is>
          <t>B0DW99LD7K</t>
        </is>
      </c>
      <c r="C353" s="35" t="inlineStr">
        <is>
          <t>Tablet</t>
        </is>
      </c>
      <c r="D353" s="359" t="n">
        <v>421.99</v>
      </c>
      <c r="E353" s="66" t="n">
        <v>8455.630000000001</v>
      </c>
      <c r="F353" s="66" t="n">
        <v>0</v>
      </c>
      <c r="G353" s="68" t="n">
        <v>24</v>
      </c>
      <c r="H353" s="70" t="n">
        <v>0</v>
      </c>
      <c r="I353" s="68" t="n">
        <v>5</v>
      </c>
      <c r="J353" s="69" t="n">
        <v>3.4</v>
      </c>
      <c r="K353" s="69" t="inlineStr">
        <is>
          <t>https://amazon.com/dp/B0DW99LD7K</t>
        </is>
      </c>
      <c r="L353" s="114">
        <f>HYPERLINK(Table3258[[#This Row],[Column1]])</f>
        <v/>
      </c>
    </row>
    <row r="354">
      <c r="A354" s="35" t="inlineStr">
        <is>
          <t>iCarsoft BMM V4.0 Bi-Directional Scan Tool for BMW/MINI/Rolls Royce, Full System Diagnostic Tool, 14+ Reset Service, OBD2 Scanner, Auto VIN, 2 Extra Brands Available, Lifetime Free Update</t>
        </is>
      </c>
      <c r="B354" s="35" t="inlineStr">
        <is>
          <t>B0GC86F17Q</t>
        </is>
      </c>
      <c r="C354" s="35" t="inlineStr">
        <is>
          <t>Tablet</t>
        </is>
      </c>
      <c r="D354" s="359" t="n">
        <v>249.99</v>
      </c>
      <c r="E354" s="66" t="n">
        <v>0</v>
      </c>
      <c r="F354" s="66" t="n">
        <v>0</v>
      </c>
      <c r="G354" s="68" t="n">
        <v>0</v>
      </c>
      <c r="H354" s="70" t="n">
        <v>0</v>
      </c>
      <c r="I354" s="68" t="n"/>
      <c r="J354" s="69" t="n"/>
      <c r="K354" s="69" t="inlineStr">
        <is>
          <t>https://amazon.com/dp/B0GC86F17Q</t>
        </is>
      </c>
      <c r="L354" s="114">
        <f>HYPERLINK(TABLE354)</f>
        <v/>
      </c>
    </row>
    <row r="355">
      <c r="A355" s="35" t="inlineStr">
        <is>
          <t>Multi-System Auto Diagnostic Tool MB V1.0 for Mercedes-Benz/Sprinter/Smart with Oil Reset (Red)</t>
        </is>
      </c>
      <c r="B355" s="35" t="inlineStr">
        <is>
          <t>B0787ZC4Z1</t>
        </is>
      </c>
      <c r="C355" s="35" t="inlineStr">
        <is>
          <t>Handheld</t>
        </is>
      </c>
      <c r="D355" s="359" t="n">
        <v>164.03</v>
      </c>
      <c r="E355" s="66" t="n">
        <v>187.19</v>
      </c>
      <c r="F355" s="66" t="n">
        <v>0</v>
      </c>
      <c r="G355" s="68" t="n">
        <v>1</v>
      </c>
      <c r="H355" s="70" t="n">
        <v>0</v>
      </c>
      <c r="I355" s="68" t="n">
        <v>14</v>
      </c>
      <c r="J355" s="69" t="n">
        <v>4.4</v>
      </c>
      <c r="K355" s="69" t="inlineStr">
        <is>
          <t>https://amazon.com/dp/B0787ZC4Z1</t>
        </is>
      </c>
      <c r="L355" s="114">
        <f>HYPERLINK(TABLE355)</f>
        <v/>
      </c>
    </row>
    <row r="356">
      <c r="A356" s="35" t="inlineStr">
        <is>
          <t>iCarsoft Auto Diagnostic Scanner TYT V1.0 for Toyota/Lexus/Scion/Isuzu, ABS, SRS, Oil Service Reset ect (Red)</t>
        </is>
      </c>
      <c r="B356" s="35" t="inlineStr">
        <is>
          <t>B07L2XCXN7</t>
        </is>
      </c>
      <c r="C356" s="35" t="inlineStr">
        <is>
          <t>Handheld</t>
        </is>
      </c>
      <c r="D356" s="359" t="n">
        <v>160.3</v>
      </c>
      <c r="E356" s="66" t="n">
        <v>729.21</v>
      </c>
      <c r="F356" s="66" t="n">
        <v>0</v>
      </c>
      <c r="G356" s="68" t="n">
        <v>5</v>
      </c>
      <c r="H356" s="70" t="n">
        <v>0</v>
      </c>
      <c r="I356" s="68" t="n">
        <v>3</v>
      </c>
      <c r="J356" s="69" t="n">
        <v>3.8</v>
      </c>
      <c r="K356" s="69" t="inlineStr">
        <is>
          <t>https://amazon.com/dp/B07L2XCXN7</t>
        </is>
      </c>
      <c r="L356" s="114">
        <f>HYPERLINK(TABLE356)</f>
        <v/>
      </c>
    </row>
    <row r="357">
      <c r="A357" s="35" t="inlineStr">
        <is>
          <t>Bidirectional Scan Tool iCarsoft CR Ultra ECU Coding &amp; TPMS Programming Tool/12V Battery Tester/Topology Map/All Systems OBD2 Scanner Diagnostic Tool 41 Resets DOIP Car Code Reader</t>
        </is>
      </c>
      <c r="B357" s="35" t="inlineStr">
        <is>
          <t>B0DXJVF9FX</t>
        </is>
      </c>
      <c r="C357" s="35" t="inlineStr">
        <is>
          <t>Tablet</t>
        </is>
      </c>
      <c r="D357" s="359" t="n">
        <v>1399.99</v>
      </c>
      <c r="E357" s="66" t="n">
        <v>8560.27</v>
      </c>
      <c r="F357" s="66" t="n">
        <v>0</v>
      </c>
      <c r="G357" s="68" t="n">
        <v>5</v>
      </c>
      <c r="H357" s="70" t="n">
        <v>0</v>
      </c>
      <c r="I357" s="68" t="n">
        <v>1</v>
      </c>
      <c r="J357" s="69" t="n">
        <v>5</v>
      </c>
      <c r="K357" s="69" t="inlineStr">
        <is>
          <t>https://amazon.com/dp/B0DXJVF9FX</t>
        </is>
      </c>
      <c r="L357" s="114">
        <f>HYPERLINK(TABLE357)</f>
        <v/>
      </c>
    </row>
    <row r="358">
      <c r="A358" s="35" t="inlineStr">
        <is>
          <t>iCarsoft MT PRO Motorcycle Diagnostic Tool for Harley/BMW/Kawasaki/Indian etc. All Motorbikes Full System All Maintenance Reset, Actuation Test, Touchscreen Code Reader, Also Car OBD2 Diagnose</t>
        </is>
      </c>
      <c r="B358" s="35" t="inlineStr">
        <is>
          <t>B0FHWPN7LB</t>
        </is>
      </c>
      <c r="C358" s="35" t="inlineStr">
        <is>
          <t>Tablet</t>
        </is>
      </c>
      <c r="D358" s="359" t="n">
        <v>789.99</v>
      </c>
      <c r="E358" s="66" t="n">
        <v>5600.27</v>
      </c>
      <c r="F358" s="66" t="n">
        <v>0</v>
      </c>
      <c r="G358" s="68" t="n">
        <v>7</v>
      </c>
      <c r="H358" s="70" t="n">
        <v>0</v>
      </c>
      <c r="I358" s="68" t="n"/>
      <c r="J358" s="69" t="n"/>
      <c r="K358" s="69" t="inlineStr">
        <is>
          <t>https://amazon.com/dp/B0FHWPN7LB</t>
        </is>
      </c>
      <c r="L358" s="114">
        <f>HYPERLINK(TABLE358)</f>
        <v/>
      </c>
    </row>
    <row r="359">
      <c r="A359" s="35" t="inlineStr">
        <is>
          <t>iCarsoft 4-in-1 Bidirectional Diagnostic Tool + Battery Tester + TPMS Programmer +OBD2 Scanner with 26 Reset Service/Endoscope, CR Legend All System Scan Tool with Printer, Lifetime Free Upgrade</t>
        </is>
      </c>
      <c r="B359" s="35" t="inlineStr">
        <is>
          <t>B0DPVMHCSK</t>
        </is>
      </c>
      <c r="C359" s="35" t="inlineStr">
        <is>
          <t>Tablet</t>
        </is>
      </c>
      <c r="D359" s="359" t="n">
        <v>689.95</v>
      </c>
      <c r="E359" s="66" t="n">
        <v>0</v>
      </c>
      <c r="F359" s="66" t="n">
        <v>0</v>
      </c>
      <c r="G359" s="68" t="n">
        <v>0</v>
      </c>
      <c r="H359" s="70" t="n">
        <v>0</v>
      </c>
      <c r="I359" s="68" t="n"/>
      <c r="J359" s="69" t="n"/>
      <c r="K359" s="69" t="inlineStr">
        <is>
          <t>https://amazon.com/dp/B0DPVMHCSK</t>
        </is>
      </c>
      <c r="L359" s="114">
        <f>HYPERLINK(TABLE359)</f>
        <v/>
      </c>
    </row>
    <row r="360">
      <c r="A360" s="41" t="inlineStr">
        <is>
          <t>Total</t>
        </is>
      </c>
      <c r="B360" s="41" t="n"/>
      <c r="C360" s="365" t="n"/>
      <c r="D360" s="122" t="n"/>
      <c r="E360" s="122" t="n"/>
      <c r="F360" s="122" t="n"/>
      <c r="G360" s="123">
        <f>SUM(G187:G359)</f>
        <v/>
      </c>
      <c r="H360" s="123">
        <f>SUM(H187:H359)</f>
        <v/>
      </c>
      <c r="I360" s="123" t="n"/>
      <c r="J360" s="128" t="n"/>
      <c r="K360" s="134" t="n"/>
    </row>
  </sheetData>
  <mergeCells count="3">
    <mergeCell ref="A1:L5"/>
    <mergeCell ref="A7:L7"/>
    <mergeCell ref="A178:L178"/>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codeName="Sheet20">
    <outlinePr summaryBelow="1" summaryRight="1"/>
    <pageSetUpPr/>
  </sheetPr>
  <dimension ref="A1:L64"/>
  <sheetViews>
    <sheetView workbookViewId="0">
      <selection activeCell="M10" sqref="M10"/>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6640625" customWidth="1" style="308" min="11" max="11"/>
    <col width="35.6640625" customWidth="1" style="308" min="12" max="12"/>
    <col width="12.6640625" customWidth="1" style="308" min="13" max="16384"/>
  </cols>
  <sheetData>
    <row r="1">
      <c r="A1" s="323" t="inlineStr">
        <is>
          <t>KINGBOLEN Monthly Summary</t>
        </is>
      </c>
    </row>
    <row r="2"/>
    <row r="3"/>
    <row r="4"/>
    <row r="5"/>
    <row r="6">
      <c r="B6" s="60" t="n"/>
      <c r="C6" s="366" t="n"/>
      <c r="E6" s="60" t="n"/>
      <c r="F6" s="62" t="n"/>
      <c r="G6" s="62" t="n"/>
      <c r="H6" s="62" t="n"/>
      <c r="I6" s="63" t="n"/>
      <c r="J6" s="60"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KINGBOLEN Ediag Elite OBD2 Scanner Bluetooth, Bidirectional Test Scanner All System Diagnostic Tool for iOS &amp; Android, 15+ Hot Reset, CANFD Protocol, FCA AutoAuth, No Subscriptions Lifetime Update</t>
        </is>
      </c>
      <c r="B9" s="35" t="inlineStr">
        <is>
          <t>B0DP8PH63Q</t>
        </is>
      </c>
      <c r="C9" s="35" t="inlineStr">
        <is>
          <t>Dongle</t>
        </is>
      </c>
      <c r="D9" s="359" t="n">
        <v>99.80950186799502</v>
      </c>
      <c r="E9" s="66" t="n">
        <v>1252812.66</v>
      </c>
      <c r="F9" s="67" t="n">
        <v>80147.03</v>
      </c>
      <c r="G9" s="68" t="n">
        <v>12342</v>
      </c>
      <c r="H9" s="68" t="n">
        <v>803</v>
      </c>
      <c r="I9" s="68" t="n">
        <v>705</v>
      </c>
      <c r="J9" s="69" t="n">
        <v>4.2</v>
      </c>
      <c r="K9" s="69" t="inlineStr">
        <is>
          <t>https://amazon.com/dp/B0DP8PH63Q</t>
        </is>
      </c>
      <c r="L9" s="114">
        <f>HYPERLINK(Table37[[#This Row],[Column1]])</f>
        <v/>
      </c>
    </row>
    <row r="10" ht="45" customHeight="1" s="314">
      <c r="A10" s="35" t="inlineStr">
        <is>
          <t>KINGBOLEN K8 Pro OBD2 Scanner Bluetooth 2026 Bidirectional Scan Tool with Lifetime No Subscription Update 8'' All System Diagnostic Tool, ECU Code, 34+ Reset, CANFD&amp;DOIP, V.A.G Guide, FCA AutoAuth</t>
        </is>
      </c>
      <c r="B10" s="35" t="inlineStr">
        <is>
          <t>B0BW89GCZ9</t>
        </is>
      </c>
      <c r="C10" s="35" t="inlineStr">
        <is>
          <t>Tablet</t>
        </is>
      </c>
      <c r="D10" s="359" t="n">
        <v>647.5740243902439</v>
      </c>
      <c r="E10" s="66" t="n">
        <v>362212.34</v>
      </c>
      <c r="F10" s="67" t="n">
        <v>53101.07</v>
      </c>
      <c r="G10" s="68" t="n">
        <v>567</v>
      </c>
      <c r="H10" s="68" t="n">
        <v>82</v>
      </c>
      <c r="I10" s="68" t="n">
        <v>74</v>
      </c>
      <c r="J10" s="69" t="n">
        <v>4.4</v>
      </c>
      <c r="K10" s="69" t="inlineStr">
        <is>
          <t>https://amazon.com/dp/B0BW89GCZ9</t>
        </is>
      </c>
      <c r="L10" s="114">
        <f>HYPERLINK(Table37[[#This Row],[Column1]])</f>
        <v/>
      </c>
    </row>
    <row r="11" ht="60" customHeight="1" s="314">
      <c r="A11" s="35" t="inlineStr">
        <is>
          <t>Ediag Elite KINGBOLEN Bluetooth OBD2 Scanner, Lifetime NO Cost Update Bidirectional Scan Tool for iOS &amp; Android, Wireless Full System Car Diagnostic Scanner, 15+ Reset Service, CANFD, FCA AutoAuth</t>
        </is>
      </c>
      <c r="B11" s="35" t="inlineStr">
        <is>
          <t>B0FM3QWZCZ</t>
        </is>
      </c>
      <c r="C11" s="35" t="inlineStr">
        <is>
          <t>Tablet</t>
        </is>
      </c>
      <c r="D11" s="359" t="n">
        <v>98.50624454148472</v>
      </c>
      <c r="E11" s="66" t="n">
        <v>351632.7461538463</v>
      </c>
      <c r="F11" s="67" t="n">
        <v>45115.86</v>
      </c>
      <c r="G11" s="68" t="n">
        <v>1440</v>
      </c>
      <c r="H11" s="68" t="n">
        <v>458</v>
      </c>
      <c r="I11" s="68" t="n">
        <v>100</v>
      </c>
      <c r="J11" s="69" t="n">
        <v>4.5</v>
      </c>
      <c r="K11" s="69" t="inlineStr">
        <is>
          <t>https://amazon.com/dp/B0FM3QWZCZ</t>
        </is>
      </c>
      <c r="L11" s="114">
        <f>HYPERLINK(Table37[[#This Row],[Column1]])</f>
        <v/>
      </c>
    </row>
    <row r="12" ht="45" customHeight="1" s="314">
      <c r="A12" s="35" t="inlineStr">
        <is>
          <t>KINGBOLEN K7 Bidirectional Scan Tool 2026 OBD2 Scanner Bluetooth with Lifetime Updates, No Annual Fees, 31+ Resets, Component Matching, All System Diagnostic, CAN FD, FCA AutoAuth, Crankshaft Relearn</t>
        </is>
      </c>
      <c r="B12" s="35" t="inlineStr">
        <is>
          <t>B0C3B3497C</t>
        </is>
      </c>
      <c r="C12" s="35" t="inlineStr">
        <is>
          <t>Tablet</t>
        </is>
      </c>
      <c r="D12" s="359" t="n">
        <v>446.3182828282829</v>
      </c>
      <c r="E12" s="66" t="n">
        <v>608272.9299999998</v>
      </c>
      <c r="F12" s="67" t="n">
        <v>44185.51</v>
      </c>
      <c r="G12" s="68" t="n">
        <v>1399</v>
      </c>
      <c r="H12" s="68" t="n">
        <v>99</v>
      </c>
      <c r="I12" s="68" t="n">
        <v>239</v>
      </c>
      <c r="J12" s="69" t="n">
        <v>4.4</v>
      </c>
      <c r="K12" s="69" t="inlineStr">
        <is>
          <t>https://amazon.com/dp/B0C3B3497C</t>
        </is>
      </c>
      <c r="L12" s="114">
        <f>HYPERLINK(Table37[[#This Row],[Column1]])</f>
        <v/>
      </c>
    </row>
    <row r="13" ht="45" customHeight="1" s="314">
      <c r="A13" s="35" t="inlineStr">
        <is>
          <t>KINGBOLEN S6 Elite OBD2 Scanner, 2026 Bidirectional Scan Tool, 15 Reset, Active Test, All System Car Diagnostic Scanner, CAN FD/FCA/Renault SGW, Lifetime Free Upgrade Scanner for Car, Upgraded of S608</t>
        </is>
      </c>
      <c r="B13" s="35" t="inlineStr">
        <is>
          <t>B0G62XXJKF</t>
        </is>
      </c>
      <c r="C13" s="35" t="inlineStr">
        <is>
          <t>Tablet</t>
        </is>
      </c>
      <c r="D13" s="359" t="n">
        <v>248.4879838709677</v>
      </c>
      <c r="E13" s="66" t="n">
        <v>372570.6123076924</v>
      </c>
      <c r="F13" s="67" t="n">
        <v>30812.51</v>
      </c>
      <c r="G13" s="68" t="n">
        <v>446</v>
      </c>
      <c r="H13" s="68" t="n">
        <v>124</v>
      </c>
      <c r="I13" s="68" t="n">
        <v>51</v>
      </c>
      <c r="J13" s="69" t="n">
        <v>4.4</v>
      </c>
      <c r="K13" s="69" t="inlineStr">
        <is>
          <t>https://amazon.com/dp/B0G62XXJKF</t>
        </is>
      </c>
      <c r="L13" s="114">
        <f>HYPERLINK(Table37[[#This Row],[Column1]])</f>
        <v/>
      </c>
    </row>
    <row r="14" ht="45" customHeight="1" s="314">
      <c r="A14" s="35" t="inlineStr">
        <is>
          <t>KINGBOLEN OBD2 Scanner S608, 2026 Bidirectional Scan Tool for ABS/SRS/Transmission/Engine, 9 Resets Oil Brake DPF Bleed Gear Injector Throttle BMS SAS, CAN FD &amp; FCA/Renault SGW, Lifetime Free Update</t>
        </is>
      </c>
      <c r="B14" s="35" t="inlineStr">
        <is>
          <t>B0FR8K9F4P</t>
        </is>
      </c>
      <c r="C14" s="35" t="inlineStr">
        <is>
          <t>Tablet</t>
        </is>
      </c>
      <c r="D14" s="359" t="n">
        <v>191.7537341772152</v>
      </c>
      <c r="E14" s="66" t="n">
        <v>390082.3776923076</v>
      </c>
      <c r="F14" s="67" t="n">
        <v>30297.09</v>
      </c>
      <c r="G14" s="68" t="n">
        <v>1142</v>
      </c>
      <c r="H14" s="68" t="n">
        <v>158</v>
      </c>
      <c r="I14" s="68" t="n">
        <v>111</v>
      </c>
      <c r="J14" s="69" t="n">
        <v>4.1</v>
      </c>
      <c r="K14" s="69" t="inlineStr">
        <is>
          <t>https://amazon.com/dp/B0FR8K9F4P</t>
        </is>
      </c>
      <c r="L14" s="114">
        <f>HYPERLINK(Table37[[#This Row],[Column1]])</f>
        <v/>
      </c>
    </row>
    <row r="15" ht="45" customHeight="1" s="314">
      <c r="A15" s="35" t="inlineStr">
        <is>
          <t>KINGBOLEN K10 Pro Full Systems 10" Car Scanner Topology Map, Bidirectional Scan Tool Bluetooth OBD2 Scanner, 41+ Reset Service, ECU Function, FCA AutoAuth, CANFD &amp; DOIP,2 Years Update, V.A.G Guided</t>
        </is>
      </c>
      <c r="B15" s="35" t="inlineStr">
        <is>
          <t>B0BW8B4D9Y</t>
        </is>
      </c>
      <c r="C15" s="35" t="inlineStr">
        <is>
          <t>Tablet</t>
        </is>
      </c>
      <c r="D15" s="359" t="n">
        <v>1004.7775</v>
      </c>
      <c r="E15" s="66" t="n">
        <v>192526.2407692308</v>
      </c>
      <c r="F15" s="67" t="n">
        <v>16076.44</v>
      </c>
      <c r="G15" s="68" t="n">
        <v>167</v>
      </c>
      <c r="H15" s="68" t="n">
        <v>16</v>
      </c>
      <c r="I15" s="68" t="n">
        <v>153</v>
      </c>
      <c r="J15" s="69" t="n">
        <v>4.2</v>
      </c>
      <c r="K15" s="69" t="inlineStr">
        <is>
          <t>https://amazon.com/dp/B0BW8B4D9Y</t>
        </is>
      </c>
      <c r="L15" s="114">
        <f>HYPERLINK(Table37[[#This Row],[Column1]])</f>
        <v/>
      </c>
    </row>
    <row r="16" ht="45" customHeight="1" s="314">
      <c r="A16" s="35" t="inlineStr">
        <is>
          <t>KINGBOLEN Ediag Plus Bluetooth Scanner, All System Bidirectional Test OBD2 Diagnostic Scanner for iOS &amp; Android with CANFD Protocol, Auto VIN, 15+ Rest, 1 Year Without fee Update</t>
        </is>
      </c>
      <c r="B16" s="35" t="inlineStr">
        <is>
          <t>B0C3GJTD45</t>
        </is>
      </c>
      <c r="C16" s="35" t="inlineStr">
        <is>
          <t>VCI</t>
        </is>
      </c>
      <c r="D16" s="359" t="n">
        <v>129.2433333333333</v>
      </c>
      <c r="E16" s="66" t="n">
        <v>117506.0692307692</v>
      </c>
      <c r="F16" s="67" t="n">
        <v>5815.95</v>
      </c>
      <c r="G16" s="68" t="n">
        <v>797</v>
      </c>
      <c r="H16" s="68" t="n">
        <v>45</v>
      </c>
      <c r="I16" s="68" t="n">
        <v>147</v>
      </c>
      <c r="J16" s="69" t="n">
        <v>4.3</v>
      </c>
      <c r="K16" s="69" t="inlineStr">
        <is>
          <t>https://amazon.com/dp/B0C3GJTD45</t>
        </is>
      </c>
      <c r="L16" s="114">
        <f>HYPERLINK(Table37[[#This Row],[Column1]])</f>
        <v/>
      </c>
    </row>
    <row r="17" ht="45" customHeight="1" s="314">
      <c r="A17" s="35" t="inlineStr">
        <is>
          <t>KINGBOLEN SOLOSCAN Bluetooth OBD2 Scanner for Mercedes-Benz MB (A/C/E/S/G/More), Maybach Bidirectional Scan Tool, All System Diagnostic, All Reset Service, Auto VIN, Lifetime Update for iOS &amp; Android</t>
        </is>
      </c>
      <c r="B17" s="35" t="inlineStr">
        <is>
          <t>B0GQZ2TL2J</t>
        </is>
      </c>
      <c r="C17" s="35" t="inlineStr">
        <is>
          <t>Dongle</t>
        </is>
      </c>
      <c r="D17" s="359" t="n">
        <v>100.4920454545454</v>
      </c>
      <c r="E17" s="66" t="n">
        <v>49318.40384615384</v>
      </c>
      <c r="F17" s="67" t="n">
        <v>4421.65</v>
      </c>
      <c r="G17" s="68" t="n">
        <v>44</v>
      </c>
      <c r="H17" s="68" t="n">
        <v>44</v>
      </c>
      <c r="I17" s="68" t="n">
        <v>18</v>
      </c>
      <c r="J17" s="69" t="n">
        <v>4.4</v>
      </c>
      <c r="K17" s="69" t="inlineStr">
        <is>
          <t>https://amazon.com/dp/B0GQZ2TL2J</t>
        </is>
      </c>
      <c r="L17" s="114">
        <f>HYPERLINK(Table37[[#This Row],[Column1]])</f>
        <v/>
      </c>
    </row>
    <row r="18" ht="45" customHeight="1" s="314">
      <c r="A18" s="35" t="inlineStr">
        <is>
          <t>KINGBOLEN Soloscan for Land Rover Jaguar OBD2 Scanner Bluetooth, All Reset Service, Bidirectional Scan Tool for iOS &amp; Android, Full System Car Diagnostic Scanner, No Subscriptions Lifetime Update</t>
        </is>
      </c>
      <c r="B18" s="35" t="inlineStr">
        <is>
          <t>B0GMFC443Q</t>
        </is>
      </c>
      <c r="C18" s="35" t="inlineStr">
        <is>
          <t>Dongle</t>
        </is>
      </c>
      <c r="D18" s="359" t="n">
        <v>99.7596875</v>
      </c>
      <c r="E18" s="66" t="n">
        <v>39110.97461538461</v>
      </c>
      <c r="F18" s="67" t="n">
        <v>3192.31</v>
      </c>
      <c r="G18" s="68" t="n">
        <v>67</v>
      </c>
      <c r="H18" s="68" t="n">
        <v>32</v>
      </c>
      <c r="I18" s="68" t="n">
        <v>22</v>
      </c>
      <c r="J18" s="69" t="n">
        <v>4</v>
      </c>
      <c r="K18" s="69" t="inlineStr">
        <is>
          <t>https://amazon.com/dp/B0GMFC443Q</t>
        </is>
      </c>
      <c r="L18" s="114">
        <f>HYPERLINK(Table37[[#This Row],[Column1]])</f>
        <v/>
      </c>
    </row>
    <row r="19" ht="45" customHeight="1" s="314">
      <c r="A19" s="35" t="inlineStr">
        <is>
          <t>KINGBOLEN K7 OBD2 Scanner Lifetime Update No Subscription Bidirectional Test Full System Bluetooth Diagnostic Scan Tool with Active Test, 31+ Resets, Autovin, TPMS Relearn, FCA AutoAuth</t>
        </is>
      </c>
      <c r="B19" s="35" t="inlineStr">
        <is>
          <t>B0CRCZCC65</t>
        </is>
      </c>
      <c r="C19" s="35" t="inlineStr">
        <is>
          <t>Tablet</t>
        </is>
      </c>
      <c r="D19" s="359" t="n">
        <v>472.72</v>
      </c>
      <c r="E19" s="66" t="n">
        <v>55506.83153846154</v>
      </c>
      <c r="F19" s="67" t="n">
        <v>2836.32</v>
      </c>
      <c r="G19" s="68" t="n">
        <v>116</v>
      </c>
      <c r="H19" s="68" t="n">
        <v>6</v>
      </c>
      <c r="I19" s="68" t="n">
        <v>27</v>
      </c>
      <c r="J19" s="69" t="n">
        <v>4.2</v>
      </c>
      <c r="K19" s="69" t="inlineStr">
        <is>
          <t>https://amazon.com/dp/B0CRCZCC65</t>
        </is>
      </c>
      <c r="L19" s="114">
        <f>HYPERLINK(Table37[[#This Row],[Column1]])</f>
        <v/>
      </c>
    </row>
    <row r="20" ht="45" customHeight="1" s="314">
      <c r="A20" s="35" t="inlineStr">
        <is>
          <t>KINGBOLEN Ediag OBD2 Scanner Bluetooth, Bidirectional Scanner All System Diagnostic Tool for iOS &amp; Android, Active Test,15+ Reset Function, FCA AutoAuth, 1 Year Update</t>
        </is>
      </c>
      <c r="B20" s="35" t="inlineStr">
        <is>
          <t>B0BTD38F8B</t>
        </is>
      </c>
      <c r="C20" s="35" t="inlineStr">
        <is>
          <t>Dongle</t>
        </is>
      </c>
      <c r="D20" s="359" t="n">
        <v>91.1704</v>
      </c>
      <c r="E20" s="66" t="n">
        <v>50993.11</v>
      </c>
      <c r="F20" s="67" t="n">
        <v>2279.26</v>
      </c>
      <c r="G20" s="68" t="n">
        <v>543</v>
      </c>
      <c r="H20" s="68" t="n">
        <v>25</v>
      </c>
      <c r="I20" s="68" t="n">
        <v>918</v>
      </c>
      <c r="J20" s="69" t="n">
        <v>3.9</v>
      </c>
      <c r="K20" s="69" t="inlineStr">
        <is>
          <t>https://amazon.com/dp/B0BTD38F8B</t>
        </is>
      </c>
      <c r="L20" s="114">
        <f>HYPERLINK(Table37[[#This Row],[Column1]])</f>
        <v/>
      </c>
    </row>
    <row r="21" ht="45" customHeight="1" s="314">
      <c r="A21" s="35" t="inlineStr">
        <is>
          <t>KINGBOLEN OBD2 Scanner S800 Car Scanner, OBD2 Diagnostic Scan Tool with 15 Reset, Oil Brake Throttle Service, Engine ABS SRS Transmission Code Reader, Battery Test, AutoVIN, Lifetime No Charge Update</t>
        </is>
      </c>
      <c r="B21" s="35" t="inlineStr">
        <is>
          <t>B0CRH8LFRY</t>
        </is>
      </c>
      <c r="C21" s="35" t="inlineStr">
        <is>
          <t>Tablet</t>
        </is>
      </c>
      <c r="D21" s="359" t="n">
        <v>157.0838461538461</v>
      </c>
      <c r="E21" s="66" t="n">
        <v>17899.53</v>
      </c>
      <c r="F21" s="67" t="n">
        <v>2042.09</v>
      </c>
      <c r="G21" s="68" t="n">
        <v>97</v>
      </c>
      <c r="H21" s="68" t="n">
        <v>13</v>
      </c>
      <c r="I21" s="68" t="n">
        <v>34</v>
      </c>
      <c r="J21" s="69" t="n">
        <v>3.9</v>
      </c>
      <c r="K21" s="69" t="inlineStr">
        <is>
          <t>https://amazon.com/dp/B0CRH8LFRY</t>
        </is>
      </c>
      <c r="L21" s="114">
        <f>HYPERLINK(Table37[[#This Row],[Column1]])</f>
        <v/>
      </c>
    </row>
    <row r="22" ht="45" customHeight="1" s="314">
      <c r="A22" s="35" t="inlineStr">
        <is>
          <t>OBD2 Scanner Bluetooth for Toyota &amp; Lexus, KINGBOLEN SOLOSCAN Bidirectional Full System Diagnostic Tool with Reset Services &amp; Active Tests, Lifetime Updates, iOS &amp; Android App Required, AutoVin</t>
        </is>
      </c>
      <c r="B22" s="35" t="inlineStr">
        <is>
          <t>B0GGHHYMSM</t>
        </is>
      </c>
      <c r="C22" s="35" t="inlineStr">
        <is>
          <t>Dongle</t>
        </is>
      </c>
      <c r="D22" s="359" t="n">
        <v>93.8347619047619</v>
      </c>
      <c r="E22" s="66" t="n">
        <v>21670.36769230769</v>
      </c>
      <c r="F22" s="67" t="n">
        <v>1970.53</v>
      </c>
      <c r="G22" s="68" t="n">
        <v>37</v>
      </c>
      <c r="H22" s="68" t="n">
        <v>21</v>
      </c>
      <c r="I22" s="68" t="n">
        <v>26</v>
      </c>
      <c r="J22" s="69" t="n">
        <v>3.8</v>
      </c>
      <c r="K22" s="69" t="inlineStr">
        <is>
          <t>https://amazon.com/dp/B0GGHHYMSM</t>
        </is>
      </c>
      <c r="L22" s="114">
        <f>HYPERLINK(Table37[[#This Row],[Column1]])</f>
        <v/>
      </c>
    </row>
    <row r="23" ht="45" customHeight="1" s="314">
      <c r="A23" s="35" t="inlineStr">
        <is>
          <t>KINGBOLEN YA200 OBD2 Scanner, Car OBD2 Code Reader Check Engine Light, Car Scanner OBDII Full Functions with Voltage Test OBD2 Scanner Diagnostic Tool for All OBDII CAN Protocol Cars Since 1996</t>
        </is>
      </c>
      <c r="B23" s="35" t="inlineStr">
        <is>
          <t>B0B8NB98YL</t>
        </is>
      </c>
      <c r="C23" s="35" t="inlineStr">
        <is>
          <t>Handheld</t>
        </is>
      </c>
      <c r="D23" s="359" t="n">
        <v>20.05162162162162</v>
      </c>
      <c r="E23" s="66" t="n">
        <v>22800.89</v>
      </c>
      <c r="F23" s="67" t="n">
        <v>1483.82</v>
      </c>
      <c r="G23" s="68" t="n">
        <v>1152</v>
      </c>
      <c r="H23" s="68" t="n">
        <v>74</v>
      </c>
      <c r="I23" s="68" t="n">
        <v>881</v>
      </c>
      <c r="J23" s="69" t="n">
        <v>4.4</v>
      </c>
      <c r="K23" s="69" t="inlineStr">
        <is>
          <t>https://amazon.com/dp/B0B8NB98YL</t>
        </is>
      </c>
      <c r="L23" s="114">
        <f>HYPERLINK(Table37[[#This Row],[Column1]])</f>
        <v/>
      </c>
    </row>
    <row r="24" ht="45" customHeight="1" s="314">
      <c r="A24" s="35" t="inlineStr">
        <is>
          <t>KINGBOLEN Protective Case Storage Bag for OBD2 Scanner Launch CRP123/CRP123 Plus/Creader VII+/CR529/CR3008 Plus Code Reader Diagnostic Scan Tool(Case Only)</t>
        </is>
      </c>
      <c r="B24" s="35" t="inlineStr">
        <is>
          <t>B0D4M5QHFJ</t>
        </is>
      </c>
      <c r="C24" s="35" t="inlineStr">
        <is>
          <t>Other</t>
        </is>
      </c>
      <c r="D24" s="359" t="n">
        <v>15.96971428571429</v>
      </c>
      <c r="E24" s="66" t="n">
        <v>15856.66</v>
      </c>
      <c r="F24" s="67" t="n">
        <v>1117.88</v>
      </c>
      <c r="G24" s="68" t="n">
        <v>950</v>
      </c>
      <c r="H24" s="68" t="n">
        <v>70</v>
      </c>
      <c r="I24" s="68" t="n">
        <v>78</v>
      </c>
      <c r="J24" s="69" t="n">
        <v>4.3</v>
      </c>
      <c r="K24" s="69" t="inlineStr">
        <is>
          <t>https://amazon.com/dp/B0D4M5QHFJ</t>
        </is>
      </c>
      <c r="L24" s="114">
        <f>HYPERLINK(Table37[[#This Row],[Column1]])</f>
        <v/>
      </c>
    </row>
    <row r="25" ht="45" customHeight="1" s="314">
      <c r="A25" s="35" t="inlineStr">
        <is>
          <t>KINGBOLEN OBD2 Scanner S500 Car Scanner, Lifetime NO Cost Update Diagnostic Scan Tool with 6 Reset,Oil/Brake/SAS/Throttle/Inject/ABS Reset, Engine ABS SRS Transmission OBD2 Code Reader, Battery Test</t>
        </is>
      </c>
      <c r="B25" s="35" t="inlineStr">
        <is>
          <t>B0CGRCVKQM</t>
        </is>
      </c>
      <c r="C25" s="35" t="inlineStr">
        <is>
          <t>Tablet</t>
        </is>
      </c>
      <c r="D25" s="359" t="n">
        <v>125.148</v>
      </c>
      <c r="E25" s="66" t="n">
        <v>25140.12</v>
      </c>
      <c r="F25" s="67" t="n">
        <v>625.74</v>
      </c>
      <c r="G25" s="68" t="n">
        <v>180</v>
      </c>
      <c r="H25" s="68" t="n">
        <v>5</v>
      </c>
      <c r="I25" s="68" t="n">
        <v>75</v>
      </c>
      <c r="J25" s="69" t="n">
        <v>4.2</v>
      </c>
      <c r="K25" s="69" t="inlineStr">
        <is>
          <t>https://amazon.com/dp/B0CGRCVKQM</t>
        </is>
      </c>
      <c r="L25" s="114">
        <f>HYPERLINK(Table37[[#This Row],[Column1]])</f>
        <v/>
      </c>
    </row>
    <row r="26" ht="45" customHeight="1" s="314">
      <c r="A26" s="35" t="inlineStr">
        <is>
          <t>KINGBOLEN K6 Pro OBD2 Scanner, 4-in-1 Full System Bidirectional Diagnostic Tool with Battery Test &amp; TPMS Diagnose&amp;Printer,ECU Code, FCA AutoAuth, CANFD/DoIP, 26+ Reset, 2 Year Free Update</t>
        </is>
      </c>
      <c r="B26" s="35" t="inlineStr">
        <is>
          <t>B0FR4MSCP6</t>
        </is>
      </c>
      <c r="C26" s="35" t="inlineStr">
        <is>
          <t>Tablet</t>
        </is>
      </c>
      <c r="D26" s="359" t="n">
        <v>285</v>
      </c>
      <c r="E26" s="66" t="n">
        <v>4459.568461538461</v>
      </c>
      <c r="F26" s="67" t="n">
        <v>285</v>
      </c>
      <c r="G26" s="68" t="n">
        <v>6</v>
      </c>
      <c r="H26" s="68" t="n">
        <v>1</v>
      </c>
      <c r="I26" s="68" t="n">
        <v>20</v>
      </c>
      <c r="J26" s="69" t="n">
        <v>4.4</v>
      </c>
      <c r="K26" s="69" t="inlineStr">
        <is>
          <t>https://amazon.com/dp/B0FR4MSCP6</t>
        </is>
      </c>
      <c r="L26" s="114">
        <f>HYPERLINK(Table37[[#This Row],[Column1]])</f>
        <v/>
      </c>
    </row>
    <row r="27" ht="45" customHeight="1" s="314">
      <c r="A27" s="35" t="inlineStr">
        <is>
          <t>KINGBOLEN OBD2 Scanner,Code Reader Automotive Engine Light Check Scan Tool Checks O2 Sensor and EVAP Systems with Full OBD2 Functions,Supports Mode6 with DTC Lookup, All 10 Modes of obd2. Black</t>
        </is>
      </c>
      <c r="B27" s="35" t="inlineStr">
        <is>
          <t>B08G4MYGNM</t>
        </is>
      </c>
      <c r="C27" s="35" t="inlineStr">
        <is>
          <t>Handheld</t>
        </is>
      </c>
      <c r="D27" s="359" t="n">
        <v>19.584</v>
      </c>
      <c r="E27" s="66" t="n">
        <v>2363.08</v>
      </c>
      <c r="F27" s="67" t="n">
        <v>97.92</v>
      </c>
      <c r="G27" s="68" t="n">
        <v>119</v>
      </c>
      <c r="H27" s="68" t="n">
        <v>5</v>
      </c>
      <c r="I27" s="68" t="n">
        <v>420</v>
      </c>
      <c r="J27" s="69" t="n">
        <v>4.4</v>
      </c>
      <c r="K27" s="69" t="inlineStr">
        <is>
          <t>https://amazon.com/dp/B08G4MYGNM</t>
        </is>
      </c>
      <c r="L27" s="114">
        <f>HYPERLINK(Table37[[#This Row],[Column1]])</f>
        <v/>
      </c>
    </row>
    <row r="28" ht="45" customHeight="1" s="314">
      <c r="A28" s="35" t="inlineStr">
        <is>
          <t>Kingbolen Soloscan for Honda Acura OBD2 Scanner Bluetooth, Bidirectional Test Full System Diagnostic Scan Tool for Android &amp; iOS, All Reset Services, AutoVin, Lifetime No Subscriptions</t>
        </is>
      </c>
      <c r="B28" s="35" t="inlineStr">
        <is>
          <t>B0GL7QNKCF</t>
        </is>
      </c>
      <c r="C28" s="35" t="inlineStr">
        <is>
          <t>Dongle</t>
        </is>
      </c>
      <c r="D28" s="359" t="n">
        <v>89.98999999999999</v>
      </c>
      <c r="E28" s="66" t="n">
        <v>0</v>
      </c>
      <c r="F28" s="67" t="n">
        <v>0</v>
      </c>
      <c r="G28" s="68" t="n">
        <v>0</v>
      </c>
      <c r="H28" s="68" t="n">
        <v>0</v>
      </c>
      <c r="I28" s="68" t="n"/>
      <c r="J28" s="69" t="n"/>
      <c r="K28" s="69" t="inlineStr">
        <is>
          <t>https://amazon.com/dp/B0GL7QNKCF</t>
        </is>
      </c>
      <c r="L28" s="114">
        <f>HYPERLINK(Table37[[#This Row],[Column1]])</f>
        <v/>
      </c>
    </row>
    <row r="29" ht="45" customHeight="1" s="314">
      <c r="A29" s="35" t="inlineStr">
        <is>
          <t>thinkcar Thinktool Pros Bi-Directional Scanner Full Systems Diagnostic Scan Tool, Topological Graph, 40+ Reset Services, ADAS Calibration, 10" Screen Size 2 Years Update</t>
        </is>
      </c>
      <c r="B29" s="35" t="inlineStr">
        <is>
          <t>B08XXWHQVJ</t>
        </is>
      </c>
      <c r="C29" s="35" t="inlineStr">
        <is>
          <t>Tablet</t>
        </is>
      </c>
      <c r="D29" s="359" t="n">
        <v>1169.99</v>
      </c>
      <c r="E29" s="66" t="n">
        <v>21112.92</v>
      </c>
      <c r="F29" s="67" t="n">
        <v>0</v>
      </c>
      <c r="G29" s="68" t="n">
        <v>18</v>
      </c>
      <c r="H29" s="68" t="n">
        <v>0</v>
      </c>
      <c r="I29" s="68" t="n">
        <v>102</v>
      </c>
      <c r="J29" s="69" t="n">
        <v>4.4</v>
      </c>
      <c r="K29" s="69" t="inlineStr">
        <is>
          <t>https://amazon.com/dp/B08XXWHQVJ</t>
        </is>
      </c>
      <c r="L29" s="114">
        <f>HYPERLINK(Table37[[#This Row],[Column1]])</f>
        <v/>
      </c>
    </row>
    <row r="30" ht="45" customHeight="1" s="314">
      <c r="A30" s="35" t="inlineStr">
        <is>
          <t>KINGBOLEN K10 Pro Bidirectional Test Diagnostic Scan Tool Bluetooth OBD2 Scanner Full System 10" Screen Code Reader Topological Graph 40+ Reset ADAS DoIP&amp;CAN-FD FCA SGW 2 Years Update</t>
        </is>
      </c>
      <c r="B30" s="35" t="inlineStr">
        <is>
          <t>B0DP9L2GJ3</t>
        </is>
      </c>
      <c r="C30" s="35" t="inlineStr">
        <is>
          <t>Tablet</t>
        </is>
      </c>
      <c r="D30" s="359" t="n">
        <v>959.99</v>
      </c>
      <c r="E30" s="66" t="n">
        <v>36722.42</v>
      </c>
      <c r="F30" s="67" t="n">
        <v>0</v>
      </c>
      <c r="G30" s="68" t="n">
        <v>34</v>
      </c>
      <c r="H30" s="68" t="n">
        <v>0</v>
      </c>
      <c r="I30" s="68" t="n">
        <v>8</v>
      </c>
      <c r="J30" s="69" t="n">
        <v>4.6</v>
      </c>
      <c r="K30" s="69" t="inlineStr">
        <is>
          <t>https://amazon.com/dp/B0DP9L2GJ3</t>
        </is>
      </c>
      <c r="L30" s="114">
        <f>HYPERLINK(Table37[[#This Row],[Column1]])</f>
        <v/>
      </c>
    </row>
    <row r="31" ht="17" customHeight="1" s="314">
      <c r="A31" s="35" t="inlineStr">
        <is>
          <t>KINGBOLEN K6 Pro All Systems OBD2 Scanner Bidirectional Diagnostic Tool with ECU Function, 26+ Reset, Battery Testing, Built-in Printer, FCA AutoAuth, CANFD/DoIP, 2 Years Update</t>
        </is>
      </c>
      <c r="B31" s="35" t="inlineStr">
        <is>
          <t>B0FHHLM4PR</t>
        </is>
      </c>
      <c r="C31" s="35" t="inlineStr">
        <is>
          <t>Tablet</t>
        </is>
      </c>
      <c r="D31" s="359" t="n">
        <v>359.99</v>
      </c>
      <c r="E31" s="66" t="n">
        <v>0</v>
      </c>
      <c r="F31" s="67" t="n">
        <v>0</v>
      </c>
      <c r="G31" s="68" t="n">
        <v>0</v>
      </c>
      <c r="H31" s="68" t="n">
        <v>0</v>
      </c>
      <c r="I31" s="68" t="n"/>
      <c r="J31" s="69" t="n"/>
      <c r="K31" s="69" t="inlineStr">
        <is>
          <t>https://amazon.com/dp/B0FHHLM4PR</t>
        </is>
      </c>
      <c r="L31" s="114">
        <f>HYPERLINK(TABLE31)</f>
        <v/>
      </c>
    </row>
    <row r="32">
      <c r="A32" s="35" t="inlineStr">
        <is>
          <t>KINGBOLEN OBD2 Scanner,Car Code Reader for Check Engine Light Car Engine Scan Tool with Full OBD2,OBD2 Diagnostic Scan Tool for OBD2 Protocol Vehicles Since 1996. Black</t>
        </is>
      </c>
      <c r="B32" s="35" t="inlineStr">
        <is>
          <t>B08JGYQTGH</t>
        </is>
      </c>
      <c r="C32" s="35" t="inlineStr">
        <is>
          <t>Handheld</t>
        </is>
      </c>
      <c r="D32" s="359" t="n">
        <v>18.04</v>
      </c>
      <c r="E32" s="66" t="n">
        <v>0</v>
      </c>
      <c r="F32" s="67" t="n">
        <v>0</v>
      </c>
      <c r="G32" s="68" t="n">
        <v>0</v>
      </c>
      <c r="H32" s="68" t="n">
        <v>0</v>
      </c>
      <c r="I32" s="68" t="n">
        <v>870</v>
      </c>
      <c r="J32" s="69" t="n">
        <v>4.4</v>
      </c>
      <c r="K32" s="69" t="inlineStr">
        <is>
          <t>https://amazon.com/dp/B08JGYQTGH</t>
        </is>
      </c>
      <c r="L32" s="114">
        <f>HYPERLINK(TABLE32)</f>
        <v/>
      </c>
    </row>
    <row r="33">
      <c r="A33" s="35" t="inlineStr">
        <is>
          <t>Thinktool Pro Bidirectional Scanner Thinkcar All Systems Bluetooth OBD2 Diagnostic Scan Tool Car Code Reader 34+ Resets, TPMS Relearn, 8" Touch Screen 2 Years Update</t>
        </is>
      </c>
      <c r="B33" s="35" t="inlineStr">
        <is>
          <t>B09T98RHTR</t>
        </is>
      </c>
      <c r="C33" s="35" t="inlineStr">
        <is>
          <t>Tablet</t>
        </is>
      </c>
      <c r="D33" s="359" t="n">
        <v>899.99</v>
      </c>
      <c r="E33" s="66" t="n">
        <v>19862.11</v>
      </c>
      <c r="F33" s="67" t="n">
        <v>0</v>
      </c>
      <c r="G33" s="68" t="n">
        <v>21</v>
      </c>
      <c r="H33" s="68" t="n">
        <v>0</v>
      </c>
      <c r="I33" s="68" t="n">
        <v>8</v>
      </c>
      <c r="J33" s="69" t="n">
        <v>4.3</v>
      </c>
      <c r="K33" s="69" t="inlineStr">
        <is>
          <t>https://amazon.com/dp/B09T98RHTR</t>
        </is>
      </c>
      <c r="L33" s="114">
        <f>HYPERLINK(TABLE33)</f>
        <v/>
      </c>
    </row>
    <row r="34">
      <c r="A34" s="41" t="inlineStr">
        <is>
          <t>Total</t>
        </is>
      </c>
    </row>
    <row r="35" ht="17" customHeight="1" s="314"/>
    <row r="36" ht="45" customHeight="1" s="314"/>
    <row r="37" ht="45" customHeight="1" s="314">
      <c r="A37" s="307" t="inlineStr">
        <is>
          <t>Rank by Units</t>
        </is>
      </c>
    </row>
    <row r="38" ht="45" customHeight="1" s="314">
      <c r="A38" s="46" t="inlineStr">
        <is>
          <t>Product Name</t>
        </is>
      </c>
      <c r="B38" s="47" t="inlineStr">
        <is>
          <t>ASIN</t>
        </is>
      </c>
      <c r="C38" s="47" t="inlineStr">
        <is>
          <t>Type</t>
        </is>
      </c>
      <c r="D38" s="345" t="inlineStr">
        <is>
          <t>Avg Price</t>
        </is>
      </c>
      <c r="E38" s="49" t="inlineStr">
        <is>
          <t>Estimated 12mo Revenue</t>
        </is>
      </c>
      <c r="F38" s="47" t="inlineStr">
        <is>
          <t>Monthly Rev</t>
        </is>
      </c>
      <c r="G38" s="51" t="inlineStr">
        <is>
          <t>Estimated 12mo Units</t>
        </is>
      </c>
      <c r="H38" s="54" t="inlineStr">
        <is>
          <t>Monthly Units</t>
        </is>
      </c>
      <c r="I38" s="51" t="inlineStr">
        <is>
          <t># of Reviews</t>
        </is>
      </c>
      <c r="J38" s="52" t="inlineStr">
        <is>
          <t xml:space="preserve">Tool Rating </t>
        </is>
      </c>
      <c r="K38" s="52" t="inlineStr">
        <is>
          <t>Column1</t>
        </is>
      </c>
      <c r="L38" s="346" t="inlineStr">
        <is>
          <t>Link</t>
        </is>
      </c>
    </row>
    <row r="39" ht="60" customHeight="1" s="314">
      <c r="A39" s="35" t="inlineStr">
        <is>
          <t>KINGBOLEN Ediag Elite OBD2 Scanner Bluetooth, Bidirectional Test Scanner All System Diagnostic Tool for iOS &amp; Android, 15+ Hot Reset, CANFD Protocol, FCA AutoAuth, No Subscriptions Lifetime Update</t>
        </is>
      </c>
      <c r="B39" s="35" t="inlineStr">
        <is>
          <t>B0DP8PH63Q</t>
        </is>
      </c>
      <c r="C39" s="35" t="inlineStr">
        <is>
          <t>Dongle</t>
        </is>
      </c>
      <c r="D39" s="359" t="n">
        <v>99.80950186799502</v>
      </c>
      <c r="E39" s="66" t="n">
        <v>1252812.66</v>
      </c>
      <c r="F39" s="66" t="n">
        <v>80147.03</v>
      </c>
      <c r="G39" s="68" t="n">
        <v>12342</v>
      </c>
      <c r="H39" s="70" t="n">
        <v>803</v>
      </c>
      <c r="I39" s="68" t="n">
        <v>705</v>
      </c>
      <c r="J39" s="69" t="n">
        <v>4.2</v>
      </c>
      <c r="K39" s="69" t="inlineStr">
        <is>
          <t>https://amazon.com/dp/B0DP8PH63Q</t>
        </is>
      </c>
      <c r="L39" s="114">
        <f>HYPERLINK(Table38[[#This Row],[Column1]])</f>
        <v/>
      </c>
    </row>
    <row r="40" ht="45" customHeight="1" s="314">
      <c r="A40" s="35" t="inlineStr">
        <is>
          <t>Ediag Elite KINGBOLEN Bluetooth OBD2 Scanner, Lifetime NO Cost Update Bidirectional Scan Tool for iOS &amp; Android, Wireless Full System Car Diagnostic Scanner, 15+ Reset Service, CANFD, FCA AutoAuth</t>
        </is>
      </c>
      <c r="B40" s="35" t="inlineStr">
        <is>
          <t>B0FM3QWZCZ</t>
        </is>
      </c>
      <c r="C40" s="35" t="inlineStr">
        <is>
          <t>Tablet</t>
        </is>
      </c>
      <c r="D40" s="359" t="n">
        <v>98.50624454148472</v>
      </c>
      <c r="E40" s="66" t="n">
        <v>351632.7461538463</v>
      </c>
      <c r="F40" s="66" t="n">
        <v>45115.86</v>
      </c>
      <c r="G40" s="68" t="n">
        <v>1440</v>
      </c>
      <c r="H40" s="70" t="n">
        <v>458</v>
      </c>
      <c r="I40" s="68" t="n">
        <v>100</v>
      </c>
      <c r="J40" s="69" t="n">
        <v>4.5</v>
      </c>
      <c r="K40" s="69" t="inlineStr">
        <is>
          <t>https://amazon.com/dp/B0FM3QWZCZ</t>
        </is>
      </c>
      <c r="L40" s="114">
        <f>HYPERLINK(Table38[[#This Row],[Column1]])</f>
        <v/>
      </c>
    </row>
    <row r="41" ht="45" customHeight="1" s="314">
      <c r="A41" s="35" t="inlineStr">
        <is>
          <t>KINGBOLEN OBD2 Scanner S608, 2026 Bidirectional Scan Tool for ABS/SRS/Transmission/Engine, 9 Resets Oil Brake DPF Bleed Gear Injector Throttle BMS SAS, CAN FD &amp; FCA/Renault SGW, Lifetime Free Update</t>
        </is>
      </c>
      <c r="B41" s="35" t="inlineStr">
        <is>
          <t>B0FR8K9F4P</t>
        </is>
      </c>
      <c r="C41" s="35" t="inlineStr">
        <is>
          <t>Tablet</t>
        </is>
      </c>
      <c r="D41" s="359" t="n">
        <v>191.7537341772152</v>
      </c>
      <c r="E41" s="66" t="n">
        <v>390082.3776923076</v>
      </c>
      <c r="F41" s="66" t="n">
        <v>30297.09</v>
      </c>
      <c r="G41" s="68" t="n">
        <v>1142</v>
      </c>
      <c r="H41" s="70" t="n">
        <v>158</v>
      </c>
      <c r="I41" s="68" t="n">
        <v>111</v>
      </c>
      <c r="J41" s="69" t="n">
        <v>4.1</v>
      </c>
      <c r="K41" s="69" t="inlineStr">
        <is>
          <t>https://amazon.com/dp/B0FR8K9F4P</t>
        </is>
      </c>
      <c r="L41" s="114">
        <f>HYPERLINK(Table38[[#This Row],[Column1]])</f>
        <v/>
      </c>
    </row>
    <row r="42" ht="45" customHeight="1" s="314">
      <c r="A42" s="35" t="inlineStr">
        <is>
          <t>KINGBOLEN S6 Elite OBD2 Scanner, 2026 Bidirectional Scan Tool, 15 Reset, Active Test, All System Car Diagnostic Scanner, CAN FD/FCA/Renault SGW, Lifetime Free Upgrade Scanner for Car, Upgraded of S608</t>
        </is>
      </c>
      <c r="B42" s="35" t="inlineStr">
        <is>
          <t>B0G62XXJKF</t>
        </is>
      </c>
      <c r="C42" s="35" t="inlineStr">
        <is>
          <t>Tablet</t>
        </is>
      </c>
      <c r="D42" s="359" t="n">
        <v>248.4879838709677</v>
      </c>
      <c r="E42" s="66" t="n">
        <v>372570.6123076924</v>
      </c>
      <c r="F42" s="66" t="n">
        <v>30812.51</v>
      </c>
      <c r="G42" s="68" t="n">
        <v>446</v>
      </c>
      <c r="H42" s="70" t="n">
        <v>124</v>
      </c>
      <c r="I42" s="68" t="n">
        <v>51</v>
      </c>
      <c r="J42" s="69" t="n">
        <v>4.4</v>
      </c>
      <c r="K42" s="69" t="inlineStr">
        <is>
          <t>https://amazon.com/dp/B0G62XXJKF</t>
        </is>
      </c>
      <c r="L42" s="114">
        <f>HYPERLINK(Table38[[#This Row],[Column1]])</f>
        <v/>
      </c>
    </row>
    <row r="43" ht="45" customHeight="1" s="314">
      <c r="A43" s="35" t="inlineStr">
        <is>
          <t>KINGBOLEN K7 Bidirectional Scan Tool 2026 OBD2 Scanner Bluetooth with Lifetime Updates, No Annual Fees, 31+ Resets, Component Matching, All System Diagnostic, CAN FD, FCA AutoAuth, Crankshaft Relearn</t>
        </is>
      </c>
      <c r="B43" s="35" t="inlineStr">
        <is>
          <t>B0C3B3497C</t>
        </is>
      </c>
      <c r="C43" s="35" t="inlineStr">
        <is>
          <t>Tablet</t>
        </is>
      </c>
      <c r="D43" s="359" t="n">
        <v>446.3182828282829</v>
      </c>
      <c r="E43" s="66" t="n">
        <v>608272.9299999998</v>
      </c>
      <c r="F43" s="66" t="n">
        <v>44185.51</v>
      </c>
      <c r="G43" s="68" t="n">
        <v>1399</v>
      </c>
      <c r="H43" s="70" t="n">
        <v>99</v>
      </c>
      <c r="I43" s="68" t="n">
        <v>239</v>
      </c>
      <c r="J43" s="69" t="n">
        <v>4.4</v>
      </c>
      <c r="K43" s="69" t="inlineStr">
        <is>
          <t>https://amazon.com/dp/B0C3B3497C</t>
        </is>
      </c>
      <c r="L43" s="114">
        <f>HYPERLINK(Table38[[#This Row],[Column1]])</f>
        <v/>
      </c>
    </row>
    <row r="44" ht="45" customHeight="1" s="314">
      <c r="A44" s="35" t="inlineStr">
        <is>
          <t>KINGBOLEN K8 Pro OBD2 Scanner Bluetooth 2026 Bidirectional Scan Tool with Lifetime No Subscription Update 8'' All System Diagnostic Tool, ECU Code, 34+ Reset, CANFD&amp;DOIP, V.A.G Guide, FCA AutoAuth</t>
        </is>
      </c>
      <c r="B44" s="35" t="inlineStr">
        <is>
          <t>B0BW89GCZ9</t>
        </is>
      </c>
      <c r="C44" s="35" t="inlineStr">
        <is>
          <t>Tablet</t>
        </is>
      </c>
      <c r="D44" s="359" t="n">
        <v>647.5740243902439</v>
      </c>
      <c r="E44" s="66" t="n">
        <v>362212.34</v>
      </c>
      <c r="F44" s="66" t="n">
        <v>53101.07</v>
      </c>
      <c r="G44" s="68" t="n">
        <v>567</v>
      </c>
      <c r="H44" s="70" t="n">
        <v>82</v>
      </c>
      <c r="I44" s="68" t="n">
        <v>74</v>
      </c>
      <c r="J44" s="69" t="n">
        <v>4.4</v>
      </c>
      <c r="K44" s="69" t="inlineStr">
        <is>
          <t>https://amazon.com/dp/B0BW89GCZ9</t>
        </is>
      </c>
      <c r="L44" s="114">
        <f>HYPERLINK(Table38[[#This Row],[Column1]])</f>
        <v/>
      </c>
    </row>
    <row r="45" ht="45" customHeight="1" s="314">
      <c r="A45" s="35" t="inlineStr">
        <is>
          <t>KINGBOLEN YA200 OBD2 Scanner, Car OBD2 Code Reader Check Engine Light, Car Scanner OBDII Full Functions with Voltage Test OBD2 Scanner Diagnostic Tool for All OBDII CAN Protocol Cars Since 1996</t>
        </is>
      </c>
      <c r="B45" s="35" t="inlineStr">
        <is>
          <t>B0B8NB98YL</t>
        </is>
      </c>
      <c r="C45" s="35" t="inlineStr">
        <is>
          <t>Handheld</t>
        </is>
      </c>
      <c r="D45" s="359" t="n">
        <v>20.05162162162162</v>
      </c>
      <c r="E45" s="66" t="n">
        <v>22800.89</v>
      </c>
      <c r="F45" s="66" t="n">
        <v>1483.82</v>
      </c>
      <c r="G45" s="68" t="n">
        <v>1152</v>
      </c>
      <c r="H45" s="70" t="n">
        <v>74</v>
      </c>
      <c r="I45" s="68" t="n">
        <v>881</v>
      </c>
      <c r="J45" s="69" t="n">
        <v>4.4</v>
      </c>
      <c r="K45" s="69" t="inlineStr">
        <is>
          <t>https://amazon.com/dp/B0B8NB98YL</t>
        </is>
      </c>
      <c r="L45" s="114">
        <f>HYPERLINK(Table38[[#This Row],[Column1]])</f>
        <v/>
      </c>
    </row>
    <row r="46" ht="45" customHeight="1" s="314">
      <c r="A46" s="35" t="inlineStr">
        <is>
          <t>KINGBOLEN Protective Case Storage Bag for OBD2 Scanner Launch CRP123/CRP123 Plus/Creader VII+/CR529/CR3008 Plus Code Reader Diagnostic Scan Tool(Case Only)</t>
        </is>
      </c>
      <c r="B46" s="35" t="inlineStr">
        <is>
          <t>B0D4M5QHFJ</t>
        </is>
      </c>
      <c r="C46" s="35" t="inlineStr">
        <is>
          <t>Other</t>
        </is>
      </c>
      <c r="D46" s="359" t="n">
        <v>15.96971428571429</v>
      </c>
      <c r="E46" s="66" t="n">
        <v>15856.66</v>
      </c>
      <c r="F46" s="66" t="n">
        <v>1117.88</v>
      </c>
      <c r="G46" s="68" t="n">
        <v>950</v>
      </c>
      <c r="H46" s="70" t="n">
        <v>70</v>
      </c>
      <c r="I46" s="68" t="n">
        <v>78</v>
      </c>
      <c r="J46" s="69" t="n">
        <v>4.3</v>
      </c>
      <c r="K46" s="69" t="inlineStr">
        <is>
          <t>https://amazon.com/dp/B0D4M5QHFJ</t>
        </is>
      </c>
      <c r="L46" s="114">
        <f>HYPERLINK(Table38[[#This Row],[Column1]])</f>
        <v/>
      </c>
    </row>
    <row r="47" ht="45" customHeight="1" s="314">
      <c r="A47" s="35" t="inlineStr">
        <is>
          <t>KINGBOLEN Ediag Plus Bluetooth Scanner, All System Bidirectional Test OBD2 Diagnostic Scanner for iOS &amp; Android with CANFD Protocol, Auto VIN, 15+ Rest, 1 Year Without fee Update</t>
        </is>
      </c>
      <c r="B47" s="35" t="inlineStr">
        <is>
          <t>B0C3GJTD45</t>
        </is>
      </c>
      <c r="C47" s="35" t="inlineStr">
        <is>
          <t>VCI</t>
        </is>
      </c>
      <c r="D47" s="359" t="n">
        <v>129.2433333333333</v>
      </c>
      <c r="E47" s="66" t="n">
        <v>117506.0692307692</v>
      </c>
      <c r="F47" s="66" t="n">
        <v>5815.95</v>
      </c>
      <c r="G47" s="68" t="n">
        <v>797</v>
      </c>
      <c r="H47" s="70" t="n">
        <v>45</v>
      </c>
      <c r="I47" s="68" t="n">
        <v>147</v>
      </c>
      <c r="J47" s="69" t="n">
        <v>4.3</v>
      </c>
      <c r="K47" s="69" t="inlineStr">
        <is>
          <t>https://amazon.com/dp/B0C3GJTD45</t>
        </is>
      </c>
      <c r="L47" s="114">
        <f>HYPERLINK(Table38[[#This Row],[Column1]])</f>
        <v/>
      </c>
    </row>
    <row r="48" ht="45" customHeight="1" s="314">
      <c r="A48" s="35" t="inlineStr">
        <is>
          <t>KINGBOLEN SOLOSCAN Bluetooth OBD2 Scanner for Mercedes-Benz MB (A/C/E/S/G/More), Maybach Bidirectional Scan Tool, All System Diagnostic, All Reset Service, Auto VIN, Lifetime Update for iOS &amp; Android</t>
        </is>
      </c>
      <c r="B48" s="35" t="inlineStr">
        <is>
          <t>B0GQZ2TL2J</t>
        </is>
      </c>
      <c r="C48" s="35" t="inlineStr">
        <is>
          <t>Dongle</t>
        </is>
      </c>
      <c r="D48" s="359" t="n">
        <v>100.4920454545454</v>
      </c>
      <c r="E48" s="66" t="n">
        <v>49318.40384615384</v>
      </c>
      <c r="F48" s="66" t="n">
        <v>4421.65</v>
      </c>
      <c r="G48" s="68" t="n">
        <v>44</v>
      </c>
      <c r="H48" s="70" t="n">
        <v>44</v>
      </c>
      <c r="I48" s="68" t="n">
        <v>18</v>
      </c>
      <c r="J48" s="69" t="n">
        <v>4.4</v>
      </c>
      <c r="K48" s="69" t="inlineStr">
        <is>
          <t>https://amazon.com/dp/B0GQZ2TL2J</t>
        </is>
      </c>
      <c r="L48" s="114">
        <f>HYPERLINK(Table38[[#This Row],[Column1]])</f>
        <v/>
      </c>
    </row>
    <row r="49" ht="45" customHeight="1" s="314">
      <c r="A49" s="35" t="inlineStr">
        <is>
          <t>KINGBOLEN Soloscan for Land Rover Jaguar OBD2 Scanner Bluetooth, All Reset Service, Bidirectional Scan Tool for iOS &amp; Android, Full System Car Diagnostic Scanner, No Subscriptions Lifetime Update</t>
        </is>
      </c>
      <c r="B49" s="35" t="inlineStr">
        <is>
          <t>B0GMFC443Q</t>
        </is>
      </c>
      <c r="C49" s="35" t="inlineStr">
        <is>
          <t>Dongle</t>
        </is>
      </c>
      <c r="D49" s="359" t="n">
        <v>99.7596875</v>
      </c>
      <c r="E49" s="66" t="n">
        <v>39110.97461538461</v>
      </c>
      <c r="F49" s="66" t="n">
        <v>3192.31</v>
      </c>
      <c r="G49" s="68" t="n">
        <v>67</v>
      </c>
      <c r="H49" s="70" t="n">
        <v>32</v>
      </c>
      <c r="I49" s="68" t="n">
        <v>22</v>
      </c>
      <c r="J49" s="69" t="n">
        <v>4</v>
      </c>
      <c r="K49" s="69" t="inlineStr">
        <is>
          <t>https://amazon.com/dp/B0GMFC443Q</t>
        </is>
      </c>
      <c r="L49" s="114">
        <f>HYPERLINK(Table38[[#This Row],[Column1]])</f>
        <v/>
      </c>
    </row>
    <row r="50" ht="45" customHeight="1" s="314">
      <c r="A50" s="35" t="inlineStr">
        <is>
          <t>KINGBOLEN Ediag OBD2 Scanner Bluetooth, Bidirectional Scanner All System Diagnostic Tool for iOS &amp; Android, Active Test,15+ Reset Function, FCA AutoAuth, 1 Year Update</t>
        </is>
      </c>
      <c r="B50" s="35" t="inlineStr">
        <is>
          <t>B0BTD38F8B</t>
        </is>
      </c>
      <c r="C50" s="35" t="inlineStr">
        <is>
          <t>Dongle</t>
        </is>
      </c>
      <c r="D50" s="359" t="n">
        <v>91.1704</v>
      </c>
      <c r="E50" s="66" t="n">
        <v>50993.11</v>
      </c>
      <c r="F50" s="66" t="n">
        <v>2279.26</v>
      </c>
      <c r="G50" s="68" t="n">
        <v>543</v>
      </c>
      <c r="H50" s="70" t="n">
        <v>25</v>
      </c>
      <c r="I50" s="68" t="n">
        <v>918</v>
      </c>
      <c r="J50" s="69" t="n">
        <v>3.9</v>
      </c>
      <c r="K50" s="69" t="inlineStr">
        <is>
          <t>https://amazon.com/dp/B0BTD38F8B</t>
        </is>
      </c>
      <c r="L50" s="114">
        <f>HYPERLINK(Table38[[#This Row],[Column1]])</f>
        <v/>
      </c>
    </row>
    <row r="51" ht="45" customHeight="1" s="314">
      <c r="A51" s="35" t="inlineStr">
        <is>
          <t>OBD2 Scanner Bluetooth for Toyota &amp; Lexus, KINGBOLEN SOLOSCAN Bidirectional Full System Diagnostic Tool with Reset Services &amp; Active Tests, Lifetime Updates, iOS &amp; Android App Required, AutoVin</t>
        </is>
      </c>
      <c r="B51" s="35" t="inlineStr">
        <is>
          <t>B0GGHHYMSM</t>
        </is>
      </c>
      <c r="C51" s="35" t="inlineStr">
        <is>
          <t>Dongle</t>
        </is>
      </c>
      <c r="D51" s="359" t="n">
        <v>93.8347619047619</v>
      </c>
      <c r="E51" s="66" t="n">
        <v>21670.36769230769</v>
      </c>
      <c r="F51" s="66" t="n">
        <v>1970.53</v>
      </c>
      <c r="G51" s="68" t="n">
        <v>37</v>
      </c>
      <c r="H51" s="70" t="n">
        <v>21</v>
      </c>
      <c r="I51" s="68" t="n">
        <v>26</v>
      </c>
      <c r="J51" s="69" t="n">
        <v>3.8</v>
      </c>
      <c r="K51" s="69" t="inlineStr">
        <is>
          <t>https://amazon.com/dp/B0GGHHYMSM</t>
        </is>
      </c>
      <c r="L51" s="114">
        <f>HYPERLINK(Table38[[#This Row],[Column1]])</f>
        <v/>
      </c>
    </row>
    <row r="52" ht="45" customHeight="1" s="314">
      <c r="A52" s="35" t="inlineStr">
        <is>
          <t>KINGBOLEN K10 Pro Full Systems 10" Car Scanner Topology Map, Bidirectional Scan Tool Bluetooth OBD2 Scanner, 41+ Reset Service, ECU Function, FCA AutoAuth, CANFD &amp; DOIP,2 Years Update, V.A.G Guided</t>
        </is>
      </c>
      <c r="B52" s="35" t="inlineStr">
        <is>
          <t>B0BW8B4D9Y</t>
        </is>
      </c>
      <c r="C52" s="35" t="inlineStr">
        <is>
          <t>Tablet</t>
        </is>
      </c>
      <c r="D52" s="359" t="n">
        <v>1004.7775</v>
      </c>
      <c r="E52" s="66" t="n">
        <v>192526.2407692308</v>
      </c>
      <c r="F52" s="66" t="n">
        <v>16076.44</v>
      </c>
      <c r="G52" s="68" t="n">
        <v>167</v>
      </c>
      <c r="H52" s="70" t="n">
        <v>16</v>
      </c>
      <c r="I52" s="68" t="n">
        <v>153</v>
      </c>
      <c r="J52" s="69" t="n">
        <v>4.2</v>
      </c>
      <c r="K52" s="69" t="inlineStr">
        <is>
          <t>https://amazon.com/dp/B0BW8B4D9Y</t>
        </is>
      </c>
      <c r="L52" s="114">
        <f>HYPERLINK(Table38[[#This Row],[Column1]])</f>
        <v/>
      </c>
    </row>
    <row r="53" ht="45" customHeight="1" s="314">
      <c r="A53" s="35" t="inlineStr">
        <is>
          <t>KINGBOLEN OBD2 Scanner S800 Car Scanner, OBD2 Diagnostic Scan Tool with 15 Reset, Oil Brake Throttle Service, Engine ABS SRS Transmission Code Reader, Battery Test, AutoVIN, Lifetime No Charge Update</t>
        </is>
      </c>
      <c r="B53" s="35" t="inlineStr">
        <is>
          <t>B0CRH8LFRY</t>
        </is>
      </c>
      <c r="C53" s="35" t="inlineStr">
        <is>
          <t>Tablet</t>
        </is>
      </c>
      <c r="D53" s="359" t="n">
        <v>157.0838461538461</v>
      </c>
      <c r="E53" s="66" t="n">
        <v>17899.53</v>
      </c>
      <c r="F53" s="66" t="n">
        <v>2042.09</v>
      </c>
      <c r="G53" s="68" t="n">
        <v>97</v>
      </c>
      <c r="H53" s="70" t="n">
        <v>13</v>
      </c>
      <c r="I53" s="68" t="n">
        <v>34</v>
      </c>
      <c r="J53" s="69" t="n">
        <v>3.9</v>
      </c>
      <c r="K53" s="69" t="inlineStr">
        <is>
          <t>https://amazon.com/dp/B0CRH8LFRY</t>
        </is>
      </c>
      <c r="L53" s="114">
        <f>HYPERLINK(Table38[[#This Row],[Column1]])</f>
        <v/>
      </c>
    </row>
    <row r="54" ht="45" customHeight="1" s="314">
      <c r="A54" s="35" t="inlineStr">
        <is>
          <t>KINGBOLEN K7 OBD2 Scanner Lifetime Update No Subscription Bidirectional Test Full System Bluetooth Diagnostic Scan Tool with Active Test, 31+ Resets, Autovin, TPMS Relearn, FCA AutoAuth</t>
        </is>
      </c>
      <c r="B54" s="35" t="inlineStr">
        <is>
          <t>B0CRCZCC65</t>
        </is>
      </c>
      <c r="C54" s="35" t="inlineStr">
        <is>
          <t>Tablet</t>
        </is>
      </c>
      <c r="D54" s="359" t="n">
        <v>472.72</v>
      </c>
      <c r="E54" s="66" t="n">
        <v>55506.83153846154</v>
      </c>
      <c r="F54" s="66" t="n">
        <v>2836.32</v>
      </c>
      <c r="G54" s="68" t="n">
        <v>116</v>
      </c>
      <c r="H54" s="70" t="n">
        <v>6</v>
      </c>
      <c r="I54" s="68" t="n">
        <v>27</v>
      </c>
      <c r="J54" s="69" t="n">
        <v>4.2</v>
      </c>
      <c r="K54" s="69" t="inlineStr">
        <is>
          <t>https://amazon.com/dp/B0CRCZCC65</t>
        </is>
      </c>
      <c r="L54" s="114">
        <f>HYPERLINK(Table38[[#This Row],[Column1]])</f>
        <v/>
      </c>
    </row>
    <row r="55" ht="45" customHeight="1" s="314">
      <c r="A55" s="35" t="inlineStr">
        <is>
          <t>KINGBOLEN OBD2 Scanner S500 Car Scanner, Lifetime NO Cost Update Diagnostic Scan Tool with 6 Reset,Oil/Brake/SAS/Throttle/Inject/ABS Reset, Engine ABS SRS Transmission OBD2 Code Reader, Battery Test</t>
        </is>
      </c>
      <c r="B55" s="35" t="inlineStr">
        <is>
          <t>B0CGRCVKQM</t>
        </is>
      </c>
      <c r="C55" s="35" t="inlineStr">
        <is>
          <t>Tablet</t>
        </is>
      </c>
      <c r="D55" s="359" t="n">
        <v>125.148</v>
      </c>
      <c r="E55" s="66" t="n">
        <v>25140.12</v>
      </c>
      <c r="F55" s="66" t="n">
        <v>625.74</v>
      </c>
      <c r="G55" s="68" t="n">
        <v>180</v>
      </c>
      <c r="H55" s="70" t="n">
        <v>5</v>
      </c>
      <c r="I55" s="68" t="n">
        <v>75</v>
      </c>
      <c r="J55" s="69" t="n">
        <v>4.2</v>
      </c>
      <c r="K55" s="69" t="inlineStr">
        <is>
          <t>https://amazon.com/dp/B0CGRCVKQM</t>
        </is>
      </c>
      <c r="L55" s="114">
        <f>HYPERLINK(Table38[[#This Row],[Column1]])</f>
        <v/>
      </c>
    </row>
    <row r="56" ht="45" customHeight="1" s="314">
      <c r="A56" s="35" t="inlineStr">
        <is>
          <t>KINGBOLEN OBD2 Scanner,Code Reader Automotive Engine Light Check Scan Tool Checks O2 Sensor and EVAP Systems with Full OBD2 Functions,Supports Mode6 with DTC Lookup, All 10 Modes of obd2. Black</t>
        </is>
      </c>
      <c r="B56" s="35" t="inlineStr">
        <is>
          <t>B08G4MYGNM</t>
        </is>
      </c>
      <c r="C56" s="35" t="inlineStr">
        <is>
          <t>Handheld</t>
        </is>
      </c>
      <c r="D56" s="359" t="n">
        <v>19.584</v>
      </c>
      <c r="E56" s="66" t="n">
        <v>2363.08</v>
      </c>
      <c r="F56" s="66" t="n">
        <v>97.92</v>
      </c>
      <c r="G56" s="68" t="n">
        <v>119</v>
      </c>
      <c r="H56" s="70" t="n">
        <v>5</v>
      </c>
      <c r="I56" s="68" t="n">
        <v>420</v>
      </c>
      <c r="J56" s="69" t="n">
        <v>4.4</v>
      </c>
      <c r="K56" s="69" t="inlineStr">
        <is>
          <t>https://amazon.com/dp/B08G4MYGNM</t>
        </is>
      </c>
      <c r="L56" s="114">
        <f>HYPERLINK(Table38[[#This Row],[Column1]])</f>
        <v/>
      </c>
    </row>
    <row r="57" ht="45" customHeight="1" s="314">
      <c r="A57" s="35" t="inlineStr">
        <is>
          <t>KINGBOLEN K6 Pro OBD2 Scanner, 4-in-1 Full System Bidirectional Diagnostic Tool with Battery Test &amp; TPMS Diagnose&amp;Printer,ECU Code, FCA AutoAuth, CANFD/DoIP, 26+ Reset, 2 Year Free Update</t>
        </is>
      </c>
      <c r="B57" s="35" t="inlineStr">
        <is>
          <t>B0FR4MSCP6</t>
        </is>
      </c>
      <c r="C57" s="35" t="inlineStr">
        <is>
          <t>Tablet</t>
        </is>
      </c>
      <c r="D57" s="359" t="n">
        <v>285</v>
      </c>
      <c r="E57" s="66" t="n">
        <v>4459.568461538461</v>
      </c>
      <c r="F57" s="66" t="n">
        <v>285</v>
      </c>
      <c r="G57" s="68" t="n">
        <v>6</v>
      </c>
      <c r="H57" s="70" t="n">
        <v>1</v>
      </c>
      <c r="I57" s="68" t="n">
        <v>20</v>
      </c>
      <c r="J57" s="69" t="n">
        <v>4.4</v>
      </c>
      <c r="K57" s="69" t="inlineStr">
        <is>
          <t>https://amazon.com/dp/B0FR4MSCP6</t>
        </is>
      </c>
      <c r="L57" s="114">
        <f>HYPERLINK(Table38[[#This Row],[Column1]])</f>
        <v/>
      </c>
    </row>
    <row r="58" ht="17" customHeight="1" s="314">
      <c r="A58" s="35" t="inlineStr">
        <is>
          <t>Kingbolen Soloscan for Honda Acura OBD2 Scanner Bluetooth, Bidirectional Test Full System Diagnostic Scan Tool for Android &amp; iOS, All Reset Services, AutoVin, Lifetime No Subscriptions</t>
        </is>
      </c>
      <c r="B58" s="35" t="inlineStr">
        <is>
          <t>B0GL7QNKCF</t>
        </is>
      </c>
      <c r="C58" s="35" t="inlineStr">
        <is>
          <t>Dongle</t>
        </is>
      </c>
      <c r="D58" s="359" t="n">
        <v>89.98999999999999</v>
      </c>
      <c r="E58" s="66" t="n">
        <v>0</v>
      </c>
      <c r="F58" s="66" t="n">
        <v>0</v>
      </c>
      <c r="G58" s="68" t="n">
        <v>0</v>
      </c>
      <c r="H58" s="70" t="n">
        <v>0</v>
      </c>
      <c r="I58" s="68" t="n"/>
      <c r="J58" s="69" t="n"/>
      <c r="K58" s="69" t="inlineStr">
        <is>
          <t>https://amazon.com/dp/B0GL7QNKCF</t>
        </is>
      </c>
      <c r="L58" s="114">
        <f>HYPERLINK(Table38[[#This Row],[Column1]])</f>
        <v/>
      </c>
    </row>
    <row r="59">
      <c r="A59" s="35" t="inlineStr">
        <is>
          <t>thinkcar Thinktool Pros Bi-Directional Scanner Full Systems Diagnostic Scan Tool, Topological Graph, 40+ Reset Services, ADAS Calibration, 10" Screen Size 2 Years Update</t>
        </is>
      </c>
      <c r="B59" s="35" t="inlineStr">
        <is>
          <t>B08XXWHQVJ</t>
        </is>
      </c>
      <c r="C59" s="35" t="inlineStr">
        <is>
          <t>Tablet</t>
        </is>
      </c>
      <c r="D59" s="359" t="n">
        <v>1169.99</v>
      </c>
      <c r="E59" s="66" t="n">
        <v>21112.92</v>
      </c>
      <c r="F59" s="66" t="n">
        <v>0</v>
      </c>
      <c r="G59" s="68" t="n">
        <v>18</v>
      </c>
      <c r="H59" s="70" t="n">
        <v>0</v>
      </c>
      <c r="I59" s="68" t="n">
        <v>102</v>
      </c>
      <c r="J59" s="69" t="n">
        <v>4.4</v>
      </c>
      <c r="K59" s="69" t="inlineStr">
        <is>
          <t>https://amazon.com/dp/B08XXWHQVJ</t>
        </is>
      </c>
      <c r="L59" s="114">
        <f>HYPERLINK(Table38[[#This Row],[Column1]])</f>
        <v/>
      </c>
    </row>
    <row r="60">
      <c r="A60" s="35" t="inlineStr">
        <is>
          <t>KINGBOLEN K10 Pro Bidirectional Test Diagnostic Scan Tool Bluetooth OBD2 Scanner Full System 10" Screen Code Reader Topological Graph 40+ Reset ADAS DoIP&amp;CAN-FD FCA SGW 2 Years Update</t>
        </is>
      </c>
      <c r="B60" s="35" t="inlineStr">
        <is>
          <t>B0DP9L2GJ3</t>
        </is>
      </c>
      <c r="C60" s="35" t="inlineStr">
        <is>
          <t>Tablet</t>
        </is>
      </c>
      <c r="D60" s="359" t="n">
        <v>959.99</v>
      </c>
      <c r="E60" s="66" t="n">
        <v>36722.42</v>
      </c>
      <c r="F60" s="66" t="n">
        <v>0</v>
      </c>
      <c r="G60" s="68" t="n">
        <v>34</v>
      </c>
      <c r="H60" s="70" t="n">
        <v>0</v>
      </c>
      <c r="I60" s="68" t="n">
        <v>8</v>
      </c>
      <c r="J60" s="69" t="n">
        <v>4.6</v>
      </c>
      <c r="K60" s="69" t="inlineStr">
        <is>
          <t>https://amazon.com/dp/B0DP9L2GJ3</t>
        </is>
      </c>
      <c r="L60" s="114">
        <f>HYPERLINK(Table38[[#This Row],[Column1]])</f>
        <v/>
      </c>
    </row>
    <row r="61">
      <c r="A61" s="35" t="inlineStr">
        <is>
          <t>KINGBOLEN K6 Pro All Systems OBD2 Scanner Bidirectional Diagnostic Tool with ECU Function, 26+ Reset, Battery Testing, Built-in Printer, FCA AutoAuth, CANFD/DoIP, 2 Years Update</t>
        </is>
      </c>
      <c r="B61" s="35" t="inlineStr">
        <is>
          <t>B0FHHLM4PR</t>
        </is>
      </c>
      <c r="C61" s="35" t="inlineStr">
        <is>
          <t>Tablet</t>
        </is>
      </c>
      <c r="D61" s="359" t="n">
        <v>359.99</v>
      </c>
      <c r="E61" s="66" t="n">
        <v>0</v>
      </c>
      <c r="F61" s="66" t="n">
        <v>0</v>
      </c>
      <c r="G61" s="68" t="n">
        <v>0</v>
      </c>
      <c r="H61" s="70" t="n">
        <v>0</v>
      </c>
      <c r="I61" s="68" t="n"/>
      <c r="J61" s="69" t="n"/>
      <c r="K61" s="69" t="inlineStr">
        <is>
          <t>https://amazon.com/dp/B0FHHLM4PR</t>
        </is>
      </c>
      <c r="L61" s="114">
        <f>HYPERLINK(TABLE61)</f>
        <v/>
      </c>
    </row>
    <row r="62">
      <c r="A62" s="35" t="inlineStr">
        <is>
          <t>KINGBOLEN OBD2 Scanner,Car Code Reader for Check Engine Light Car Engine Scan Tool with Full OBD2,OBD2 Diagnostic Scan Tool for OBD2 Protocol Vehicles Since 1996. Black</t>
        </is>
      </c>
      <c r="B62" s="35" t="inlineStr">
        <is>
          <t>B08JGYQTGH</t>
        </is>
      </c>
      <c r="C62" s="35" t="inlineStr">
        <is>
          <t>Handheld</t>
        </is>
      </c>
      <c r="D62" s="359" t="n">
        <v>18.04</v>
      </c>
      <c r="E62" s="66" t="n">
        <v>0</v>
      </c>
      <c r="F62" s="66" t="n">
        <v>0</v>
      </c>
      <c r="G62" s="68" t="n">
        <v>0</v>
      </c>
      <c r="H62" s="70" t="n">
        <v>0</v>
      </c>
      <c r="I62" s="68" t="n">
        <v>870</v>
      </c>
      <c r="J62" s="69" t="n">
        <v>4.4</v>
      </c>
      <c r="K62" s="69" t="inlineStr">
        <is>
          <t>https://amazon.com/dp/B08JGYQTGH</t>
        </is>
      </c>
      <c r="L62" s="114">
        <f>HYPERLINK(TABLE62)</f>
        <v/>
      </c>
    </row>
    <row r="63">
      <c r="A63" s="35" t="inlineStr">
        <is>
          <t>Thinktool Pro Bidirectional Scanner Thinkcar All Systems Bluetooth OBD2 Diagnostic Scan Tool Car Code Reader 34+ Resets, TPMS Relearn, 8" Touch Screen 2 Years Update</t>
        </is>
      </c>
      <c r="B63" s="35" t="inlineStr">
        <is>
          <t>B09T98RHTR</t>
        </is>
      </c>
      <c r="C63" s="35" t="inlineStr">
        <is>
          <t>Tablet</t>
        </is>
      </c>
      <c r="D63" s="359" t="n">
        <v>899.99</v>
      </c>
      <c r="E63" s="66" t="n">
        <v>19862.11</v>
      </c>
      <c r="F63" s="66" t="n">
        <v>0</v>
      </c>
      <c r="G63" s="68" t="n">
        <v>21</v>
      </c>
      <c r="H63" s="70" t="n">
        <v>0</v>
      </c>
      <c r="I63" s="68" t="n">
        <v>8</v>
      </c>
      <c r="J63" s="69" t="n">
        <v>4.3</v>
      </c>
      <c r="K63" s="69" t="inlineStr">
        <is>
          <t>https://amazon.com/dp/B09T98RHTR</t>
        </is>
      </c>
      <c r="L63" s="114">
        <f>HYPERLINK(TABLE63)</f>
        <v/>
      </c>
    </row>
    <row r="64">
      <c r="A64" s="41" t="inlineStr">
        <is>
          <t>Total</t>
        </is>
      </c>
      <c r="B64" s="41" t="n"/>
      <c r="C64" s="365" t="n"/>
      <c r="D64" s="122" t="n"/>
      <c r="E64" s="122" t="n"/>
      <c r="F64" s="122" t="n"/>
      <c r="G64" s="305">
        <f>SUM(G39:G63)</f>
        <v/>
      </c>
      <c r="H64" s="305">
        <f>SUM(H39:H63)</f>
        <v/>
      </c>
      <c r="I64" s="123" t="n"/>
      <c r="J64" s="128" t="n"/>
      <c r="K64" s="114" t="n"/>
    </row>
  </sheetData>
  <mergeCells count="3">
    <mergeCell ref="A1:L5"/>
    <mergeCell ref="A34:L34"/>
    <mergeCell ref="A7:L7"/>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codeName="Sheet13">
    <outlinePr summaryBelow="1" summaryRight="1"/>
    <pageSetUpPr/>
  </sheetPr>
  <dimension ref="A1:L804"/>
  <sheetViews>
    <sheetView workbookViewId="0">
      <selection activeCell="I10" sqref="I10"/>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83203125" customWidth="1" style="308" min="11" max="11"/>
    <col width="35.6640625" customWidth="1" style="308" min="12" max="12"/>
    <col width="12.6640625" customWidth="1" style="308" min="13" max="16384"/>
  </cols>
  <sheetData>
    <row r="1">
      <c r="A1" s="320" t="inlineStr">
        <is>
          <t>Launch Monthly Summary</t>
        </is>
      </c>
    </row>
    <row r="2"/>
    <row r="3"/>
    <row r="4"/>
    <row r="5"/>
    <row r="6">
      <c r="A6" s="34" t="n"/>
      <c r="B6" s="34" t="n"/>
      <c r="C6" s="358" t="n"/>
      <c r="D6" s="56" t="n"/>
      <c r="E6" s="56" t="n"/>
      <c r="F6" s="57" t="n"/>
      <c r="G6" s="57" t="n"/>
      <c r="H6" s="57" t="n"/>
      <c r="I6" s="58" t="n"/>
      <c r="J6" s="59"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Launch X431 PRO3 V+ Elite, 2026 SmartlinkC 2.0 Bidirectional Scan Tool with J2534 Portocol, HD Trucks Scanner, 10.1 inch, Topology Map, 60+Service, Online Code, CANFD/DoIP/D-PDU, FCA, 2 Yrs Update</t>
        </is>
      </c>
      <c r="B9" s="35" t="inlineStr">
        <is>
          <t>B0DTTTJWYH</t>
        </is>
      </c>
      <c r="C9" s="35" t="inlineStr">
        <is>
          <t>Tablet</t>
        </is>
      </c>
      <c r="D9" s="359" t="n">
        <v>1343.731951219512</v>
      </c>
      <c r="E9" s="66" t="n">
        <v>862064.9300000001</v>
      </c>
      <c r="F9" s="67" t="n">
        <v>165279.03</v>
      </c>
      <c r="G9" s="68" t="n">
        <v>645</v>
      </c>
      <c r="H9" s="68" t="n">
        <v>123</v>
      </c>
      <c r="I9" s="68" t="n">
        <v>96</v>
      </c>
      <c r="J9" s="69" t="n">
        <v>4.6</v>
      </c>
      <c r="K9" s="69" t="inlineStr">
        <is>
          <t>https://amazon.com/dp/B0DTTTJWYH</t>
        </is>
      </c>
      <c r="L9" s="114">
        <f>HYPERLINK(Table3660[[#This Row],[Column1]])</f>
        <v/>
      </c>
    </row>
    <row r="10" ht="45" customHeight="1" s="314">
      <c r="A10" s="35" t="inlineStr">
        <is>
          <t>LAUNCH X431 PRO3S+ Elite, 2026 All-in-One Bidirectional Scan Tool with J2534 Protocols, HD Trucks Scanner, Topology Map, 60+Service, ECU Code Full Function Scanner, CANFD/DoIP/D-PDU/FCA, 2 Yrs Update</t>
        </is>
      </c>
      <c r="B10" s="35" t="inlineStr">
        <is>
          <t>B0D7VS8SHS</t>
        </is>
      </c>
      <c r="C10" s="35" t="inlineStr">
        <is>
          <t>Tablet</t>
        </is>
      </c>
      <c r="D10" s="359" t="n">
        <v>1260.146721311475</v>
      </c>
      <c r="E10" s="66" t="n">
        <v>2197220.45</v>
      </c>
      <c r="F10" s="67" t="n">
        <v>153737.9</v>
      </c>
      <c r="G10" s="68" t="n">
        <v>1724</v>
      </c>
      <c r="H10" s="68" t="n">
        <v>122</v>
      </c>
      <c r="I10" s="68" t="n">
        <v>157</v>
      </c>
      <c r="J10" s="69" t="n">
        <v>4.3</v>
      </c>
      <c r="K10" s="69" t="inlineStr">
        <is>
          <t>https://amazon.com/dp/B0D7VS8SHS</t>
        </is>
      </c>
      <c r="L10" s="114">
        <f>HYPERLINK(Table3660[[#This Row],[Column1]])</f>
        <v/>
      </c>
    </row>
    <row r="11" ht="60" customHeight="1" s="314">
      <c r="A11" s="35" t="inlineStr">
        <is>
          <t>LAUNCH X431 CRP919XBT OBD2 Scanner, 2026 Wireless Bidirectional Scan Tool with ECU Coding, 35+ Services, All Systems Diagnostic, FCA AutoAuth, 2Yrs Free Update, V.A.G Guide, CANFD, Upgraded of CRP919X</t>
        </is>
      </c>
      <c r="B11" s="35" t="inlineStr">
        <is>
          <t>B0CJDTPDPB</t>
        </is>
      </c>
      <c r="C11" s="35" t="inlineStr">
        <is>
          <t>Tablet</t>
        </is>
      </c>
      <c r="D11" s="359" t="n">
        <v>502.6669836065574</v>
      </c>
      <c r="E11" s="66" t="n">
        <v>1280623.858461539</v>
      </c>
      <c r="F11" s="67" t="n">
        <v>153313.43</v>
      </c>
      <c r="G11" s="68" t="n">
        <v>1981</v>
      </c>
      <c r="H11" s="68" t="n">
        <v>305</v>
      </c>
      <c r="I11" s="68" t="n">
        <v>381</v>
      </c>
      <c r="J11" s="69" t="n">
        <v>4.4</v>
      </c>
      <c r="K11" s="69" t="inlineStr">
        <is>
          <t>https://amazon.com/dp/B0CJDTPDPB</t>
        </is>
      </c>
      <c r="L11" s="114">
        <f>HYPERLINK(Table3660[[#This Row],[Column1]])</f>
        <v/>
      </c>
    </row>
    <row r="12" ht="45" customHeight="1" s="314">
      <c r="A12" s="35" t="inlineStr">
        <is>
          <t>LAUNCH X431 PRO3S+ Smartlink HD Heavy Duty Truck Scanner,2026 Diesel&amp;Gasoline Bidirectional Diagnostic Scan Tool with J2534 Protocols,Topology Map,60+Service,ECU Code,CANFD &amp;DOIP,2 Yrs Free Update</t>
        </is>
      </c>
      <c r="B12" s="35" t="inlineStr">
        <is>
          <t>B08V59JNYP</t>
        </is>
      </c>
      <c r="C12" s="35" t="inlineStr">
        <is>
          <t>Tablet</t>
        </is>
      </c>
      <c r="D12" s="359" t="n">
        <v>1909.047012987013</v>
      </c>
      <c r="E12" s="66" t="n">
        <v>1847936.39</v>
      </c>
      <c r="F12" s="67" t="n">
        <v>146996.62</v>
      </c>
      <c r="G12" s="68" t="n">
        <v>996</v>
      </c>
      <c r="H12" s="68" t="n">
        <v>77</v>
      </c>
      <c r="I12" s="68" t="n">
        <v>180</v>
      </c>
      <c r="J12" s="69" t="n">
        <v>4.2</v>
      </c>
      <c r="K12" s="69" t="inlineStr">
        <is>
          <t>https://amazon.com/dp/B08V59JNYP</t>
        </is>
      </c>
      <c r="L12" s="114">
        <f>HYPERLINK(Table3660[[#This Row],[Column1]])</f>
        <v/>
      </c>
    </row>
    <row r="13" ht="45" customHeight="1" s="314">
      <c r="A13" s="35" t="inlineStr">
        <is>
          <t>Launch X431 PROS Elite 2026 New Bidirectional Scan Tool, 38+ Services, ECU Coding, All-in-One Full System Diagnostic Scanner, Support CANFD&amp;DoIP, FCA AutoAuth, V.A.G Guided, 2 Years Free Update</t>
        </is>
      </c>
      <c r="B13" s="35" t="inlineStr">
        <is>
          <t>B092YL7M8P</t>
        </is>
      </c>
      <c r="C13" s="35" t="inlineStr">
        <is>
          <t>Tablet</t>
        </is>
      </c>
      <c r="D13" s="359" t="n">
        <v>629.9384186046512</v>
      </c>
      <c r="E13" s="66" t="n">
        <v>1068912.49</v>
      </c>
      <c r="F13" s="67" t="n">
        <v>135436.76</v>
      </c>
      <c r="G13" s="68" t="n">
        <v>1714</v>
      </c>
      <c r="H13" s="68" t="n">
        <v>215</v>
      </c>
      <c r="I13" s="68" t="n">
        <v>386</v>
      </c>
      <c r="J13" s="69" t="n">
        <v>4.5</v>
      </c>
      <c r="K13" s="69" t="inlineStr">
        <is>
          <t>https://amazon.com/dp/B092YL7M8P</t>
        </is>
      </c>
      <c r="L13" s="114">
        <f>HYPERLINK(Table3660[[#This Row],[Column1]])</f>
        <v/>
      </c>
    </row>
    <row r="14" ht="45" customHeight="1" s="314">
      <c r="A14" s="35" t="inlineStr">
        <is>
          <t>Launch OBD2 Scanner CRP123X V3.0 Elite, 2026 Lifetime Free WiFi Update Scan Tool, FCA SGW, CANFD&amp;DoIP, SAS/Throttle/Brake/BMS/D-P-F/Oil/ABS Service Multi Systems Car Scanner, Battery Test, Auto VIN</t>
        </is>
      </c>
      <c r="B14" s="35" t="inlineStr">
        <is>
          <t>B07RLF8FBC</t>
        </is>
      </c>
      <c r="C14" s="35" t="inlineStr">
        <is>
          <t>Tablet</t>
        </is>
      </c>
      <c r="D14" s="359" t="n">
        <v>175.4881313868613</v>
      </c>
      <c r="E14" s="66" t="n">
        <v>1866898.47</v>
      </c>
      <c r="F14" s="67" t="n">
        <v>120209.37</v>
      </c>
      <c r="G14" s="68" t="n">
        <v>11367</v>
      </c>
      <c r="H14" s="68" t="n">
        <v>685</v>
      </c>
      <c r="I14" s="68" t="n">
        <v>3475</v>
      </c>
      <c r="J14" s="69" t="n">
        <v>4.4</v>
      </c>
      <c r="K14" s="69" t="inlineStr">
        <is>
          <t>https://amazon.com/dp/B07RLF8FBC</t>
        </is>
      </c>
      <c r="L14" s="114">
        <f>HYPERLINK(Table3660[[#This Row],[Column1]])</f>
        <v/>
      </c>
    </row>
    <row r="15" ht="45" customHeight="1" s="314">
      <c r="A15" s="35" t="inlineStr">
        <is>
          <t>Launch X431 PAD VII Elite, 2026 Top Intelligent Diagnostic Scanner, J2534 Protocol, Topology Map, Remote Diagnosis with Smartlink C, 2-Year Free Update, Bi-Directional Scan,60+ Service</t>
        </is>
      </c>
      <c r="B15" s="35" t="inlineStr">
        <is>
          <t>B0B1HT1J23</t>
        </is>
      </c>
      <c r="C15" s="35" t="inlineStr">
        <is>
          <t>Tablet</t>
        </is>
      </c>
      <c r="D15" s="359" t="n">
        <v>2692.295</v>
      </c>
      <c r="E15" s="66" t="n">
        <v>793527.1199999999</v>
      </c>
      <c r="F15" s="67" t="n">
        <v>80768.85000000001</v>
      </c>
      <c r="G15" s="68" t="n">
        <v>294</v>
      </c>
      <c r="H15" s="68" t="n">
        <v>30</v>
      </c>
      <c r="I15" s="68" t="n">
        <v>130</v>
      </c>
      <c r="J15" s="69" t="n">
        <v>4.2</v>
      </c>
      <c r="K15" s="69" t="inlineStr">
        <is>
          <t>https://amazon.com/dp/B0B1HT1J23</t>
        </is>
      </c>
      <c r="L15" s="114">
        <f>HYPERLINK(Table3660[[#This Row],[Column1]])</f>
        <v/>
      </c>
    </row>
    <row r="16" ht="45" customHeight="1" s="314">
      <c r="A16" s="35" t="inlineStr">
        <is>
          <t>LAUNCH OBD2 Scanner CRP123I V3.0 Elite, 2026 Lifetime Free WiFi Update Scan Tool, FCA SGW, CANFD&amp;DoIP, SAS/Throttle/Brake/BMS/DPF/Oil/ABS Service Multi Systems Car Scanner, Battery Test, Auto VIN</t>
        </is>
      </c>
      <c r="B16" s="35" t="inlineStr">
        <is>
          <t>B07QW18S12</t>
        </is>
      </c>
      <c r="C16" s="35" t="inlineStr">
        <is>
          <t>Tablet</t>
        </is>
      </c>
      <c r="D16" s="359" t="n">
        <v>158.969527027027</v>
      </c>
      <c r="E16" s="66" t="n">
        <v>883939.4592307692</v>
      </c>
      <c r="F16" s="67" t="n">
        <v>70582.47</v>
      </c>
      <c r="G16" s="68" t="n">
        <v>4933</v>
      </c>
      <c r="H16" s="68" t="n">
        <v>444</v>
      </c>
      <c r="I16" s="68" t="n">
        <v>3343</v>
      </c>
      <c r="J16" s="69" t="n">
        <v>4.4</v>
      </c>
      <c r="K16" s="69" t="inlineStr">
        <is>
          <t>https://amazon.com/dp/B07QW18S12</t>
        </is>
      </c>
      <c r="L16" s="114">
        <f>HYPERLINK(Table3660[[#This Row],[Column1]])</f>
        <v/>
      </c>
    </row>
    <row r="17" ht="45" customHeight="1" s="314">
      <c r="A17" s="35" t="inlineStr">
        <is>
          <t>LAUNCH X431 CRP919E OBD2 Scanner, 2026 Bidirectional Scan Tool as CRP919EBT, CANFD/DoIP/FCA SGW, ECU Code, 35+ Service, Active Tests, All-in-One Full System Diagnosis, BST360 &amp; i-TPMS, 2 Year Update</t>
        </is>
      </c>
      <c r="B17" s="35" t="inlineStr">
        <is>
          <t>B0DKHKQBDW</t>
        </is>
      </c>
      <c r="C17" s="35" t="inlineStr">
        <is>
          <t>Tablet</t>
        </is>
      </c>
      <c r="D17" s="359" t="n">
        <v>446.4362337662337</v>
      </c>
      <c r="E17" s="66" t="n">
        <v>637297.4199999999</v>
      </c>
      <c r="F17" s="67" t="n">
        <v>68751.17999999999</v>
      </c>
      <c r="G17" s="68" t="n">
        <v>1448</v>
      </c>
      <c r="H17" s="68" t="n">
        <v>154</v>
      </c>
      <c r="I17" s="68" t="n">
        <v>174</v>
      </c>
      <c r="J17" s="69" t="n">
        <v>4.3</v>
      </c>
      <c r="K17" s="69" t="inlineStr">
        <is>
          <t>https://amazon.com/dp/B0DKHKQBDW</t>
        </is>
      </c>
      <c r="L17" s="114">
        <f>HYPERLINK(Table3660[[#This Row],[Column1]])</f>
        <v/>
      </c>
    </row>
    <row r="18" ht="45" customHeight="1" s="314">
      <c r="A18" s="35" t="inlineStr">
        <is>
          <t>LAUNCH X431 PRO V 5.0,2026 New Gen. OEM Bluetooth Bidirectional Scan Tool w/Canfd Doip,Same as Pro3s+ 5.0,Online Code &amp; 38+ Reset for All Cars,2 Yrs Free Update</t>
        </is>
      </c>
      <c r="B18" s="35" t="inlineStr">
        <is>
          <t>B01GRN4BRQ</t>
        </is>
      </c>
      <c r="C18" s="35" t="inlineStr">
        <is>
          <t>Tablet</t>
        </is>
      </c>
      <c r="D18" s="359" t="n">
        <v>791.61</v>
      </c>
      <c r="E18" s="66" t="n">
        <v>928559.4800000001</v>
      </c>
      <c r="F18" s="67" t="n">
        <v>64912.02</v>
      </c>
      <c r="G18" s="68" t="n">
        <v>1209</v>
      </c>
      <c r="H18" s="68" t="n">
        <v>82</v>
      </c>
      <c r="I18" s="68" t="n">
        <v>1044</v>
      </c>
      <c r="J18" s="69" t="n">
        <v>4.3</v>
      </c>
      <c r="K18" s="69" t="inlineStr">
        <is>
          <t>https://amazon.com/dp/B01GRN4BRQ</t>
        </is>
      </c>
      <c r="L18" s="114">
        <f>HYPERLINK(Table3660[[#This Row],[Column1]])</f>
        <v/>
      </c>
    </row>
    <row r="19" ht="45" customHeight="1" s="314">
      <c r="A19" s="35" t="inlineStr">
        <is>
          <t>LAUNCH CRP123 V2.0 OBD2 Scanner-2026 New Model Engine/ABS/SRS/Transmission Diagnostic Scan Tool SRS Airbag Code Reader,3 Reset Oil Service/Throttle Relearn/SAS Reset,Lifetime Free Update</t>
        </is>
      </c>
      <c r="B19" s="35" t="inlineStr">
        <is>
          <t>B073GW5MTS</t>
        </is>
      </c>
      <c r="C19" s="35" t="inlineStr">
        <is>
          <t>Tablet</t>
        </is>
      </c>
      <c r="D19" s="359" t="n">
        <v>123.3720119521912</v>
      </c>
      <c r="E19" s="66" t="n">
        <v>649778.4400000001</v>
      </c>
      <c r="F19" s="67" t="n">
        <v>61932.75</v>
      </c>
      <c r="G19" s="68" t="n">
        <v>5178</v>
      </c>
      <c r="H19" s="68" t="n">
        <v>502</v>
      </c>
      <c r="I19" s="68" t="n">
        <v>4044</v>
      </c>
      <c r="J19" s="69" t="n">
        <v>4.3</v>
      </c>
      <c r="K19" s="69" t="inlineStr">
        <is>
          <t>https://amazon.com/dp/B073GW5MTS</t>
        </is>
      </c>
      <c r="L19" s="114">
        <f>HYPERLINK(Table3660[[#This Row],[Column1]])</f>
        <v/>
      </c>
    </row>
    <row r="20" ht="45" customHeight="1" s="314">
      <c r="A20" s="35" t="inlineStr">
        <is>
          <t>LAUNCH X431 CRP919EBT 2026 Wireless Bidirectional Scan Tool, All-in-One Full System OBD2 Scanner, ECU Coding, 35+ Services, CANFD&amp;DOIP, FCA AutoAuth, VAG Guide, 2Yrs Free Update, Upgraded of CRP919E</t>
        </is>
      </c>
      <c r="B20" s="35" t="inlineStr">
        <is>
          <t>B0C6TC2ZF3</t>
        </is>
      </c>
      <c r="C20" s="35" t="inlineStr">
        <is>
          <t>Tablet</t>
        </is>
      </c>
      <c r="D20" s="359" t="n">
        <v>497.8381578947369</v>
      </c>
      <c r="E20" s="66" t="n">
        <v>1033924.47</v>
      </c>
      <c r="F20" s="67" t="n">
        <v>56753.55</v>
      </c>
      <c r="G20" s="68" t="n">
        <v>2136</v>
      </c>
      <c r="H20" s="68" t="n">
        <v>114</v>
      </c>
      <c r="I20" s="68" t="n">
        <v>262</v>
      </c>
      <c r="J20" s="69" t="n">
        <v>4.5</v>
      </c>
      <c r="K20" s="69" t="inlineStr">
        <is>
          <t>https://amazon.com/dp/B0C6TC2ZF3</t>
        </is>
      </c>
      <c r="L20" s="114">
        <f>HYPERLINK(Table3660[[#This Row],[Column1]])</f>
        <v/>
      </c>
    </row>
    <row r="21" ht="45" customHeight="1" s="314">
      <c r="A21" s="35" t="inlineStr">
        <is>
          <t>2026 LAUNCH Creader Elite V3.0 fit for Toyota Lexus Bi-Directional Scan Tool, Full System OBD2 Scanner, All Reset Service Code Reader, AUTOVIN, ECU Code, Battery Registration, Lifetime Free Update</t>
        </is>
      </c>
      <c r="B21" s="35" t="inlineStr">
        <is>
          <t>B0D626T9HK</t>
        </is>
      </c>
      <c r="C21" s="35" t="inlineStr">
        <is>
          <t>Tablet</t>
        </is>
      </c>
      <c r="D21" s="359" t="n">
        <v>194.0606474820144</v>
      </c>
      <c r="E21" s="66" t="n">
        <v>538897.6476923076</v>
      </c>
      <c r="F21" s="67" t="n">
        <v>53948.86</v>
      </c>
      <c r="G21" s="68" t="n">
        <v>2877</v>
      </c>
      <c r="H21" s="68" t="n">
        <v>278</v>
      </c>
      <c r="I21" s="68" t="n">
        <v>640</v>
      </c>
      <c r="J21" s="69" t="n">
        <v>3.9</v>
      </c>
      <c r="K21" s="69" t="inlineStr">
        <is>
          <t>https://amazon.com/dp/B0D626T9HK</t>
        </is>
      </c>
      <c r="L21" s="114">
        <f>HYPERLINK(Table3660[[#This Row],[Column1]])</f>
        <v/>
      </c>
    </row>
    <row r="22" ht="60" customHeight="1" s="314">
      <c r="A22" s="35" t="inlineStr">
        <is>
          <t>LAUNCH Creader Elite Bi-Directional OBD2 Scanner for Toyota Lexus, 2026 Full System Diagnostic Scan Tool, All Reset Service Code Reader, Battery Registration,AUTO VIN,Lifetime Free Update</t>
        </is>
      </c>
      <c r="B22" s="35" t="inlineStr">
        <is>
          <t>B0D176ZCXQ</t>
        </is>
      </c>
      <c r="C22" s="35" t="inlineStr">
        <is>
          <t>Handheld</t>
        </is>
      </c>
      <c r="D22" s="359" t="n">
        <v>144.6528205128205</v>
      </c>
      <c r="E22" s="66" t="n">
        <v>277266.21</v>
      </c>
      <c r="F22" s="67" t="n">
        <v>50773.14</v>
      </c>
      <c r="G22" s="68" t="n">
        <v>1980</v>
      </c>
      <c r="H22" s="68" t="n">
        <v>351</v>
      </c>
      <c r="I22" s="68" t="n">
        <v>357</v>
      </c>
      <c r="J22" s="69" t="n">
        <v>4.3</v>
      </c>
      <c r="K22" s="69" t="inlineStr">
        <is>
          <t>https://amazon.com/dp/B0D176ZCXQ</t>
        </is>
      </c>
      <c r="L22" s="114">
        <f>HYPERLINK(Table3660[[#This Row],[Column1]])</f>
        <v/>
      </c>
    </row>
    <row r="23" ht="45" customHeight="1" s="314">
      <c r="A23" s="35" t="inlineStr">
        <is>
          <t>Launch CRP129HD Heavy Duty Truck Scanner with DPF Regen, Speed Limit Adjust Reset, Full System Diesel Semi Truck Diagnostic Tool &amp; Code Reader for Cummins Detroit Allison International Paccar</t>
        </is>
      </c>
      <c r="B23" s="35" t="inlineStr">
        <is>
          <t>B07Y1VNQPG</t>
        </is>
      </c>
      <c r="C23" s="35" t="inlineStr">
        <is>
          <t>Tablet</t>
        </is>
      </c>
      <c r="D23" s="359" t="n">
        <v>481.9239805825243</v>
      </c>
      <c r="E23" s="66" t="n">
        <v>432460.67</v>
      </c>
      <c r="F23" s="67" t="n">
        <v>49638.17</v>
      </c>
      <c r="G23" s="68" t="n">
        <v>850</v>
      </c>
      <c r="H23" s="68" t="n">
        <v>103</v>
      </c>
      <c r="I23" s="68" t="n">
        <v>1554</v>
      </c>
      <c r="J23" s="69" t="n">
        <v>4.4</v>
      </c>
      <c r="K23" s="69" t="inlineStr">
        <is>
          <t>https://amazon.com/dp/B07Y1VNQPG</t>
        </is>
      </c>
      <c r="L23" s="114">
        <f>HYPERLINK(Table3660[[#This Row],[Column1]])</f>
        <v/>
      </c>
    </row>
    <row r="24" ht="45" customHeight="1" s="314">
      <c r="A24" s="35" t="inlineStr">
        <is>
          <t>Launch X431 PADVII Elite, 2026 Full Function Diagnostic Scanner, J2534 J2534 Protocol, HD Trucks, EVs, Topology Map, 60+Service,Online Coding, Bidirectional Scan Tool,</t>
        </is>
      </c>
      <c r="B24" s="35" t="inlineStr">
        <is>
          <t>B09PDVDKXW</t>
        </is>
      </c>
      <c r="C24" s="35" t="inlineStr">
        <is>
          <t>Tablet</t>
        </is>
      </c>
      <c r="D24" s="359" t="n">
        <v>2749.40125</v>
      </c>
      <c r="E24" s="66" t="n">
        <v>419145.36</v>
      </c>
      <c r="F24" s="67" t="n">
        <v>43990.42</v>
      </c>
      <c r="G24" s="68" t="n">
        <v>162</v>
      </c>
      <c r="H24" s="68" t="n">
        <v>16</v>
      </c>
      <c r="I24" s="68" t="n">
        <v>5188</v>
      </c>
      <c r="J24" s="69" t="n">
        <v>4.4</v>
      </c>
      <c r="K24" s="69" t="inlineStr">
        <is>
          <t>https://amazon.com/dp/B09PDVDKXW</t>
        </is>
      </c>
      <c r="L24" s="114">
        <f>HYPERLINK(Table3660[[#This Row],[Column1]])</f>
        <v/>
      </c>
    </row>
    <row r="25" ht="45" customHeight="1" s="314">
      <c r="A25" s="35" t="inlineStr">
        <is>
          <t>LAUNCH X431 PRO Elite 2026 New Bidirectional Scan Tool, 38+ Reset, ECU Coding, All-in-One Full System Diagnostic Scanner, CANFD&amp;DoIP, FCA AutoAuth, VAG Guide,Same as Pro3s+ 5.0,2 Years Free Update</t>
        </is>
      </c>
      <c r="B25" s="35" t="inlineStr">
        <is>
          <t>B0C6TGKYLF</t>
        </is>
      </c>
      <c r="C25" s="35" t="inlineStr">
        <is>
          <t>Tablet</t>
        </is>
      </c>
      <c r="D25" s="359" t="n">
        <v>635.9860869565217</v>
      </c>
      <c r="E25" s="66" t="n">
        <v>532813.33</v>
      </c>
      <c r="F25" s="67" t="n">
        <v>43883.04</v>
      </c>
      <c r="G25" s="68" t="n">
        <v>853</v>
      </c>
      <c r="H25" s="68" t="n">
        <v>69</v>
      </c>
      <c r="I25" s="68" t="n">
        <v>248</v>
      </c>
      <c r="J25" s="69" t="n">
        <v>4.3</v>
      </c>
      <c r="K25" s="69" t="inlineStr">
        <is>
          <t>https://amazon.com/dp/B0C6TGKYLF</t>
        </is>
      </c>
      <c r="L25" s="114">
        <f>HYPERLINK(Table3660[[#This Row],[Column1]])</f>
        <v/>
      </c>
    </row>
    <row r="26" ht="60" customHeight="1" s="314">
      <c r="A26" s="35" t="inlineStr">
        <is>
          <t>2026 LAUNCH Creader Elite V2.0 fit for GM Bi-Directional Scan Tool, All Reset Full System Diagnostic Scanner, AUTOVIN, Full OBD2 Code Reader for Buick/Chevrolet/Cadillac/GMC, Lifetime Free Update</t>
        </is>
      </c>
      <c r="B26" s="35" t="inlineStr">
        <is>
          <t>B0CRT4GJMX</t>
        </is>
      </c>
      <c r="C26" s="35" t="inlineStr">
        <is>
          <t>Tablet</t>
        </is>
      </c>
      <c r="D26" s="359" t="n">
        <v>186.7348148148148</v>
      </c>
      <c r="E26" s="66" t="n">
        <v>506064.15</v>
      </c>
      <c r="F26" s="67" t="n">
        <v>40334.72</v>
      </c>
      <c r="G26" s="68" t="n">
        <v>2892</v>
      </c>
      <c r="H26" s="68" t="n">
        <v>216</v>
      </c>
      <c r="I26" s="68" t="n">
        <v>253</v>
      </c>
      <c r="J26" s="69" t="n">
        <v>4.1</v>
      </c>
      <c r="K26" s="69" t="inlineStr">
        <is>
          <t>https://amazon.com/dp/B0CRT4GJMX</t>
        </is>
      </c>
      <c r="L26" s="114">
        <f>HYPERLINK(Table3660[[#This Row],[Column1]])</f>
        <v/>
      </c>
    </row>
    <row r="27" ht="45" customHeight="1" s="314">
      <c r="A27" s="35" t="inlineStr">
        <is>
          <t>Launch X431 PRO3 (V+) V5.0 2026 Upgraded Bidirectional Scan Tool, OEM Topology Map, Scan HD Trucks, AutoAuth for FCA SGW, ECU Coding, 55+ Services, All System Diagnose, 2-Year Free Update, CAN FD</t>
        </is>
      </c>
      <c r="B27" s="35" t="inlineStr">
        <is>
          <t>B0CYLYFJW9</t>
        </is>
      </c>
      <c r="C27" s="35" t="inlineStr">
        <is>
          <t>Tablet</t>
        </is>
      </c>
      <c r="D27" s="359" t="n">
        <v>1072.371621621622</v>
      </c>
      <c r="E27" s="66" t="n">
        <v>612406.14</v>
      </c>
      <c r="F27" s="67" t="n">
        <v>39677.75</v>
      </c>
      <c r="G27" s="68" t="n">
        <v>592</v>
      </c>
      <c r="H27" s="68" t="n">
        <v>37</v>
      </c>
      <c r="I27" s="68" t="n">
        <v>142</v>
      </c>
      <c r="J27" s="69" t="n">
        <v>4.2</v>
      </c>
      <c r="K27" s="69" t="inlineStr">
        <is>
          <t>https://amazon.com/dp/B0CYLYFJW9</t>
        </is>
      </c>
      <c r="L27" s="114">
        <f>HYPERLINK(Table3660[[#This Row],[Column1]])</f>
        <v/>
      </c>
    </row>
    <row r="28" ht="45" customHeight="1" s="314">
      <c r="A28" s="35" t="inlineStr">
        <is>
          <t>Launch X431 CRP919XBT Wireless Bidirectional Scan Tool with ECU Code, CANFD&amp;DoIP, 2026 All System OBD2 Diagnostic Scanner, FCA AutoAuth, VAG Guided, 35+ Resets, 2 Yrs Free Update, Upgraded of CRP919X</t>
        </is>
      </c>
      <c r="B28" s="35" t="inlineStr">
        <is>
          <t>B0C5D1YM1F</t>
        </is>
      </c>
      <c r="C28" s="35" t="inlineStr">
        <is>
          <t>Tablet</t>
        </is>
      </c>
      <c r="D28" s="359" t="n">
        <v>505.906338028169</v>
      </c>
      <c r="E28" s="66" t="n">
        <v>401114.89</v>
      </c>
      <c r="F28" s="67" t="n">
        <v>35919.35</v>
      </c>
      <c r="G28" s="68" t="n">
        <v>828</v>
      </c>
      <c r="H28" s="68" t="n">
        <v>71</v>
      </c>
      <c r="I28" s="68" t="n">
        <v>553</v>
      </c>
      <c r="J28" s="69" t="n">
        <v>4.3</v>
      </c>
      <c r="K28" s="69" t="inlineStr">
        <is>
          <t>https://amazon.com/dp/B0C5D1YM1F</t>
        </is>
      </c>
      <c r="L28" s="114">
        <f>HYPERLINK(Table3660[[#This Row],[Column1]])</f>
        <v/>
      </c>
    </row>
    <row r="29" ht="45" customHeight="1" s="314">
      <c r="A29" s="35" t="inlineStr">
        <is>
          <t>Launch X431 PROS V 5.0 2026 Newly Bidirectional Scan Tool Bluetooth Launch Scanner with DBSCar VII Connector 38+ Reset for All Cars Online ECU Code CANFD FCA AutoAuth VAG Guide 2 Yrs F-Ree Update</t>
        </is>
      </c>
      <c r="B29" s="35" t="inlineStr">
        <is>
          <t>B0CLS8B1BK</t>
        </is>
      </c>
      <c r="C29" s="35" t="inlineStr">
        <is>
          <t>Tablet</t>
        </is>
      </c>
      <c r="D29" s="359" t="n">
        <v>839.754358974359</v>
      </c>
      <c r="E29" s="66" t="n">
        <v>1007256.67</v>
      </c>
      <c r="F29" s="67" t="n">
        <v>32750.42</v>
      </c>
      <c r="G29" s="68" t="n">
        <v>1328</v>
      </c>
      <c r="H29" s="68" t="n">
        <v>39</v>
      </c>
      <c r="I29" s="68" t="n">
        <v>251</v>
      </c>
      <c r="J29" s="69" t="n">
        <v>4.4</v>
      </c>
      <c r="K29" s="69" t="inlineStr">
        <is>
          <t>https://amazon.com/dp/B0CLS8B1BK</t>
        </is>
      </c>
      <c r="L29" s="114">
        <f>HYPERLINK(Table3660[[#This Row],[Column1]])</f>
        <v/>
      </c>
    </row>
    <row r="30" ht="45" customHeight="1" s="314">
      <c r="A30" s="35" t="inlineStr">
        <is>
          <t>LAUNCH X431 PRO3S+SMARTLINK HD Heavy Duty Truck Scanner,2026 Diesel&amp;Gasoline Bidirectional Diagnostic Scan Tool,60+Service,ECU Code,Topology Mapping,AutoAuth FCA SGW,2 YSR Free Update</t>
        </is>
      </c>
      <c r="B30" s="35" t="inlineStr">
        <is>
          <t>B098XDBRK4</t>
        </is>
      </c>
      <c r="C30" s="35" t="inlineStr">
        <is>
          <t>Tablet</t>
        </is>
      </c>
      <c r="D30" s="359" t="n">
        <v>1816.024117647059</v>
      </c>
      <c r="E30" s="66" t="n">
        <v>516285.3799999999</v>
      </c>
      <c r="F30" s="67" t="n">
        <v>30872.41</v>
      </c>
      <c r="G30" s="68" t="n">
        <v>268</v>
      </c>
      <c r="H30" s="68" t="n">
        <v>17</v>
      </c>
      <c r="I30" s="68" t="n">
        <v>47</v>
      </c>
      <c r="J30" s="69" t="n">
        <v>4.4</v>
      </c>
      <c r="K30" s="69" t="inlineStr">
        <is>
          <t>https://amazon.com/dp/B098XDBRK4</t>
        </is>
      </c>
      <c r="L30" s="114">
        <f>HYPERLINK(Table3660[[#This Row],[Column1]])</f>
        <v/>
      </c>
    </row>
    <row r="31" ht="60" customHeight="1" s="314">
      <c r="A31" s="35" t="inlineStr">
        <is>
          <t>Launch X431 PRO3S+ V5.0,2026 Upgrade All-in-One Bidirectional Scan Tool,HD Trucks Scan,Topology Map,ECU Code,55+ Service,Full System,CANFD&amp;DOIP,DBSCar VII VCI 2-Year Update</t>
        </is>
      </c>
      <c r="B31" s="35" t="inlineStr">
        <is>
          <t>B092894STV</t>
        </is>
      </c>
      <c r="C31" s="35" t="inlineStr">
        <is>
          <t>Tablet</t>
        </is>
      </c>
      <c r="D31" s="359" t="n">
        <v>1115.912692307692</v>
      </c>
      <c r="E31" s="66" t="n">
        <v>1332698.63</v>
      </c>
      <c r="F31" s="67" t="n">
        <v>29013.73</v>
      </c>
      <c r="G31" s="68" t="n">
        <v>1273</v>
      </c>
      <c r="H31" s="68" t="n">
        <v>26</v>
      </c>
      <c r="I31" s="68" t="n">
        <v>674</v>
      </c>
      <c r="J31" s="69" t="n">
        <v>4.2</v>
      </c>
      <c r="K31" s="69" t="inlineStr">
        <is>
          <t>https://amazon.com/dp/B092894STV</t>
        </is>
      </c>
      <c r="L31" s="114">
        <f>HYPERLINK(Table3660[[#This Row],[Column1]])</f>
        <v/>
      </c>
    </row>
    <row r="32" ht="45" customHeight="1" s="314">
      <c r="A32" s="35" t="inlineStr">
        <is>
          <t>2026 LAUNCH Creader Elite V3.0 for Honda Acura OBD2 Scanner, Full Systems Bi-Directional Scan Tool, All Reset Services, Full OBD2 Code Reader, AUTOVIN, Battery Registration, Lifetime Free Update</t>
        </is>
      </c>
      <c r="B32" s="35" t="inlineStr">
        <is>
          <t>B0D626W3Y4</t>
        </is>
      </c>
      <c r="C32" s="35" t="inlineStr">
        <is>
          <t>Tablet</t>
        </is>
      </c>
      <c r="D32" s="359" t="n">
        <v>192.5002684563758</v>
      </c>
      <c r="E32" s="66" t="n">
        <v>196304.38</v>
      </c>
      <c r="F32" s="67" t="n">
        <v>28682.54</v>
      </c>
      <c r="G32" s="68" t="n">
        <v>1137</v>
      </c>
      <c r="H32" s="68" t="n">
        <v>149</v>
      </c>
      <c r="I32" s="68" t="n">
        <v>641</v>
      </c>
      <c r="J32" s="69" t="n">
        <v>3.9</v>
      </c>
      <c r="K32" s="69" t="inlineStr">
        <is>
          <t>https://amazon.com/dp/B0D626W3Y4</t>
        </is>
      </c>
      <c r="L32" s="114">
        <f>HYPERLINK(Table3660[[#This Row],[Column1]])</f>
        <v/>
      </c>
    </row>
    <row r="33" ht="45" customHeight="1" s="314">
      <c r="A33" s="35" t="inlineStr">
        <is>
          <t>OBD2 Scanner LAUNCH CRP129X V3.0 Elite Scan Tool, Upgrade of CRP123X, 12 Reset Services, ABS/SRS/Transmission/Check Engine Car Code Reader, Lifetime Free Update, FCA AutoAuth &amp; Auto VIN, CANFD &amp; DoIP</t>
        </is>
      </c>
      <c r="B33" s="35" t="inlineStr">
        <is>
          <t>B07RMYN7ZL</t>
        </is>
      </c>
      <c r="C33" s="35" t="inlineStr">
        <is>
          <t>Tablet</t>
        </is>
      </c>
      <c r="D33" s="359" t="n">
        <v>264.0227272727273</v>
      </c>
      <c r="E33" s="66" t="n">
        <v>401399.91</v>
      </c>
      <c r="F33" s="67" t="n">
        <v>26138.25</v>
      </c>
      <c r="G33" s="68" t="n">
        <v>1675</v>
      </c>
      <c r="H33" s="68" t="n">
        <v>99</v>
      </c>
      <c r="I33" s="68" t="n">
        <v>1978</v>
      </c>
      <c r="J33" s="69" t="n">
        <v>4.4</v>
      </c>
      <c r="K33" s="69" t="inlineStr">
        <is>
          <t>https://amazon.com/dp/B07RMYN7ZL</t>
        </is>
      </c>
      <c r="L33" s="114">
        <f>HYPERLINK(Table3660[[#This Row],[Column1]])</f>
        <v/>
      </c>
    </row>
    <row r="34" ht="60" customHeight="1" s="314">
      <c r="A34" s="35" t="inlineStr">
        <is>
          <t>LAUNCH X431 PRO3S+ V5.0,2026 Upgrade Bluetooth Bi-Directional Scan Tool,HD Trucks Scan,OEM Topology Map,Online Code,55+ Service,CAN FD Connector,VAG Guided,AutoAuth FCA SGW,2 Yrs Free Update</t>
        </is>
      </c>
      <c r="B34" s="35" t="inlineStr">
        <is>
          <t>B09L1514WP</t>
        </is>
      </c>
      <c r="C34" s="35" t="inlineStr">
        <is>
          <t>Tablet</t>
        </is>
      </c>
      <c r="D34" s="359" t="n">
        <v>1125.928260869565</v>
      </c>
      <c r="E34" s="66" t="n">
        <v>166510.47</v>
      </c>
      <c r="F34" s="67" t="n">
        <v>25896.35</v>
      </c>
      <c r="G34" s="68" t="n">
        <v>153</v>
      </c>
      <c r="H34" s="68" t="n">
        <v>23</v>
      </c>
      <c r="I34" s="68" t="n">
        <v>84</v>
      </c>
      <c r="J34" s="69" t="n">
        <v>4.1</v>
      </c>
      <c r="K34" s="69" t="inlineStr">
        <is>
          <t>https://amazon.com/dp/B09L1514WP</t>
        </is>
      </c>
      <c r="L34" s="114">
        <f>HYPERLINK(Table3660[[#This Row],[Column1]])</f>
        <v/>
      </c>
    </row>
    <row r="35" ht="45" customHeight="1" s="314">
      <c r="A35" s="35" t="inlineStr">
        <is>
          <t>Launch X431 CRP919X OBD2 Scanner, 2026 US Ver. ECU Coding Car Scanner, Bidirectional Scan Tool, CANFD/DOIP, FCA Autoauth, 35+ Service,10.0 OS As X431, 4000+ Active Test,OE All System Diagnostic Tool</t>
        </is>
      </c>
      <c r="B35" s="35" t="inlineStr">
        <is>
          <t>B0DTPTB8MS</t>
        </is>
      </c>
      <c r="C35" s="35" t="inlineStr">
        <is>
          <t>Tablet</t>
        </is>
      </c>
      <c r="D35" s="359" t="n">
        <v>447.0414285714286</v>
      </c>
      <c r="E35" s="66" t="n">
        <v>360909.36</v>
      </c>
      <c r="F35" s="67" t="n">
        <v>25034.32</v>
      </c>
      <c r="G35" s="68" t="n">
        <v>842</v>
      </c>
      <c r="H35" s="68" t="n">
        <v>56</v>
      </c>
      <c r="I35" s="68" t="n">
        <v>71</v>
      </c>
      <c r="J35" s="69" t="n">
        <v>4.5</v>
      </c>
      <c r="K35" s="69" t="inlineStr">
        <is>
          <t>https://amazon.com/dp/B0DTPTB8MS</t>
        </is>
      </c>
      <c r="L35" s="114">
        <f>HYPERLINK(Table3660[[#This Row],[Column1]])</f>
        <v/>
      </c>
    </row>
    <row r="36" ht="30" customHeight="1" s="314">
      <c r="A36" s="35" t="inlineStr">
        <is>
          <t>LAUNCH X431 CRP919EBT OBD2 Scanner, Advanced Wireless Bluetooth Bidirectional Scan Tool, ECU Code, CANFD/DOIP, FCA AutoAuth, 35+ Resets, VAG Guided, All Systems for all Vehicles, Upgraded of CRP919E</t>
        </is>
      </c>
      <c r="B36" s="35" t="inlineStr">
        <is>
          <t>B0DKFFP66V</t>
        </is>
      </c>
      <c r="C36" s="35" t="inlineStr">
        <is>
          <t>Tablet</t>
        </is>
      </c>
      <c r="D36" s="359" t="n">
        <v>526.5897674418604</v>
      </c>
      <c r="E36" s="66" t="n">
        <v>464914.77</v>
      </c>
      <c r="F36" s="67" t="n">
        <v>22643.36</v>
      </c>
      <c r="G36" s="68" t="n">
        <v>956</v>
      </c>
      <c r="H36" s="68" t="n">
        <v>43</v>
      </c>
      <c r="I36" s="68" t="n">
        <v>146</v>
      </c>
      <c r="J36" s="69" t="n">
        <v>4.6</v>
      </c>
      <c r="K36" s="69" t="inlineStr">
        <is>
          <t>https://amazon.com/dp/B0DKFFP66V</t>
        </is>
      </c>
      <c r="L36" s="114">
        <f>HYPERLINK(Table3660[[#This Row],[Column1]])</f>
        <v/>
      </c>
    </row>
    <row r="37" ht="45" customHeight="1" s="314">
      <c r="A37" s="35" t="inlineStr">
        <is>
          <t>2026 LAUNCH Creader Elite V2.0 fit for Mercedes-Benz MB Sprinter Maybach Bi-Directional Scan Tool, OBD2 Scanner, Full System Diagnostic, All Reset Service, ECU Code, Auto Vin, Lifetime Free Update</t>
        </is>
      </c>
      <c r="B37" s="35" t="inlineStr">
        <is>
          <t>B0CMG7Q7YP</t>
        </is>
      </c>
      <c r="C37" s="35" t="inlineStr">
        <is>
          <t>Tablet</t>
        </is>
      </c>
      <c r="D37" s="359" t="n">
        <v>191.3456756756757</v>
      </c>
      <c r="E37" s="66" t="n">
        <v>262237.54</v>
      </c>
      <c r="F37" s="67" t="n">
        <v>21239.37</v>
      </c>
      <c r="G37" s="68" t="n">
        <v>1538</v>
      </c>
      <c r="H37" s="68" t="n">
        <v>111</v>
      </c>
      <c r="I37" s="68" t="n">
        <v>640</v>
      </c>
      <c r="J37" s="69" t="n">
        <v>3.9</v>
      </c>
      <c r="K37" s="69" t="inlineStr">
        <is>
          <t>https://amazon.com/dp/B0CMG7Q7YP</t>
        </is>
      </c>
      <c r="L37" s="114">
        <f>HYPERLINK(Table3660[[#This Row],[Column1]])</f>
        <v/>
      </c>
    </row>
    <row r="38" ht="60" customHeight="1" s="314">
      <c r="A38" s="35" t="inlineStr">
        <is>
          <t>2026 LAUNCH Creader Elite for Mercedes-Benz MB Sprinter Maybach Full System OBD2 Scanner, Bidirectional Diagnostic Scan Tool, All Service Code Reader,ECU Code, AutoVin, Lifetime Free Update</t>
        </is>
      </c>
      <c r="B38" s="35" t="inlineStr">
        <is>
          <t>B09XWVNBB6</t>
        </is>
      </c>
      <c r="C38" s="35" t="inlineStr">
        <is>
          <t>Handheld</t>
        </is>
      </c>
      <c r="D38" s="359" t="n">
        <v>166.6150793650794</v>
      </c>
      <c r="E38" s="66" t="n">
        <v>212241.94</v>
      </c>
      <c r="F38" s="67" t="n">
        <v>20993.5</v>
      </c>
      <c r="G38" s="68" t="n">
        <v>1492</v>
      </c>
      <c r="H38" s="68" t="n">
        <v>126</v>
      </c>
      <c r="I38" s="68" t="n">
        <v>550</v>
      </c>
      <c r="J38" s="69" t="n">
        <v>4</v>
      </c>
      <c r="K38" s="69" t="inlineStr">
        <is>
          <t>https://amazon.com/dp/B09XWVNBB6</t>
        </is>
      </c>
      <c r="L38" s="114">
        <f>HYPERLINK(Table3660[[#This Row],[Column1]])</f>
        <v/>
      </c>
    </row>
    <row r="39" ht="45" customHeight="1" s="314">
      <c r="A39" s="35" t="inlineStr">
        <is>
          <t>Launch Scanner X431 1MM* Plus Car Tool with X-PROG3 (Valued $800), Engine/Gearbox ECU Clé, All-in-One Diagnostic Tool, ECU Coding as PAD, 39+ Services, All-System Scan, 2-Year Update, Black, Android</t>
        </is>
      </c>
      <c r="B39" s="35" t="inlineStr">
        <is>
          <t>B0F2HNM2VH</t>
        </is>
      </c>
      <c r="C39" s="35" t="inlineStr">
        <is>
          <t>Tablet</t>
        </is>
      </c>
      <c r="D39" s="359" t="n">
        <v>1581.762307692308</v>
      </c>
      <c r="E39" s="66" t="n">
        <v>588837.8599999999</v>
      </c>
      <c r="F39" s="67" t="n">
        <v>20562.91</v>
      </c>
      <c r="G39" s="68" t="n">
        <v>412</v>
      </c>
      <c r="H39" s="68" t="n">
        <v>13</v>
      </c>
      <c r="I39" s="68" t="n">
        <v>55</v>
      </c>
      <c r="J39" s="69" t="n">
        <v>4</v>
      </c>
      <c r="K39" s="69" t="inlineStr">
        <is>
          <t>https://amazon.com/dp/B0F2HNM2VH</t>
        </is>
      </c>
      <c r="L39" s="114">
        <f>HYPERLINK(Table3660[[#This Row],[Column1]])</f>
        <v/>
      </c>
    </row>
    <row r="40" ht="45" customHeight="1" s="314">
      <c r="A40" s="35" t="inlineStr">
        <is>
          <t>LAUNCH Creader Elite V2.0 for BMW OBD2 Scanner, Full System Diagnostic Bi-Directional Scan Tool, ECU Code, All Services, Active Tests, Battery Registration Tool for BMW Mini RR, Lifetime Free Update</t>
        </is>
      </c>
      <c r="B40" s="35" t="inlineStr">
        <is>
          <t>B0F4QHR93X</t>
        </is>
      </c>
      <c r="C40" s="35" t="inlineStr">
        <is>
          <t>Tablet</t>
        </is>
      </c>
      <c r="D40" s="359" t="n">
        <v>199.6461386138614</v>
      </c>
      <c r="E40" s="66" t="n">
        <v>109586.5261538461</v>
      </c>
      <c r="F40" s="67" t="n">
        <v>20164.26</v>
      </c>
      <c r="G40" s="68" t="n">
        <v>387</v>
      </c>
      <c r="H40" s="68" t="n">
        <v>101</v>
      </c>
      <c r="I40" s="68" t="n">
        <v>17</v>
      </c>
      <c r="J40" s="69" t="n">
        <v>4.1</v>
      </c>
      <c r="K40" s="69" t="inlineStr">
        <is>
          <t>https://amazon.com/dp/B0F4QHR93X</t>
        </is>
      </c>
      <c r="L40" s="114">
        <f>HYPERLINK(Table3660[[#This Row],[Column1]])</f>
        <v/>
      </c>
    </row>
    <row r="41" ht="60" customHeight="1" s="314">
      <c r="A41" s="35" t="inlineStr">
        <is>
          <t>LAUNCH CRP129E V2.0 Elite OBD2 Scanner Diagnostic Tool, 12 Reset Scan Tool, FCA AutoAuth, ABS SRS Transmission Engine Code Reader, Oil/Brake/SAS/DPF/TPMS/BMS Reset, Lifetime Free Update, Auto VIN</t>
        </is>
      </c>
      <c r="B41" s="35" t="inlineStr">
        <is>
          <t>B0DKH5871C</t>
        </is>
      </c>
      <c r="C41" s="35" t="inlineStr">
        <is>
          <t>Tablet</t>
        </is>
      </c>
      <c r="D41" s="359" t="n">
        <v>223.8860674157303</v>
      </c>
      <c r="E41" s="66" t="n">
        <v>231820.11</v>
      </c>
      <c r="F41" s="67" t="n">
        <v>19925.86</v>
      </c>
      <c r="G41" s="68" t="n">
        <v>993</v>
      </c>
      <c r="H41" s="68" t="n">
        <v>89</v>
      </c>
      <c r="I41" s="68" t="n">
        <v>72</v>
      </c>
      <c r="J41" s="69" t="n">
        <v>4.4</v>
      </c>
      <c r="K41" s="69" t="inlineStr">
        <is>
          <t>https://amazon.com/dp/B0DKH5871C</t>
        </is>
      </c>
      <c r="L41" s="114">
        <f>HYPERLINK(Table3660[[#This Row],[Column1]])</f>
        <v/>
      </c>
    </row>
    <row r="42" ht="45" customHeight="1" s="314">
      <c r="A42" s="35" t="inlineStr">
        <is>
          <t>Launch X431 PRO Dyno 2026 Upgrade Bidirectional Scan Tool for 99.99% of Cars, ECU Coding, Active Tests, 38+ Services, All System Diagnostic Scanner, CAN-FD, FCA AutoAuth, 2 Years Free Update</t>
        </is>
      </c>
      <c r="B42" s="35" t="inlineStr">
        <is>
          <t>B0CH2TFY41</t>
        </is>
      </c>
      <c r="C42" s="35" t="inlineStr">
        <is>
          <t>Tablet</t>
        </is>
      </c>
      <c r="D42" s="359" t="n">
        <v>814.3713636363635</v>
      </c>
      <c r="E42" s="66" t="n">
        <v>227987.92</v>
      </c>
      <c r="F42" s="67" t="n">
        <v>17916.17</v>
      </c>
      <c r="G42" s="68" t="n">
        <v>280</v>
      </c>
      <c r="H42" s="68" t="n">
        <v>22</v>
      </c>
      <c r="I42" s="68" t="n">
        <v>97</v>
      </c>
      <c r="J42" s="69" t="n">
        <v>4.6</v>
      </c>
      <c r="K42" s="69" t="inlineStr">
        <is>
          <t>https://amazon.com/dp/B0CH2TFY41</t>
        </is>
      </c>
      <c r="L42" s="114">
        <f>HYPERLINK(Table3660[[#This Row],[Column1]])</f>
        <v/>
      </c>
    </row>
    <row r="43" ht="45" customHeight="1" s="314">
      <c r="A43" s="35" t="inlineStr">
        <is>
          <t>LAUNCH X431 PRO Elite 2026 New Bidirectional Scan Tool, 38+ Services, ECU Code, All-in-One Full System Diagnostic Scanner with CANFD &amp; DoIP,FCA AutoAuth,V.A.G Guide,2 Years Free Update</t>
        </is>
      </c>
      <c r="B43" s="35" t="inlineStr">
        <is>
          <t>B0D1V2X5KG</t>
        </is>
      </c>
      <c r="C43" s="35" t="inlineStr">
        <is>
          <t>Tablet</t>
        </is>
      </c>
      <c r="D43" s="359" t="n">
        <v>681.3457692307693</v>
      </c>
      <c r="E43" s="66" t="n">
        <v>79623.15000000001</v>
      </c>
      <c r="F43" s="67" t="n">
        <v>17714.99</v>
      </c>
      <c r="G43" s="68" t="n">
        <v>120</v>
      </c>
      <c r="H43" s="68" t="n">
        <v>26</v>
      </c>
      <c r="I43" s="68" t="n">
        <v>248</v>
      </c>
      <c r="J43" s="69" t="n">
        <v>4.3</v>
      </c>
      <c r="K43" s="69" t="inlineStr">
        <is>
          <t>https://amazon.com/dp/B0D1V2X5KG</t>
        </is>
      </c>
      <c r="L43" s="114">
        <f>HYPERLINK(Table3660[[#This Row],[Column1]])</f>
        <v/>
      </c>
    </row>
    <row r="44" ht="45" customHeight="1" s="314">
      <c r="A44" s="35" t="inlineStr">
        <is>
          <t>Launch Creader Elite for BMW OBD2 Scanner, 2025 Full Systems Diagnostic Bi-Directional Scan Tool, All Reset Service, ECU Code, Battery Registration Tool for BMW Mini Rolls-Royce,Lifetime Free Update</t>
        </is>
      </c>
      <c r="B44" s="35" t="inlineStr">
        <is>
          <t>B0DKHL1H22</t>
        </is>
      </c>
      <c r="C44" s="35" t="inlineStr">
        <is>
          <t>Handheld</t>
        </is>
      </c>
      <c r="D44" s="359" t="n">
        <v>169.7656701030928</v>
      </c>
      <c r="E44" s="66" t="n">
        <v>260082.87</v>
      </c>
      <c r="F44" s="67" t="n">
        <v>16467.27</v>
      </c>
      <c r="G44" s="68" t="n">
        <v>1571</v>
      </c>
      <c r="H44" s="68" t="n">
        <v>97</v>
      </c>
      <c r="I44" s="68" t="n">
        <v>76</v>
      </c>
      <c r="J44" s="69" t="n">
        <v>4</v>
      </c>
      <c r="K44" s="69" t="inlineStr">
        <is>
          <t>https://amazon.com/dp/B0DKHL1H22</t>
        </is>
      </c>
      <c r="L44" s="114">
        <f>HYPERLINK(Table3660[[#This Row],[Column1]])</f>
        <v/>
      </c>
    </row>
    <row r="45" ht="60" customHeight="1" s="314">
      <c r="A45" s="35" t="inlineStr">
        <is>
          <t>LAUNCH Scanner CRP129X V2.0 (Upgrade of CRP123X/CRP129X), 12 Reset Scan Tool,Lifetime Free Update,FCA SGW Car Scanner,ABS SRS Transmission,Check Engine Code Reader,AutoVIN,Battery Test, 5 Years Backup</t>
        </is>
      </c>
      <c r="B45" s="35" t="inlineStr">
        <is>
          <t>B07RK9GCK3</t>
        </is>
      </c>
      <c r="C45" s="35" t="inlineStr">
        <is>
          <t>Tablet</t>
        </is>
      </c>
      <c r="D45" s="359" t="n">
        <v>236.1228985507246</v>
      </c>
      <c r="E45" s="66" t="n">
        <v>348187.01</v>
      </c>
      <c r="F45" s="67" t="n">
        <v>16292.48</v>
      </c>
      <c r="G45" s="68" t="n">
        <v>1508</v>
      </c>
      <c r="H45" s="68" t="n">
        <v>69</v>
      </c>
      <c r="I45" s="68" t="n">
        <v>2365</v>
      </c>
      <c r="J45" s="69" t="n">
        <v>4.3</v>
      </c>
      <c r="K45" s="69" t="inlineStr">
        <is>
          <t>https://amazon.com/dp/B07RK9GCK3</t>
        </is>
      </c>
      <c r="L45" s="114">
        <f>HYPERLINK(Table3660[[#This Row],[Column1]])</f>
        <v/>
      </c>
    </row>
    <row r="46" ht="45" customHeight="1" s="314">
      <c r="A46" s="35" t="inlineStr">
        <is>
          <t>LAUNCH Creader Elite V3.0 for BMW OBD2 Scanner, 2026 Full Systems Bi-Directional Scan Tool, All Reset Services, ECU Code, CAN-FD &amp; DOIP, Battery Registration Tool for BMW Mini RR, Lifetime Free Update</t>
        </is>
      </c>
      <c r="B46" s="35" t="inlineStr">
        <is>
          <t>B0DKHL6YHJ</t>
        </is>
      </c>
      <c r="C46" s="35" t="inlineStr">
        <is>
          <t>Tablet</t>
        </is>
      </c>
      <c r="D46" s="359" t="n">
        <v>197.2075308641975</v>
      </c>
      <c r="E46" s="66" t="n">
        <v>174643.35</v>
      </c>
      <c r="F46" s="67" t="n">
        <v>15973.81</v>
      </c>
      <c r="G46" s="68" t="n">
        <v>952</v>
      </c>
      <c r="H46" s="68" t="n">
        <v>81</v>
      </c>
      <c r="I46" s="68" t="n">
        <v>100</v>
      </c>
      <c r="J46" s="69" t="n">
        <v>4.3</v>
      </c>
      <c r="K46" s="69" t="inlineStr">
        <is>
          <t>https://amazon.com/dp/B0DKHL6YHJ</t>
        </is>
      </c>
      <c r="L46" s="114">
        <f>HYPERLINK(Table3660[[#This Row],[Column1]])</f>
        <v/>
      </c>
    </row>
    <row r="47" ht="45" customHeight="1" s="314">
      <c r="A47" s="35" t="inlineStr">
        <is>
          <t>Launch CRP129I V3.0 OBD2 Scanner Diagnostic Tool, 2026 New Code Reader for Cars and Trucks, ABS SRS Transmission Engine Code Reader, 12 Reset, Oil/EPB/SAS/TPMS/Injector Code, Lifetime Free Update</t>
        </is>
      </c>
      <c r="B47" s="35" t="inlineStr">
        <is>
          <t>B07QRYR288</t>
        </is>
      </c>
      <c r="C47" s="35" t="inlineStr">
        <is>
          <t>Tablet</t>
        </is>
      </c>
      <c r="D47" s="359" t="n">
        <v>213.13</v>
      </c>
      <c r="E47" s="66" t="n">
        <v>176061.27</v>
      </c>
      <c r="F47" s="67" t="n">
        <v>15558.49</v>
      </c>
      <c r="G47" s="68" t="n">
        <v>812</v>
      </c>
      <c r="H47" s="68" t="n">
        <v>73</v>
      </c>
      <c r="I47" s="68" t="n">
        <v>950</v>
      </c>
      <c r="J47" s="69" t="n">
        <v>4.4</v>
      </c>
      <c r="K47" s="69" t="inlineStr">
        <is>
          <t>https://amazon.com/dp/B07QRYR288</t>
        </is>
      </c>
      <c r="L47" s="114">
        <f>HYPERLINK(Table3660[[#This Row],[Column1]])</f>
        <v/>
      </c>
    </row>
    <row r="48" ht="45" customHeight="1" s="314">
      <c r="A48" s="35" t="inlineStr">
        <is>
          <t>LAUNCH X431 X PROG3 Advanced Scan Tool with EEPROM Adapter,for X431 V/V+,PRO3S+,Pro3,Pro5 and PAD III/PAD V,etc.</t>
        </is>
      </c>
      <c r="B48" s="35" t="inlineStr">
        <is>
          <t>B09DK5H1F5</t>
        </is>
      </c>
      <c r="C48" s="35" t="inlineStr">
        <is>
          <t>Key</t>
        </is>
      </c>
      <c r="D48" s="359" t="n">
        <v>593.6168</v>
      </c>
      <c r="E48" s="66" t="n">
        <v>130865.64</v>
      </c>
      <c r="F48" s="67" t="n">
        <v>14840.42</v>
      </c>
      <c r="G48" s="68" t="n">
        <v>213</v>
      </c>
      <c r="H48" s="68" t="n">
        <v>25</v>
      </c>
      <c r="I48" s="68" t="n">
        <v>30</v>
      </c>
      <c r="J48" s="69" t="n">
        <v>3.6</v>
      </c>
      <c r="K48" s="69" t="inlineStr">
        <is>
          <t>https://amazon.com/dp/B09DK5H1F5</t>
        </is>
      </c>
      <c r="L48" s="114">
        <f>HYPERLINK(Table3660[[#This Row],[Column1]])</f>
        <v/>
      </c>
    </row>
    <row r="49" ht="45" customHeight="1" s="314">
      <c r="A49" s="35" t="inlineStr">
        <is>
          <t>Launch X431 PROS V 5.0: 2026 Bluetooth Bidirectional Scan Tool with ECU Coding 38+ Reset for All System Car Diagnostic CANFD DOIP OBD2 Scanner 2 Yrs Update, Upgraded of PROS Elite, Same as V+</t>
        </is>
      </c>
      <c r="B49" s="35" t="inlineStr">
        <is>
          <t>B0GL81NX9N</t>
        </is>
      </c>
      <c r="C49" s="35" t="inlineStr">
        <is>
          <t>Tablet</t>
        </is>
      </c>
      <c r="D49" s="359" t="n">
        <v>815.0517647058823</v>
      </c>
      <c r="E49" s="66" t="n">
        <v>167336.3969230769</v>
      </c>
      <c r="F49" s="67" t="n">
        <v>13855.88</v>
      </c>
      <c r="G49" s="68" t="n">
        <v>17</v>
      </c>
      <c r="H49" s="68" t="n">
        <v>17</v>
      </c>
      <c r="I49" s="68" t="n"/>
      <c r="J49" s="69" t="n"/>
      <c r="K49" s="69" t="inlineStr">
        <is>
          <t>https://amazon.com/dp/B0GL81NX9N</t>
        </is>
      </c>
      <c r="L49" s="114">
        <f>HYPERLINK(Table3660[[#This Row],[Column1]])</f>
        <v/>
      </c>
    </row>
    <row r="50" ht="45" customHeight="1" s="314">
      <c r="A50" s="35" t="inlineStr">
        <is>
          <t>2026 Upgraded LAUNCH OBD2 Scanner CRP123E V2.0 Elite, Diagnostics Tool for Engine, ABS, SRS, AT, with 7 Resets, Oil/Throttle/SAS/BMS/EPB/DPF/ABS Bleeding, Battery Test, FCA SGW, Lifetime Updates</t>
        </is>
      </c>
      <c r="B50" s="35" t="inlineStr">
        <is>
          <t>B07QZBY49X</t>
        </is>
      </c>
      <c r="C50" s="35" t="inlineStr">
        <is>
          <t>Tablet</t>
        </is>
      </c>
      <c r="D50" s="359" t="n">
        <v>179.0327631578947</v>
      </c>
      <c r="E50" s="66" t="n">
        <v>180669.48</v>
      </c>
      <c r="F50" s="67" t="n">
        <v>13606.49</v>
      </c>
      <c r="G50" s="68" t="n">
        <v>1123</v>
      </c>
      <c r="H50" s="68" t="n">
        <v>76</v>
      </c>
      <c r="I50" s="68" t="n">
        <v>534</v>
      </c>
      <c r="J50" s="69" t="n">
        <v>4.4</v>
      </c>
      <c r="K50" s="69" t="inlineStr">
        <is>
          <t>https://amazon.com/dp/B07QZBY49X</t>
        </is>
      </c>
      <c r="L50" s="114">
        <f>HYPERLINK(Table3660[[#This Row],[Column1]])</f>
        <v/>
      </c>
    </row>
    <row r="51" ht="45" customHeight="1" s="314">
      <c r="A51" s="35" t="inlineStr">
        <is>
          <t>Launch X431 PRO3 V+ Elite J2534 ECU Protocol, Code Scanner, Smartlink C, 60 Hot Services, FCA SGW, Bidirectional 3000+ Active Tests, 2026 All System Launch Scanner, 200+ Brands, CANFD DoIP, Android 10</t>
        </is>
      </c>
      <c r="B51" s="35" t="inlineStr">
        <is>
          <t>B0FPF2S57B</t>
        </is>
      </c>
      <c r="C51" s="35" t="inlineStr">
        <is>
          <t>Tablet</t>
        </is>
      </c>
      <c r="D51" s="359" t="n">
        <v>1462.117777777778</v>
      </c>
      <c r="E51" s="66" t="n">
        <v>202006.8476923078</v>
      </c>
      <c r="F51" s="67" t="n">
        <v>13159.06</v>
      </c>
      <c r="G51" s="68" t="n">
        <v>93</v>
      </c>
      <c r="H51" s="68" t="n">
        <v>9</v>
      </c>
      <c r="I51" s="68" t="n">
        <v>12</v>
      </c>
      <c r="J51" s="69" t="n">
        <v>5</v>
      </c>
      <c r="K51" s="69" t="inlineStr">
        <is>
          <t>https://amazon.com/dp/B0FPF2S57B</t>
        </is>
      </c>
      <c r="L51" s="114">
        <f>HYPERLINK(Table3660[[#This Row],[Column1]])</f>
        <v/>
      </c>
    </row>
    <row r="52" ht="45" customHeight="1" s="314">
      <c r="A52" s="35" t="inlineStr">
        <is>
          <t>LAUNCH X431 1MM0 Elite Professional Diagnostic Scanner with X-PR0G3, 2026 Bi-Directional Control All System Scan Tool with CANFD &amp; DOIP, 39+ Reset, Active Test ，FCA SGW Automotive Tool, 2 Yrs Update</t>
        </is>
      </c>
      <c r="B52" s="35" t="inlineStr">
        <is>
          <t>B0DN5XKF1S</t>
        </is>
      </c>
      <c r="C52" s="35" t="inlineStr">
        <is>
          <t>Tablet</t>
        </is>
      </c>
      <c r="D52" s="359" t="n">
        <v>1217.822</v>
      </c>
      <c r="E52" s="66" t="n">
        <v>155252.3638461539</v>
      </c>
      <c r="F52" s="67" t="n">
        <v>12178.22</v>
      </c>
      <c r="G52" s="68" t="n">
        <v>110</v>
      </c>
      <c r="H52" s="68" t="n">
        <v>10</v>
      </c>
      <c r="I52" s="68" t="n">
        <v>185</v>
      </c>
      <c r="J52" s="69" t="n">
        <v>4.3</v>
      </c>
      <c r="K52" s="69" t="inlineStr">
        <is>
          <t>https://amazon.com/dp/B0DN5XKF1S</t>
        </is>
      </c>
      <c r="L52" s="114">
        <f>HYPERLINK(Table3660[[#This Row],[Column1]])</f>
        <v/>
      </c>
    </row>
    <row r="53" ht="45" customHeight="1" s="314">
      <c r="A53" s="35" t="inlineStr">
        <is>
          <t>Launch CR529 OBD2 Scanner Diagnostic Tool, Full OBD2 Scanner for Car, Free Lifetime Upd. Check-Egine-Light Code Reader, 5 Years. Backup, Clear Codes, One Click I/M, for DIYers with Cars After 1996</t>
        </is>
      </c>
      <c r="B53" s="35" t="inlineStr">
        <is>
          <t>B082MCG82X</t>
        </is>
      </c>
      <c r="C53" s="35" t="inlineStr">
        <is>
          <t>Handheld</t>
        </is>
      </c>
      <c r="D53" s="359" t="n">
        <v>38.82355987055016</v>
      </c>
      <c r="E53" s="66" t="n">
        <v>204808.69</v>
      </c>
      <c r="F53" s="67" t="n">
        <v>11996.48</v>
      </c>
      <c r="G53" s="68" t="n">
        <v>5112</v>
      </c>
      <c r="H53" s="68" t="n">
        <v>309</v>
      </c>
      <c r="I53" s="68" t="n">
        <v>4214</v>
      </c>
      <c r="J53" s="69" t="n">
        <v>4.4</v>
      </c>
      <c r="K53" s="69" t="inlineStr">
        <is>
          <t>https://amazon.com/dp/B082MCG82X</t>
        </is>
      </c>
      <c r="L53" s="114">
        <f>HYPERLINK(Table3660[[#This Row],[Column1]])</f>
        <v/>
      </c>
    </row>
    <row r="54" ht="60" customHeight="1" s="314">
      <c r="A54" s="35" t="inlineStr">
        <is>
          <t>LAUNCH X431 PRO3S+ Elite, 2026 SmartlinkC 2.0 Bidirectional Scan Tool with J2534 Portocol, HD Trucks Scanner, 10.1 inch, Topology Map, 60+Service, Online Code, CANFD/DoIP/D-PDU, FCA</t>
        </is>
      </c>
      <c r="B54" s="35" t="inlineStr">
        <is>
          <t>B0FBWJBQX5</t>
        </is>
      </c>
      <c r="C54" s="35" t="inlineStr">
        <is>
          <t>Tablet</t>
        </is>
      </c>
      <c r="D54" s="359" t="n">
        <v>1190.5</v>
      </c>
      <c r="E54" s="66" t="n">
        <v>127929.7953846154</v>
      </c>
      <c r="F54" s="67" t="n">
        <v>11905</v>
      </c>
      <c r="G54" s="68" t="n">
        <v>39</v>
      </c>
      <c r="H54" s="68" t="n">
        <v>10</v>
      </c>
      <c r="I54" s="68" t="n">
        <v>54</v>
      </c>
      <c r="J54" s="69" t="n">
        <v>4.6</v>
      </c>
      <c r="K54" s="69" t="inlineStr">
        <is>
          <t>https://amazon.com/dp/B0FBWJBQX5</t>
        </is>
      </c>
      <c r="L54" s="114">
        <f>HYPERLINK(Table3660[[#This Row],[Column1]])</f>
        <v/>
      </c>
    </row>
    <row r="55" ht="60" customHeight="1" s="314">
      <c r="A55" s="35" t="inlineStr">
        <is>
          <t>LAUNCH X431 PRO3S+ V5.0 2026 Upgraded Bidirectional Scan Tool, OEM Topology Map, Scan HD Trucks, ECU Code, 55+ Services, Full System, CAN FD &amp; DOIP, FCA AutoAuth, V.AG Guided, 2 Yrs Update</t>
        </is>
      </c>
      <c r="B55" s="35" t="inlineStr">
        <is>
          <t>B0DPFD4JV1</t>
        </is>
      </c>
      <c r="C55" s="35" t="inlineStr">
        <is>
          <t>Tablet</t>
        </is>
      </c>
      <c r="D55" s="359" t="n">
        <v>1185.607</v>
      </c>
      <c r="E55" s="66" t="n">
        <v>294277.6899999999</v>
      </c>
      <c r="F55" s="67" t="n">
        <v>11856.07</v>
      </c>
      <c r="G55" s="68" t="n">
        <v>263</v>
      </c>
      <c r="H55" s="68" t="n">
        <v>10</v>
      </c>
      <c r="I55" s="68" t="n">
        <v>32</v>
      </c>
      <c r="J55" s="69" t="n">
        <v>4.3</v>
      </c>
      <c r="K55" s="69" t="inlineStr">
        <is>
          <t>https://amazon.com/dp/B0DPFD4JV1</t>
        </is>
      </c>
      <c r="L55" s="114">
        <f>HYPERLINK(Table3660[[#This Row],[Column1]])</f>
        <v/>
      </c>
    </row>
    <row r="56" ht="45" customHeight="1" s="314">
      <c r="A56" s="35" t="inlineStr">
        <is>
          <t>2026 LAUNCH Creader Elite OBD2 Scanner for Honda Acura, Full System Bi-Directional Diagnostic Scan Tool, Full Reset Code Reader, AUTO VIN, Battery Registration, Lifetime Free Update</t>
        </is>
      </c>
      <c r="B56" s="35" t="inlineStr">
        <is>
          <t>B0C7W2V589</t>
        </is>
      </c>
      <c r="C56" s="35" t="inlineStr">
        <is>
          <t>Handheld</t>
        </is>
      </c>
      <c r="D56" s="359" t="n">
        <v>133.1489655172414</v>
      </c>
      <c r="E56" s="66" t="n">
        <v>154737.2</v>
      </c>
      <c r="F56" s="67" t="n">
        <v>11583.96</v>
      </c>
      <c r="G56" s="68" t="n">
        <v>1098</v>
      </c>
      <c r="H56" s="68" t="n">
        <v>87</v>
      </c>
      <c r="I56" s="68" t="n">
        <v>357</v>
      </c>
      <c r="J56" s="69" t="n">
        <v>4.3</v>
      </c>
      <c r="K56" s="69" t="inlineStr">
        <is>
          <t>https://amazon.com/dp/B0C7W2V589</t>
        </is>
      </c>
      <c r="L56" s="114">
        <f>HYPERLINK(Table3660[[#This Row],[Column1]])</f>
        <v/>
      </c>
    </row>
    <row r="57" ht="45" customHeight="1" s="314">
      <c r="A57" s="35" t="inlineStr">
        <is>
          <t>LAUNCH CRP129HD Heavy Duty Truck Scanner 2026 Semi Trucks Full System Diagnostic Tool with Speed Limit Adjust Reset, D.P.F Regen, Oil Reset for Commercial Vehicle, Cummins Detroit International Paccar</t>
        </is>
      </c>
      <c r="B57" s="35" t="inlineStr">
        <is>
          <t>B0F58Y97Z2</t>
        </is>
      </c>
      <c r="C57" s="35" t="inlineStr">
        <is>
          <t>Tablet</t>
        </is>
      </c>
      <c r="D57" s="359" t="n">
        <v>508.7904545454545</v>
      </c>
      <c r="E57" s="66" t="n">
        <v>78144.18999999999</v>
      </c>
      <c r="F57" s="67" t="n">
        <v>11193.39</v>
      </c>
      <c r="G57" s="68" t="n">
        <v>113</v>
      </c>
      <c r="H57" s="68" t="n">
        <v>22</v>
      </c>
      <c r="I57" s="68" t="n">
        <v>7</v>
      </c>
      <c r="J57" s="69" t="n">
        <v>4.8</v>
      </c>
      <c r="K57" s="69" t="inlineStr">
        <is>
          <t>https://amazon.com/dp/B0F58Y97Z2</t>
        </is>
      </c>
      <c r="L57" s="114">
        <f>HYPERLINK(Table3660[[#This Row],[Column1]])</f>
        <v/>
      </c>
    </row>
    <row r="58" ht="45" customHeight="1" s="314">
      <c r="A58" s="35" t="inlineStr">
        <is>
          <t>LAUNCH X431 PRO Elite OBD2 Scanner, 2026 All-in-One New Bidirectional Scan Tool with CANFD DOIP, ECU Diagnostics,38+ Resets, Full System,FCA Autoauth,VAG Guide, 2 Years Update Included</t>
        </is>
      </c>
      <c r="B58" s="35" t="inlineStr">
        <is>
          <t>B0DKHBSHZB</t>
        </is>
      </c>
      <c r="C58" s="35" t="inlineStr">
        <is>
          <t>Tablet</t>
        </is>
      </c>
      <c r="D58" s="359" t="n">
        <v>672.266875</v>
      </c>
      <c r="E58" s="66" t="n">
        <v>196281.22</v>
      </c>
      <c r="F58" s="67" t="n">
        <v>10756.27</v>
      </c>
      <c r="G58" s="68" t="n">
        <v>314</v>
      </c>
      <c r="H58" s="68" t="n">
        <v>16</v>
      </c>
      <c r="I58" s="68" t="n">
        <v>40</v>
      </c>
      <c r="J58" s="69" t="n">
        <v>4.3</v>
      </c>
      <c r="K58" s="69" t="inlineStr">
        <is>
          <t>https://amazon.com/dp/B0DKHBSHZB</t>
        </is>
      </c>
      <c r="L58" s="114">
        <f>HYPERLINK(Table3660[[#This Row],[Column1]])</f>
        <v/>
      </c>
    </row>
    <row r="59" ht="45" customHeight="1" s="314">
      <c r="A59" s="35" t="inlineStr">
        <is>
          <t>Launch X431 Creader Elite 2.0 FGC OBD2 Scanner, Bi-Directional Scan Tool for Ford/GM/Chrysler Series, ECU Coding, Lifetime FR-EE Update, All System Diagnostic, 100+ Services, Full OBD2 Code Reader</t>
        </is>
      </c>
      <c r="B59" s="35" t="inlineStr">
        <is>
          <t>B0CNRN359J</t>
        </is>
      </c>
      <c r="C59" s="35" t="inlineStr">
        <is>
          <t>Tablet</t>
        </is>
      </c>
      <c r="D59" s="359" t="n">
        <v>253.0165853658537</v>
      </c>
      <c r="E59" s="66" t="n">
        <v>178413.29</v>
      </c>
      <c r="F59" s="67" t="n">
        <v>10373.68</v>
      </c>
      <c r="G59" s="68" t="n">
        <v>788</v>
      </c>
      <c r="H59" s="68" t="n">
        <v>41</v>
      </c>
      <c r="I59" s="68" t="n">
        <v>200</v>
      </c>
      <c r="J59" s="69" t="n">
        <v>4.1</v>
      </c>
      <c r="K59" s="69" t="inlineStr">
        <is>
          <t>https://amazon.com/dp/B0CNRN359J</t>
        </is>
      </c>
      <c r="L59" s="114">
        <f>HYPERLINK(Table3660[[#This Row],[Column1]])</f>
        <v/>
      </c>
    </row>
    <row r="60" ht="45" customHeight="1" s="314">
      <c r="A60" s="35" t="inlineStr">
        <is>
          <t>LAUNCH X431 PRO3S+ Elite with SmartlinkC 2.0,2026 Bi-Directional Scan Tool with J2534,OEM Topology Map, HD Truck Scan,ECU Code,CANFD &amp;DOIP,FCA AutoAuth,60+ Service,2 Years Update</t>
        </is>
      </c>
      <c r="B60" s="35" t="inlineStr">
        <is>
          <t>B0D5MC58JP</t>
        </is>
      </c>
      <c r="C60" s="35" t="inlineStr">
        <is>
          <t>Tablet</t>
        </is>
      </c>
      <c r="D60" s="359" t="n">
        <v>1291.74875</v>
      </c>
      <c r="E60" s="66" t="n">
        <v>202520.08</v>
      </c>
      <c r="F60" s="67" t="n">
        <v>10333.99</v>
      </c>
      <c r="G60" s="68" t="n">
        <v>152</v>
      </c>
      <c r="H60" s="68" t="n">
        <v>8</v>
      </c>
      <c r="I60" s="68" t="n">
        <v>32</v>
      </c>
      <c r="J60" s="69" t="n">
        <v>4</v>
      </c>
      <c r="K60" s="69" t="inlineStr">
        <is>
          <t>https://amazon.com/dp/B0D5MC58JP</t>
        </is>
      </c>
      <c r="L60" s="114">
        <f>HYPERLINK(Table3660[[#This Row],[Column1]])</f>
        <v/>
      </c>
    </row>
    <row r="61" ht="45" customHeight="1" s="314">
      <c r="A61" s="35" t="inlineStr">
        <is>
          <t>LAUNCH CRP129HD Heavy Duty Truck Scanner,Full System Diesel Scan Tool with 7+ Resets,DPF Force Regen &amp; Reset,Speed Limit Adjust,Oil Reset for Cummins Detroit Freightliner International Volvo &amp; More</t>
        </is>
      </c>
      <c r="B61" s="35" t="inlineStr">
        <is>
          <t>B0D5GNGT1D</t>
        </is>
      </c>
      <c r="C61" s="35" t="inlineStr">
        <is>
          <t>Tablet</t>
        </is>
      </c>
      <c r="D61" s="359" t="n">
        <v>502.9734999999999</v>
      </c>
      <c r="E61" s="66" t="n">
        <v>115352.09</v>
      </c>
      <c r="F61" s="67" t="n">
        <v>10059.47</v>
      </c>
      <c r="G61" s="68" t="n">
        <v>221</v>
      </c>
      <c r="H61" s="68" t="n">
        <v>20</v>
      </c>
      <c r="I61" s="68" t="n">
        <v>47</v>
      </c>
      <c r="J61" s="69" t="n">
        <v>4</v>
      </c>
      <c r="K61" s="69" t="inlineStr">
        <is>
          <t>https://amazon.com/dp/B0D5GNGT1D</t>
        </is>
      </c>
      <c r="L61" s="114">
        <f>HYPERLINK(Table3660[[#This Row],[Column1]])</f>
        <v/>
      </c>
    </row>
    <row r="62" ht="45" customHeight="1" s="314">
      <c r="A62" s="35" t="inlineStr">
        <is>
          <t>LAUNCH CRP129X OBD2 Scanner, 2026 Elite Lifetime Free Update Scan Tool, 8 Reset, Injector Coding, ABS/SRS/TCM/Engine System Diagnostic Scanner, Auto Vin, Car Scanner Diagnostic for All Cars</t>
        </is>
      </c>
      <c r="B62" s="35" t="inlineStr">
        <is>
          <t>B08HGV8B9F</t>
        </is>
      </c>
      <c r="C62" s="35" t="inlineStr">
        <is>
          <t>Tablet</t>
        </is>
      </c>
      <c r="D62" s="359" t="n">
        <v>183.4962962962963</v>
      </c>
      <c r="E62" s="66" t="n">
        <v>99153.50461538465</v>
      </c>
      <c r="F62" s="67" t="n">
        <v>9908.799999999999</v>
      </c>
      <c r="G62" s="68" t="n">
        <v>437</v>
      </c>
      <c r="H62" s="68" t="n">
        <v>54</v>
      </c>
      <c r="I62" s="68" t="n">
        <v>247</v>
      </c>
      <c r="J62" s="69" t="n">
        <v>4.2</v>
      </c>
      <c r="K62" s="69" t="inlineStr">
        <is>
          <t>https://amazon.com/dp/B08HGV8B9F</t>
        </is>
      </c>
      <c r="L62" s="114">
        <f>HYPERLINK(Table3660[[#This Row],[Column1]])</f>
        <v/>
      </c>
    </row>
    <row r="63" ht="45" customHeight="1" s="314">
      <c r="A63" s="35" t="inlineStr">
        <is>
          <t>LAUNCH CRP123 V2.0 Plus [2026 New Model] All System Scan Tool with 3 Reset Oil Service/Throttle Relearn/SAS Reset,OBD2 Scanner Diagnostic Tool,Lifetime Free Update</t>
        </is>
      </c>
      <c r="B63" s="35" t="inlineStr">
        <is>
          <t>B0CL2B9TQG</t>
        </is>
      </c>
      <c r="C63" s="35" t="inlineStr">
        <is>
          <t>Tablet</t>
        </is>
      </c>
      <c r="D63" s="359" t="n">
        <v>107.4648314606742</v>
      </c>
      <c r="E63" s="66" t="n">
        <v>47191.67</v>
      </c>
      <c r="F63" s="67" t="n">
        <v>9564.370000000001</v>
      </c>
      <c r="G63" s="68" t="n">
        <v>395</v>
      </c>
      <c r="H63" s="68" t="n">
        <v>89</v>
      </c>
      <c r="I63" s="68" t="n">
        <v>232</v>
      </c>
      <c r="J63" s="69" t="n">
        <v>4.2</v>
      </c>
      <c r="K63" s="69" t="inlineStr">
        <is>
          <t>https://amazon.com/dp/B0CL2B9TQG</t>
        </is>
      </c>
      <c r="L63" s="114">
        <f>HYPERLINK(Table3660[[#This Row],[Column1]])</f>
        <v/>
      </c>
    </row>
    <row r="64" ht="45" customHeight="1" s="314">
      <c r="A64" s="35" t="inlineStr">
        <is>
          <t>LAUNCH X431 PRO Elite 2026 Bidirectional Scan Tool, ECU Code,38+ Reset, All-in-One Full System Diagnostic Scanner, 4K+ Active Tests,CANFD&amp;DoIP, FCA AutoAuth, VAG Guide,2 Years Free Update</t>
        </is>
      </c>
      <c r="B64" s="35" t="inlineStr">
        <is>
          <t>B0GFCPGJK5</t>
        </is>
      </c>
      <c r="C64" s="35" t="inlineStr">
        <is>
          <t>Tablet</t>
        </is>
      </c>
      <c r="D64" s="359" t="n">
        <v>710.336923076923</v>
      </c>
      <c r="E64" s="66" t="n">
        <v>102998.8538461538</v>
      </c>
      <c r="F64" s="67" t="n">
        <v>9234.379999999999</v>
      </c>
      <c r="G64" s="68" t="n">
        <v>13</v>
      </c>
      <c r="H64" s="68" t="n">
        <v>13</v>
      </c>
      <c r="I64" s="68" t="n">
        <v>3</v>
      </c>
      <c r="J64" s="69" t="n">
        <v>5</v>
      </c>
      <c r="K64" s="69" t="inlineStr">
        <is>
          <t>https://amazon.com/dp/B0GFCPGJK5</t>
        </is>
      </c>
      <c r="L64" s="114">
        <f>HYPERLINK(Table3660[[#This Row],[Column1]])</f>
        <v/>
      </c>
    </row>
    <row r="65" ht="45" customHeight="1" s="314">
      <c r="A65" s="35" t="inlineStr">
        <is>
          <t>LAUNCH X431 IM Elite X431 PRG3 Scan Tool 39 Hot Services, 4000 Active Tests, CAN-FD, DoIP, FCA SGW, 5000 ECU, MCU, EEPR0M Read, Write</t>
        </is>
      </c>
      <c r="B65" s="35" t="inlineStr">
        <is>
          <t>B0DLGSXQ95</t>
        </is>
      </c>
      <c r="C65" s="35" t="inlineStr">
        <is>
          <t>Tablet</t>
        </is>
      </c>
      <c r="D65" s="359" t="n">
        <v>1094.96625</v>
      </c>
      <c r="E65" s="66" t="n">
        <v>113148.82</v>
      </c>
      <c r="F65" s="67" t="n">
        <v>8759.73</v>
      </c>
      <c r="G65" s="68" t="n">
        <v>90</v>
      </c>
      <c r="H65" s="68" t="n">
        <v>8</v>
      </c>
      <c r="I65" s="68" t="n">
        <v>10</v>
      </c>
      <c r="J65" s="69" t="n">
        <v>3.7</v>
      </c>
      <c r="K65" s="69" t="inlineStr">
        <is>
          <t>https://amazon.com/dp/B0DLGSXQ95</t>
        </is>
      </c>
      <c r="L65" s="114">
        <f>HYPERLINK(Table3660[[#This Row],[Column1]])</f>
        <v/>
      </c>
    </row>
    <row r="66" ht="60" customHeight="1" s="314">
      <c r="A66" s="35" t="inlineStr">
        <is>
          <t>Launch X431 PRO 5 Scanner: 2026 J2534 Tool, ECU Online Coding, Topology Mapping, Upgraded of X431 V+, Bi-Directional Diagnostic Scanner, with SmartLink C V2.0, CANFD &amp; DOIP, 2 Years Update</t>
        </is>
      </c>
      <c r="B66" s="35" t="inlineStr">
        <is>
          <t>B09PYFPFNY</t>
        </is>
      </c>
      <c r="C66" s="35" t="inlineStr">
        <is>
          <t>Tablet</t>
        </is>
      </c>
      <c r="D66" s="359" t="n">
        <v>1432.656666666667</v>
      </c>
      <c r="E66" s="66" t="n">
        <v>380876.15</v>
      </c>
      <c r="F66" s="67" t="n">
        <v>8595.940000000001</v>
      </c>
      <c r="G66" s="68" t="n">
        <v>261</v>
      </c>
      <c r="H66" s="68" t="n">
        <v>6</v>
      </c>
      <c r="I66" s="68" t="n">
        <v>123</v>
      </c>
      <c r="J66" s="69" t="n">
        <v>4</v>
      </c>
      <c r="K66" s="69" t="inlineStr">
        <is>
          <t>https://amazon.com/dp/B09PYFPFNY</t>
        </is>
      </c>
      <c r="L66" s="114">
        <f>HYPERLINK(Table3660[[#This Row],[Column1]])</f>
        <v/>
      </c>
    </row>
    <row r="67" ht="45" customHeight="1" s="314">
      <c r="A67" s="35" t="inlineStr">
        <is>
          <t>2026 NEW LAUNCH X431 PROS V5.0 Bidirectional Scan Tool, Free Update, ECU Online Coding, CANFD&amp;DOIP, FCA AutoAuth, V.A.G Guide, 37+ Reset for All Cars, OEM Full System Car Scanner</t>
        </is>
      </c>
      <c r="B67" s="35" t="inlineStr">
        <is>
          <t>B06XC3RSMC</t>
        </is>
      </c>
      <c r="C67" s="35" t="inlineStr">
        <is>
          <t>Tablet</t>
        </is>
      </c>
      <c r="D67" s="359" t="n">
        <v>804.211</v>
      </c>
      <c r="E67" s="66" t="n">
        <v>81771.66</v>
      </c>
      <c r="F67" s="67" t="n">
        <v>8042.11</v>
      </c>
      <c r="G67" s="68" t="n">
        <v>98</v>
      </c>
      <c r="H67" s="68" t="n">
        <v>10</v>
      </c>
      <c r="I67" s="68" t="n">
        <v>292</v>
      </c>
      <c r="J67" s="69" t="n">
        <v>4.2</v>
      </c>
      <c r="K67" s="69" t="inlineStr">
        <is>
          <t>https://amazon.com/dp/B06XC3RSMC</t>
        </is>
      </c>
      <c r="L67" s="114">
        <f>HYPERLINK(Table3660[[#This Row],[Column1]])</f>
        <v/>
      </c>
    </row>
    <row r="68" ht="60" customHeight="1" s="314">
      <c r="A68" s="35" t="inlineStr">
        <is>
          <t>Launch OBD2 Scanner CRP123X Elite V2.0, 2025 Lifetime Free Update Diagnostic Scan Tool Car Engine Code Reader with Oil/Brake/SAS/BMS/D.P.F/ABS Bleeding/Throttle Reset, Auto VIN</t>
        </is>
      </c>
      <c r="B68" s="35" t="inlineStr">
        <is>
          <t>B07RLF2XNM</t>
        </is>
      </c>
      <c r="C68" s="35" t="inlineStr">
        <is>
          <t>Tablet</t>
        </is>
      </c>
      <c r="D68" s="359" t="n">
        <v>179.7684090909091</v>
      </c>
      <c r="E68" s="66" t="n">
        <v>160030.04</v>
      </c>
      <c r="F68" s="67" t="n">
        <v>7909.81</v>
      </c>
      <c r="G68" s="68" t="n">
        <v>952</v>
      </c>
      <c r="H68" s="68" t="n">
        <v>44</v>
      </c>
      <c r="I68" s="68" t="n">
        <v>1658</v>
      </c>
      <c r="J68" s="69" t="n">
        <v>4.5</v>
      </c>
      <c r="K68" s="69" t="inlineStr">
        <is>
          <t>https://amazon.com/dp/B07RLF2XNM</t>
        </is>
      </c>
      <c r="L68" s="114">
        <f>HYPERLINK(Table3660[[#This Row],[Column1]])</f>
        <v/>
      </c>
    </row>
    <row r="69" ht="30" customHeight="1" s="314">
      <c r="A69" s="35" t="inlineStr">
        <is>
          <t>Launch Scan Tool X431 CRP919MAX Wireless Bidirectional Tool, All System Diagnosis Scanner, 31+ Service Functions, Code Assist, ECU Coding, FCA AutoAuth, V.A.G Guided, CANFD/DOIP, 2 Years Free Update</t>
        </is>
      </c>
      <c r="B69" s="35" t="inlineStr">
        <is>
          <t>B0CP1SXB9Y</t>
        </is>
      </c>
      <c r="C69" s="35" t="inlineStr">
        <is>
          <t>Tablet</t>
        </is>
      </c>
      <c r="D69" s="359" t="n">
        <v>415.6578947368421</v>
      </c>
      <c r="E69" s="66" t="n">
        <v>73924.86</v>
      </c>
      <c r="F69" s="67" t="n">
        <v>7897.5</v>
      </c>
      <c r="G69" s="68" t="n">
        <v>173</v>
      </c>
      <c r="H69" s="68" t="n">
        <v>19</v>
      </c>
      <c r="I69" s="68" t="n">
        <v>81</v>
      </c>
      <c r="J69" s="69" t="n">
        <v>4.5</v>
      </c>
      <c r="K69" s="69" t="inlineStr">
        <is>
          <t>https://amazon.com/dp/B0CP1SXB9Y</t>
        </is>
      </c>
      <c r="L69" s="114">
        <f>HYPERLINK(Table3660[[#This Row],[Column1]])</f>
        <v/>
      </c>
    </row>
    <row r="70" ht="45" customHeight="1" s="314">
      <c r="A70" s="35" t="inlineStr">
        <is>
          <t>Launch CRP 129 HD Heavy Duty Truck Scanner, Full System Diesel Diagnostic Tool with Speed Limit Adjust, D.P.F Regen, 7+ Resets Code Reader for Cummins, Detroit, Isuzu, Volvo&amp;More</t>
        </is>
      </c>
      <c r="B70" s="35" t="inlineStr">
        <is>
          <t>B0DTDXZSHM</t>
        </is>
      </c>
      <c r="C70" s="35" t="inlineStr">
        <is>
          <t>Tablet</t>
        </is>
      </c>
      <c r="D70" s="359" t="n">
        <v>491.593125</v>
      </c>
      <c r="E70" s="66" t="n">
        <v>76437.90999999999</v>
      </c>
      <c r="F70" s="67" t="n">
        <v>7865.49</v>
      </c>
      <c r="G70" s="68" t="n">
        <v>146</v>
      </c>
      <c r="H70" s="68" t="n">
        <v>16</v>
      </c>
      <c r="I70" s="68" t="n">
        <v>21</v>
      </c>
      <c r="J70" s="69" t="n">
        <v>3.7</v>
      </c>
      <c r="K70" s="69" t="inlineStr">
        <is>
          <t>https://amazon.com/dp/B0DTDXZSHM</t>
        </is>
      </c>
      <c r="L70" s="114">
        <f>HYPERLINK(Table3660[[#This Row],[Column1]])</f>
        <v/>
      </c>
    </row>
    <row r="71" ht="45" customHeight="1" s="314">
      <c r="A71" s="35" t="inlineStr">
        <is>
          <t>Launch Creader Elite 2.0 Bidirectional Scan Tool fit for Toyota/Lexus, 2026 Full System OBD2 Scanner, All Reset Service Code Reader, ECU Code, AUTO VIN, Battery Registration, Lifetime Free Update</t>
        </is>
      </c>
      <c r="B71" s="35" t="inlineStr">
        <is>
          <t>B0FNC5ZTMY</t>
        </is>
      </c>
      <c r="C71" s="35" t="inlineStr">
        <is>
          <t>Tablet</t>
        </is>
      </c>
      <c r="D71" s="359" t="n">
        <v>191.0756097560976</v>
      </c>
      <c r="E71" s="66" t="n">
        <v>86660.68846153849</v>
      </c>
      <c r="F71" s="67" t="n">
        <v>7834.1</v>
      </c>
      <c r="G71" s="68" t="n">
        <v>194</v>
      </c>
      <c r="H71" s="68" t="n">
        <v>41</v>
      </c>
      <c r="I71" s="68" t="n">
        <v>67</v>
      </c>
      <c r="J71" s="69" t="n">
        <v>4.3</v>
      </c>
      <c r="K71" s="69" t="inlineStr">
        <is>
          <t>https://amazon.com/dp/B0FNC5ZTMY</t>
        </is>
      </c>
      <c r="L71" s="114">
        <f>HYPERLINK(Table3660[[#This Row],[Column1]])</f>
        <v/>
      </c>
    </row>
    <row r="72" ht="60" customHeight="1" s="314">
      <c r="A72" s="35" t="inlineStr">
        <is>
          <t>LAUNCH Creader Elite OBD2 Scanner Diagnostic Tool Fit for Audi Volkswagen Skoda Seat,Full System All Reset Bi-Directional Code Reader for VAG Vehicles,Active Test, ECU Code,Lifetime Update</t>
        </is>
      </c>
      <c r="B72" s="35" t="inlineStr">
        <is>
          <t>B0DY7S79PV</t>
        </is>
      </c>
      <c r="C72" s="35" t="inlineStr">
        <is>
          <t>Handheld</t>
        </is>
      </c>
      <c r="D72" s="359" t="n">
        <v>138.5340740740741</v>
      </c>
      <c r="E72" s="66" t="n">
        <v>43400.6</v>
      </c>
      <c r="F72" s="67" t="n">
        <v>7480.84</v>
      </c>
      <c r="G72" s="68" t="n">
        <v>314</v>
      </c>
      <c r="H72" s="68" t="n">
        <v>54</v>
      </c>
      <c r="I72" s="68" t="n">
        <v>522</v>
      </c>
      <c r="J72" s="69" t="n">
        <v>4.1</v>
      </c>
      <c r="K72" s="69" t="inlineStr">
        <is>
          <t>https://amazon.com/dp/B0DY7S79PV</t>
        </is>
      </c>
      <c r="L72" s="114">
        <f>HYPERLINK(Table3660[[#This Row],[Column1]])</f>
        <v/>
      </c>
    </row>
    <row r="73" ht="45" customHeight="1" s="314">
      <c r="A73" s="35" t="inlineStr">
        <is>
          <t>LAUNCH X431 PRO5 J2534 Protocol Bidirectional Scan Tool with SmartLink C V2.0, Car Diagnostic Scanner with Topology Mapping, 60+ Services, Intelligent Diagnostics, Guided Functions, 2-Year Free Update</t>
        </is>
      </c>
      <c r="B73" s="35" t="inlineStr">
        <is>
          <t>B07L6WWL62</t>
        </is>
      </c>
      <c r="C73" s="35" t="inlineStr">
        <is>
          <t>Tablet</t>
        </is>
      </c>
      <c r="D73" s="359" t="n">
        <v>1443.308</v>
      </c>
      <c r="E73" s="66" t="n">
        <v>247494.6</v>
      </c>
      <c r="F73" s="67" t="n">
        <v>7216.54</v>
      </c>
      <c r="G73" s="68" t="n">
        <v>165</v>
      </c>
      <c r="H73" s="68" t="n">
        <v>5</v>
      </c>
      <c r="I73" s="68" t="n">
        <v>104</v>
      </c>
      <c r="J73" s="69" t="n">
        <v>4</v>
      </c>
      <c r="K73" s="69" t="inlineStr">
        <is>
          <t>https://amazon.com/dp/B07L6WWL62</t>
        </is>
      </c>
      <c r="L73" s="114">
        <f>HYPERLINK(Table3660[[#This Row],[Column1]])</f>
        <v/>
      </c>
    </row>
    <row r="74" ht="45" customHeight="1" s="314">
      <c r="A74" s="35" t="inlineStr">
        <is>
          <t>LAUNCH X431 CRP919X Car Scanner, ECU Coding OBD2 Scanner Diagnostic Tool, 2026 Bi-Directional Scan Tool, CANFD/DoIP/FCA SGW, 35+ Reset,Active Test,All-in-One Full System Diagnostic Scanner,2Yrs Update</t>
        </is>
      </c>
      <c r="B74" s="35" t="inlineStr">
        <is>
          <t>B07FPDPN92</t>
        </is>
      </c>
      <c r="C74" s="35" t="inlineStr">
        <is>
          <t>Tablet</t>
        </is>
      </c>
      <c r="D74" s="359" t="n">
        <v>448.555625</v>
      </c>
      <c r="E74" s="66" t="n">
        <v>225125.5615384616</v>
      </c>
      <c r="F74" s="67" t="n">
        <v>7176.89</v>
      </c>
      <c r="G74" s="68" t="n">
        <v>501</v>
      </c>
      <c r="H74" s="68" t="n">
        <v>16</v>
      </c>
      <c r="I74" s="68" t="n">
        <v>273</v>
      </c>
      <c r="J74" s="69" t="n">
        <v>4.2</v>
      </c>
      <c r="K74" s="69" t="inlineStr">
        <is>
          <t>https://amazon.com/dp/B07FPDPN92</t>
        </is>
      </c>
      <c r="L74" s="114">
        <f>HYPERLINK(Table3660[[#This Row],[Column1]])</f>
        <v/>
      </c>
    </row>
    <row r="75" ht="45" customHeight="1" s="314">
      <c r="A75" s="35" t="inlineStr">
        <is>
          <t>LAUNCH X431 CRP919E Lite Bidirectional Scan Tool, 2026 All System OBD2 Scanner Diagnostic Tool,Active Tests, 32+ Services,FCA AutoAuth,AutoVIN &amp; AutoScan,2-Year Free Update,Upgraded of CRP909E</t>
        </is>
      </c>
      <c r="B75" s="35" t="inlineStr">
        <is>
          <t>B0DBLCM29P</t>
        </is>
      </c>
      <c r="C75" s="35" t="inlineStr">
        <is>
          <t>Tablet</t>
        </is>
      </c>
      <c r="D75" s="359" t="n">
        <v>370.031052631579</v>
      </c>
      <c r="E75" s="66" t="n">
        <v>52247.09999999999</v>
      </c>
      <c r="F75" s="67" t="n">
        <v>7030.59</v>
      </c>
      <c r="G75" s="68" t="n">
        <v>140</v>
      </c>
      <c r="H75" s="68" t="n">
        <v>19</v>
      </c>
      <c r="I75" s="68" t="n">
        <v>32</v>
      </c>
      <c r="J75" s="69" t="n">
        <v>4.5</v>
      </c>
      <c r="K75" s="69" t="inlineStr">
        <is>
          <t>https://amazon.com/dp/B0DBLCM29P</t>
        </is>
      </c>
      <c r="L75" s="114">
        <f>HYPERLINK(Table3660[[#This Row],[Column1]])</f>
        <v/>
      </c>
    </row>
    <row r="76" ht="45" customHeight="1" s="314">
      <c r="A76" s="35" t="inlineStr">
        <is>
          <t>Launch X431 PROS Elite [2026 New Model] Fully Functional Bidirectional Scan Tool, CANFD&amp;DOIP, ECU Coding, VAG Guided Function, FCA SGW Cars, 38+ Resets, FCA AutoAuth, Full System Scanner for All Cars</t>
        </is>
      </c>
      <c r="B76" s="35" t="inlineStr">
        <is>
          <t>B0CTCGBC8V</t>
        </is>
      </c>
      <c r="C76" s="35" t="inlineStr">
        <is>
          <t>Tablet</t>
        </is>
      </c>
      <c r="D76" s="359" t="n">
        <v>673.362</v>
      </c>
      <c r="E76" s="66" t="n">
        <v>66704.34999999999</v>
      </c>
      <c r="F76" s="67" t="n">
        <v>6733.62</v>
      </c>
      <c r="G76" s="68" t="n">
        <v>101</v>
      </c>
      <c r="H76" s="68" t="n">
        <v>10</v>
      </c>
      <c r="I76" s="68" t="n">
        <v>31</v>
      </c>
      <c r="J76" s="69" t="n">
        <v>4.1</v>
      </c>
      <c r="K76" s="69" t="inlineStr">
        <is>
          <t>https://amazon.com/dp/B0CTCGBC8V</t>
        </is>
      </c>
      <c r="L76" s="114">
        <f>HYPERLINK(Table3660[[#This Row],[Column1]])</f>
        <v/>
      </c>
    </row>
    <row r="77" ht="30" customHeight="1" s="314">
      <c r="A77" s="35" t="inlineStr">
        <is>
          <t>LAUNCH X431 PRO3 ACE 2026 Upgraded Bidirectional Scan Tool with DBSCar VII Connector,HD Truck Scan,OEM Topology Map,Online Code &amp; 55+ Reset Functions,CAN FD &amp; DoIP,FCA SGW,2-Year Free Update</t>
        </is>
      </c>
      <c r="B77" s="35" t="inlineStr">
        <is>
          <t>B0D4H5429Q</t>
        </is>
      </c>
      <c r="C77" s="35" t="inlineStr">
        <is>
          <t>Tablet</t>
        </is>
      </c>
      <c r="D77" s="359" t="n">
        <v>1109.828333333333</v>
      </c>
      <c r="E77" s="66" t="n">
        <v>184820.82</v>
      </c>
      <c r="F77" s="67" t="n">
        <v>6658.97</v>
      </c>
      <c r="G77" s="68" t="n">
        <v>168</v>
      </c>
      <c r="H77" s="68" t="n">
        <v>6</v>
      </c>
      <c r="I77" s="68" t="n">
        <v>36</v>
      </c>
      <c r="J77" s="69" t="n">
        <v>4.5</v>
      </c>
      <c r="K77" s="69" t="inlineStr">
        <is>
          <t>https://amazon.com/dp/B0D4H5429Q</t>
        </is>
      </c>
      <c r="L77" s="114">
        <f>HYPERLINK(Table3660[[#This Row],[Column1]])</f>
        <v/>
      </c>
    </row>
    <row r="78" ht="45" customHeight="1" s="314">
      <c r="A78" s="35" t="inlineStr">
        <is>
          <t>LAUNCH X431 Creader Elite 2.0 Lifetime Update OBD2 Scanner for BBA, 2026 New Bidirectional Scan Tool for BMW, for Mercedes-Benz,for Audi, ECU Code,Full System,Full Services, Battery Register</t>
        </is>
      </c>
      <c r="B78" s="35" t="inlineStr">
        <is>
          <t>B0F2Y5HBYR</t>
        </is>
      </c>
      <c r="C78" s="35" t="inlineStr">
        <is>
          <t>Tablet</t>
        </is>
      </c>
      <c r="D78" s="359" t="n">
        <v>229.53</v>
      </c>
      <c r="E78" s="66" t="n">
        <v>47660.61461538461</v>
      </c>
      <c r="F78" s="67" t="n">
        <v>6656.37</v>
      </c>
      <c r="G78" s="68" t="n">
        <v>126</v>
      </c>
      <c r="H78" s="68" t="n">
        <v>29</v>
      </c>
      <c r="I78" s="68" t="n">
        <v>6</v>
      </c>
      <c r="J78" s="69" t="n">
        <v>4.4</v>
      </c>
      <c r="K78" s="69" t="inlineStr">
        <is>
          <t>https://amazon.com/dp/B0F2Y5HBYR</t>
        </is>
      </c>
      <c r="L78" s="114">
        <f>HYPERLINK(Table3660[[#This Row],[Column1]])</f>
        <v/>
      </c>
    </row>
    <row r="79" ht="45" customHeight="1" s="314">
      <c r="A79" s="35" t="inlineStr">
        <is>
          <t>LAUNCH X431 Pro TT Bidirectional Scanner with 2026 Bluetooth Connector, 38+ Reset for All Cars, All-in-One Full System, ECU Code, CANFD &amp; DOIP, FCA AutoAuth, VAG Guide,2 Year Free Update</t>
        </is>
      </c>
      <c r="B79" s="35" t="inlineStr">
        <is>
          <t>B0CQY9ZH21</t>
        </is>
      </c>
      <c r="C79" s="35" t="inlineStr">
        <is>
          <t>Tablet</t>
        </is>
      </c>
      <c r="D79" s="359" t="n">
        <v>820.995</v>
      </c>
      <c r="E79" s="66" t="n">
        <v>236680.27</v>
      </c>
      <c r="F79" s="67" t="n">
        <v>6567.96</v>
      </c>
      <c r="G79" s="68" t="n">
        <v>298</v>
      </c>
      <c r="H79" s="68" t="n">
        <v>8</v>
      </c>
      <c r="I79" s="68" t="n">
        <v>59</v>
      </c>
      <c r="J79" s="69" t="n">
        <v>4.4</v>
      </c>
      <c r="K79" s="69" t="inlineStr">
        <is>
          <t>https://amazon.com/dp/B0CQY9ZH21</t>
        </is>
      </c>
      <c r="L79" s="114">
        <f>HYPERLINK(Table3660[[#This Row],[Column1]])</f>
        <v/>
      </c>
    </row>
    <row r="80" ht="45" customHeight="1" s="314">
      <c r="A80" s="35" t="inlineStr">
        <is>
          <t>2026 LAUNCH Creader Elite V2.0 OBD2 Scanner for VW Audi Skoda Seat, Full Systems Bi-Directional Scan Tool for VAG Vehicles, All Services Car Code Reader, AUTO VIN, Free Update</t>
        </is>
      </c>
      <c r="B80" s="35" t="inlineStr">
        <is>
          <t>B0CR3X6PYQ</t>
        </is>
      </c>
      <c r="C80" s="35" t="inlineStr">
        <is>
          <t>Tablet</t>
        </is>
      </c>
      <c r="D80" s="359" t="n">
        <v>193.871935483871</v>
      </c>
      <c r="E80" s="66" t="n">
        <v>60747.21</v>
      </c>
      <c r="F80" s="67" t="n">
        <v>6010.03</v>
      </c>
      <c r="G80" s="68" t="n">
        <v>351</v>
      </c>
      <c r="H80" s="68" t="n">
        <v>31</v>
      </c>
      <c r="I80" s="68" t="n">
        <v>68</v>
      </c>
      <c r="J80" s="69" t="n">
        <v>3.5</v>
      </c>
      <c r="K80" s="69" t="inlineStr">
        <is>
          <t>https://amazon.com/dp/B0CR3X6PYQ</t>
        </is>
      </c>
      <c r="L80" s="114">
        <f>HYPERLINK(Table3660[[#This Row],[Column1]])</f>
        <v/>
      </c>
    </row>
    <row r="81" ht="45" customHeight="1" s="314">
      <c r="A81" s="35" t="inlineStr">
        <is>
          <t>Launch CRP919X Lite Bidirectional Scan Tool, 2026 New FCA SGW AutoAuth, 32 Reset Services, All System Diagnostic Scanner, Injector Coding, Auto VIN OBD2 Scanner Diagnostic Tool with 2-Year Updates</t>
        </is>
      </c>
      <c r="B81" s="35" t="inlineStr">
        <is>
          <t>B0DFMC4CQX</t>
        </is>
      </c>
      <c r="C81" s="35" t="inlineStr">
        <is>
          <t>Tablet</t>
        </is>
      </c>
      <c r="D81" s="359" t="n">
        <v>367.935625</v>
      </c>
      <c r="E81" s="66" t="n">
        <v>52745.46000000001</v>
      </c>
      <c r="F81" s="67" t="n">
        <v>5886.97</v>
      </c>
      <c r="G81" s="68" t="n">
        <v>143</v>
      </c>
      <c r="H81" s="68" t="n">
        <v>16</v>
      </c>
      <c r="I81" s="68" t="n">
        <v>31</v>
      </c>
      <c r="J81" s="69" t="n">
        <v>4.8</v>
      </c>
      <c r="K81" s="69" t="inlineStr">
        <is>
          <t>https://amazon.com/dp/B0DFMC4CQX</t>
        </is>
      </c>
      <c r="L81" s="114">
        <f>HYPERLINK(Table3660[[#This Row],[Column1]])</f>
        <v/>
      </c>
    </row>
    <row r="82" ht="45" customHeight="1" s="314">
      <c r="A82" s="35" t="inlineStr">
        <is>
          <t>2026 LAUNCH Creader Elite V2.0 fit for Kia and Hyundai Bi-Directional Scan Tool, All Reset Functions, Full System Diagnostic Scanner, Full OBD2 Code Reader, ECU Code, AUTO VIN, Lifetime Free Update</t>
        </is>
      </c>
      <c r="B82" s="35" t="inlineStr">
        <is>
          <t>B0D61QMD2M</t>
        </is>
      </c>
      <c r="C82" s="35" t="inlineStr">
        <is>
          <t>Tablet</t>
        </is>
      </c>
      <c r="D82" s="359" t="n">
        <v>192.222</v>
      </c>
      <c r="E82" s="66" t="n">
        <v>62226.38</v>
      </c>
      <c r="F82" s="67" t="n">
        <v>5766.66</v>
      </c>
      <c r="G82" s="68" t="n">
        <v>363</v>
      </c>
      <c r="H82" s="68" t="n">
        <v>30</v>
      </c>
      <c r="I82" s="68" t="n">
        <v>49</v>
      </c>
      <c r="J82" s="69" t="n">
        <v>3.6</v>
      </c>
      <c r="K82" s="69" t="inlineStr">
        <is>
          <t>https://amazon.com/dp/B0D61QMD2M</t>
        </is>
      </c>
      <c r="L82" s="114">
        <f>HYPERLINK(Table3660[[#This Row],[Column1]])</f>
        <v/>
      </c>
    </row>
    <row r="83" ht="45" customHeight="1" s="314">
      <c r="A83" s="35" t="inlineStr">
        <is>
          <t>LAUNCH CRP129 HD Heavy Duty Truck Scanner, Full System Diesel Diagnostic Scan Tool with 7 Reset, DPF Regen Speed Limit Adjust Oil Reset,Commercial Code Reader for Heavy Truck Pickup Tractor Semi-Truck</t>
        </is>
      </c>
      <c r="B83" s="35" t="inlineStr">
        <is>
          <t>B0DKJ11FB6</t>
        </is>
      </c>
      <c r="C83" s="35" t="inlineStr">
        <is>
          <t>Tablet</t>
        </is>
      </c>
      <c r="D83" s="359" t="n">
        <v>551.489</v>
      </c>
      <c r="E83" s="66" t="n">
        <v>99822.12999999999</v>
      </c>
      <c r="F83" s="67" t="n">
        <v>5514.89</v>
      </c>
      <c r="G83" s="68" t="n">
        <v>180</v>
      </c>
      <c r="H83" s="68" t="n">
        <v>10</v>
      </c>
      <c r="I83" s="68" t="n">
        <v>12</v>
      </c>
      <c r="J83" s="69" t="n">
        <v>4.2</v>
      </c>
      <c r="K83" s="69" t="inlineStr">
        <is>
          <t>https://amazon.com/dp/B0DKJ11FB6</t>
        </is>
      </c>
      <c r="L83" s="114">
        <f>HYPERLINK(Table3660[[#This Row],[Column1]])</f>
        <v/>
      </c>
    </row>
    <row r="84" ht="60" customHeight="1" s="314">
      <c r="A84" s="35" t="inlineStr">
        <is>
          <t>Launch X431 1MM0 Plus with PROG3 Tool, All-System Diagnostics, ECU Coding Scan Tool, 39+ Services, Bi-Directional Control, 2-Year Updating</t>
        </is>
      </c>
      <c r="B84" s="35" t="inlineStr">
        <is>
          <t>B0DHZJWCDS</t>
        </is>
      </c>
      <c r="C84" s="35" t="inlineStr">
        <is>
          <t>Tablet</t>
        </is>
      </c>
      <c r="D84" s="359" t="n">
        <v>1818.083333333333</v>
      </c>
      <c r="E84" s="66" t="n">
        <v>145516.02</v>
      </c>
      <c r="F84" s="67" t="n">
        <v>5454.25</v>
      </c>
      <c r="G84" s="68" t="n">
        <v>118</v>
      </c>
      <c r="H84" s="68" t="n">
        <v>3</v>
      </c>
      <c r="I84" s="68" t="n">
        <v>21</v>
      </c>
      <c r="J84" s="69" t="n">
        <v>3.6</v>
      </c>
      <c r="K84" s="69" t="inlineStr">
        <is>
          <t>https://amazon.com/dp/B0DHZJWCDS</t>
        </is>
      </c>
      <c r="L84" s="114">
        <f>HYPERLINK(Table3660[[#This Row],[Column1]])</f>
        <v/>
      </c>
    </row>
    <row r="85" ht="60" customHeight="1" s="314">
      <c r="A85" s="35" t="inlineStr">
        <is>
          <t>LAUNCH X431 Scanner PRO3 APEX Bidirectional Scan Tool 2026 Upgraded, OEM Topology Map, Online Coding, HD Truck, 55+ Services All-System car Diagnostics Tool,10.1 Inch, CAN FD &amp; DoIP, FCA &amp; Renault SGW</t>
        </is>
      </c>
      <c r="B85" s="35" t="inlineStr">
        <is>
          <t>B08B643TZ9</t>
        </is>
      </c>
      <c r="C85" s="35" t="inlineStr">
        <is>
          <t>Tablet</t>
        </is>
      </c>
      <c r="D85" s="359" t="n">
        <v>1040.656</v>
      </c>
      <c r="E85" s="66" t="n">
        <v>19937.81</v>
      </c>
      <c r="F85" s="67" t="n">
        <v>5203.28</v>
      </c>
      <c r="G85" s="68" t="n">
        <v>18</v>
      </c>
      <c r="H85" s="68" t="n">
        <v>5</v>
      </c>
      <c r="I85" s="68" t="n">
        <v>11</v>
      </c>
      <c r="J85" s="69" t="n">
        <v>4.4</v>
      </c>
      <c r="K85" s="69" t="inlineStr">
        <is>
          <t>https://amazon.com/dp/B08B643TZ9</t>
        </is>
      </c>
      <c r="L85" s="114">
        <f>HYPERLINK(Table3660[[#This Row],[Column1]])</f>
        <v/>
      </c>
    </row>
    <row r="86" ht="45" customHeight="1" s="314">
      <c r="A86" s="35" t="inlineStr">
        <is>
          <t>Launch X431 PRO3 APEX OBD2 Scanner 2026 Upgraded Screen, Wireless Diagnostic Scan Tool with DBScar VII, OEM Topology Mapping, ECU Code, CANFD DoIP, 55+ Services, AutoAuth FCA SGW,10.1 Inch</t>
        </is>
      </c>
      <c r="B86" s="35" t="inlineStr">
        <is>
          <t>B0D3LBX9LR</t>
        </is>
      </c>
      <c r="C86" s="35" t="inlineStr">
        <is>
          <t>Tablet</t>
        </is>
      </c>
      <c r="D86" s="359" t="n">
        <v>1248.83</v>
      </c>
      <c r="E86" s="66" t="n">
        <v>228529.9846153846</v>
      </c>
      <c r="F86" s="67" t="n">
        <v>4995.32</v>
      </c>
      <c r="G86" s="68" t="n">
        <v>205</v>
      </c>
      <c r="H86" s="68" t="n">
        <v>4</v>
      </c>
      <c r="I86" s="68" t="n">
        <v>159</v>
      </c>
      <c r="J86" s="69" t="n">
        <v>4.4</v>
      </c>
      <c r="K86" s="69" t="inlineStr">
        <is>
          <t>https://amazon.com/dp/B0D3LBX9LR</t>
        </is>
      </c>
      <c r="L86" s="114">
        <f>HYPERLINK(Table3660[[#This Row],[Column1]])</f>
        <v/>
      </c>
    </row>
    <row r="87" ht="45" customHeight="1" s="314">
      <c r="A87" s="35" t="inlineStr">
        <is>
          <t>LAUNCH X431 PRO3 V+ Elite, 2026 J2534 Scan Tool, Online Coding, Topology Map Car Scanner, 3000+Active Test, FCA SGW Scan Tool, 60+ Reset,D-PDU/CANFD/DoIP Diagnostic Scanner, 2-Year Update</t>
        </is>
      </c>
      <c r="B87" s="35" t="inlineStr">
        <is>
          <t>B01E89UTQI</t>
        </is>
      </c>
      <c r="C87" s="35" t="inlineStr">
        <is>
          <t>Tablet</t>
        </is>
      </c>
      <c r="D87" s="359" t="n">
        <v>1233.0325</v>
      </c>
      <c r="E87" s="66" t="n">
        <v>194800.51</v>
      </c>
      <c r="F87" s="67" t="n">
        <v>4932.13</v>
      </c>
      <c r="G87" s="68" t="n">
        <v>149</v>
      </c>
      <c r="H87" s="68" t="n">
        <v>4</v>
      </c>
      <c r="I87" s="68" t="n">
        <v>119</v>
      </c>
      <c r="J87" s="69" t="n">
        <v>4.2</v>
      </c>
      <c r="K87" s="69" t="inlineStr">
        <is>
          <t>https://amazon.com/dp/B01E89UTQI</t>
        </is>
      </c>
      <c r="L87" s="114">
        <f>HYPERLINK(Table3660[[#This Row],[Column1]])</f>
        <v/>
      </c>
    </row>
    <row r="88" ht="45" customHeight="1" s="314">
      <c r="A88" s="35" t="inlineStr">
        <is>
          <t>LAUNCH X431 Creader Elite 2.0 FGC OBD2 Scanner,ECU Code, Bi-Directional Scan Tool for Ford, for GM, for Chrysler,100+ Reset, Full System Diagnose, FCA AUTOAUTH, AUTOVIN, Lifetime Free Update</t>
        </is>
      </c>
      <c r="B88" s="35" t="inlineStr">
        <is>
          <t>B0CLDJV7V9</t>
        </is>
      </c>
      <c r="C88" s="35" t="inlineStr">
        <is>
          <t>Tablet</t>
        </is>
      </c>
      <c r="D88" s="359" t="n">
        <v>254.3963157894737</v>
      </c>
      <c r="E88" s="66" t="n">
        <v>156146.05</v>
      </c>
      <c r="F88" s="67" t="n">
        <v>4833.53</v>
      </c>
      <c r="G88" s="68" t="n">
        <v>680</v>
      </c>
      <c r="H88" s="68" t="n">
        <v>19</v>
      </c>
      <c r="I88" s="68" t="n">
        <v>522</v>
      </c>
      <c r="J88" s="69" t="n">
        <v>4.1</v>
      </c>
      <c r="K88" s="69" t="inlineStr">
        <is>
          <t>https://amazon.com/dp/B0CLDJV7V9</t>
        </is>
      </c>
      <c r="L88" s="114">
        <f>HYPERLINK(Table3660[[#This Row],[Column1]])</f>
        <v/>
      </c>
    </row>
    <row r="89" ht="45" customHeight="1" s="314">
      <c r="A89" s="35" t="inlineStr">
        <is>
          <t>LAUNCH X431 CRP919EBT Bidirectional Scanner, 2026 Full System Wireless OBD2 Scan Tool,35+ Services,ECU Code,Active Test,CANFD&amp;DOIP, FCA Autoauth,V.A.G Guided,Upgraded of CRP919E</t>
        </is>
      </c>
      <c r="B89" s="35" t="inlineStr">
        <is>
          <t>B0C68BKGN3</t>
        </is>
      </c>
      <c r="C89" s="35" t="inlineStr">
        <is>
          <t>Tablet</t>
        </is>
      </c>
      <c r="D89" s="359" t="n">
        <v>523.0155555555556</v>
      </c>
      <c r="E89" s="66" t="n">
        <v>148671.19</v>
      </c>
      <c r="F89" s="67" t="n">
        <v>4707.14</v>
      </c>
      <c r="G89" s="68" t="n">
        <v>285</v>
      </c>
      <c r="H89" s="68" t="n">
        <v>9</v>
      </c>
      <c r="I89" s="68" t="n">
        <v>33</v>
      </c>
      <c r="J89" s="69" t="n">
        <v>4</v>
      </c>
      <c r="K89" s="69" t="inlineStr">
        <is>
          <t>https://amazon.com/dp/B0C68BKGN3</t>
        </is>
      </c>
      <c r="L89" s="114">
        <f>HYPERLINK(Table3660[[#This Row],[Column1]])</f>
        <v/>
      </c>
    </row>
    <row r="90" ht="45" customHeight="1" s="314">
      <c r="A90" s="35" t="inlineStr">
        <is>
          <t>LAUNCH OBD2 Scanner 2026 US Ver. CRP123X V2.0 Elite, 7 Reset Scan Tool, FCA SGW, Engine ABS SRS Transmission Code Reader, Cloud Report, Lifetime Free Wi-Fi Update Diagnostic Tool, Battery Test,AutoVIN</t>
        </is>
      </c>
      <c r="B90" s="35" t="inlineStr">
        <is>
          <t>B0D2Q1MDJ8</t>
        </is>
      </c>
      <c r="C90" s="35" t="inlineStr">
        <is>
          <t>Tablet</t>
        </is>
      </c>
      <c r="D90" s="359" t="n">
        <v>176.9046153846154</v>
      </c>
      <c r="E90" s="66" t="n">
        <v>231646.14</v>
      </c>
      <c r="F90" s="67" t="n">
        <v>4599.52</v>
      </c>
      <c r="G90" s="68" t="n">
        <v>1365</v>
      </c>
      <c r="H90" s="68" t="n">
        <v>26</v>
      </c>
      <c r="I90" s="68" t="n">
        <v>191</v>
      </c>
      <c r="J90" s="69" t="n">
        <v>4.1</v>
      </c>
      <c r="K90" s="69" t="inlineStr">
        <is>
          <t>https://amazon.com/dp/B0D2Q1MDJ8</t>
        </is>
      </c>
      <c r="L90" s="114">
        <f>HYPERLINK(Table3660[[#This Row],[Column1]])</f>
        <v/>
      </c>
    </row>
    <row r="91" ht="45" customHeight="1" s="314">
      <c r="A91" s="35" t="inlineStr">
        <is>
          <t>Launch X431 Scanner PRO5 J2534 Pr0gram ECU Coding, Topology, 60+ Services, Bi-Directional All System Scan Tool, CANFD DOIP, 200+ Brands, Guided Functions, 10+ High-end Features</t>
        </is>
      </c>
      <c r="B91" s="35" t="inlineStr">
        <is>
          <t>B0FZKV8YMN</t>
        </is>
      </c>
      <c r="C91" s="35" t="inlineStr">
        <is>
          <t>Tablet</t>
        </is>
      </c>
      <c r="D91" s="359" t="n">
        <v>1516.23</v>
      </c>
      <c r="E91" s="66" t="n">
        <v>85499.12615384614</v>
      </c>
      <c r="F91" s="67" t="n">
        <v>4548.69</v>
      </c>
      <c r="G91" s="68" t="n">
        <v>34</v>
      </c>
      <c r="H91" s="68" t="n">
        <v>3</v>
      </c>
      <c r="I91" s="68" t="n">
        <v>97</v>
      </c>
      <c r="J91" s="69" t="n">
        <v>4.6</v>
      </c>
      <c r="K91" s="69" t="inlineStr">
        <is>
          <t>https://amazon.com/dp/B0FZKV8YMN</t>
        </is>
      </c>
      <c r="L91" s="114">
        <f>HYPERLINK(Table3660[[#This Row],[Column1]])</f>
        <v/>
      </c>
    </row>
    <row r="92" ht="60" customHeight="1" s="314">
      <c r="A92" s="35" t="inlineStr">
        <is>
          <t>LAUNCH X431 Creader Elite 2.0 BBA OBD2 Car Scanner for BMW/Mercedes-Benz/VW/Audi/Maybach/Mini/RollsRoyce, Full System Bidirectional Scan Tool, ECU Coding, Full Reset Services, Lifetime Free Update</t>
        </is>
      </c>
      <c r="B92" s="35" t="inlineStr">
        <is>
          <t>B079FLTJZ1</t>
        </is>
      </c>
      <c r="C92" s="35" t="inlineStr">
        <is>
          <t>Tablet</t>
        </is>
      </c>
      <c r="D92" s="359" t="n">
        <v>248.9816666666667</v>
      </c>
      <c r="E92" s="66" t="n">
        <v>78028.81</v>
      </c>
      <c r="F92" s="67" t="n">
        <v>4481.67</v>
      </c>
      <c r="G92" s="68" t="n">
        <v>331</v>
      </c>
      <c r="H92" s="68" t="n">
        <v>18</v>
      </c>
      <c r="I92" s="68" t="n">
        <v>183</v>
      </c>
      <c r="J92" s="69" t="n">
        <v>4.1</v>
      </c>
      <c r="K92" s="69" t="inlineStr">
        <is>
          <t>https://amazon.com/dp/B079FLTJZ1</t>
        </is>
      </c>
      <c r="L92" s="114">
        <f>HYPERLINK(Table3660[[#This Row],[Column1]])</f>
        <v/>
      </c>
    </row>
    <row r="93" ht="45" customHeight="1" s="314">
      <c r="A93" s="35" t="inlineStr">
        <is>
          <t>LAUNCH X431 Creader Elite OBDII Scanner for GM Vehicles, Full-System Bi-Directional Diagnostic Tool for Buick/Chevrolet/Cadillac/GMC, All Reset Service Code Reader, Lifetime Updated</t>
        </is>
      </c>
      <c r="B93" s="35" t="inlineStr">
        <is>
          <t>B0DTH2Z6G6</t>
        </is>
      </c>
      <c r="C93" s="35" t="inlineStr">
        <is>
          <t>Handheld</t>
        </is>
      </c>
      <c r="D93" s="359" t="n">
        <v>147.9483333333333</v>
      </c>
      <c r="E93" s="66" t="n">
        <v>56881.38</v>
      </c>
      <c r="F93" s="67" t="n">
        <v>4438.45</v>
      </c>
      <c r="G93" s="68" t="n">
        <v>389</v>
      </c>
      <c r="H93" s="68" t="n">
        <v>30</v>
      </c>
      <c r="I93" s="68" t="n">
        <v>29</v>
      </c>
      <c r="J93" s="69" t="n">
        <v>3.9</v>
      </c>
      <c r="K93" s="69" t="inlineStr">
        <is>
          <t>https://amazon.com/dp/B0DTH2Z6G6</t>
        </is>
      </c>
      <c r="L93" s="114">
        <f>HYPERLINK(Table3660[[#This Row],[Column1]])</f>
        <v/>
      </c>
    </row>
    <row r="94" ht="45" customHeight="1" s="314">
      <c r="A94" s="35" t="inlineStr">
        <is>
          <t>Launch X431 CRP919 EV 2026 Bidirectional Scan Tool, for Electric Vehicles New Energy Cars, All-in-One Full System Diagnostic Scanner, 43+ Reset, ECU Coding, CANFD&amp;DOIP, FCA AutoAuth, 2Yrs Free Update</t>
        </is>
      </c>
      <c r="B94" s="35" t="inlineStr">
        <is>
          <t>B0DT9B4RX9</t>
        </is>
      </c>
      <c r="C94" s="35" t="inlineStr">
        <is>
          <t>Tablet</t>
        </is>
      </c>
      <c r="D94" s="359" t="n">
        <v>543.9</v>
      </c>
      <c r="E94" s="66" t="n">
        <v>35511.35000000001</v>
      </c>
      <c r="F94" s="67" t="n">
        <v>4351.2</v>
      </c>
      <c r="G94" s="68" t="n">
        <v>71</v>
      </c>
      <c r="H94" s="68" t="n">
        <v>8</v>
      </c>
      <c r="I94" s="68" t="n">
        <v>333</v>
      </c>
      <c r="J94" s="69" t="n">
        <v>4.3</v>
      </c>
      <c r="K94" s="69" t="inlineStr">
        <is>
          <t>https://amazon.com/dp/B0DT9B4RX9</t>
        </is>
      </c>
      <c r="L94" s="114">
        <f>HYPERLINK(Table3660[[#This Row],[Column1]])</f>
        <v/>
      </c>
    </row>
    <row r="95" ht="45" customHeight="1" s="314">
      <c r="A95" s="35" t="inlineStr">
        <is>
          <t>LAUNCH CRP129E Plus V3.0 2026 OBD2 Scanner Diagnostic Tool, Full System Car Code Reader, 12 Reset Service TPMS/Oil/SAS/EPB/BMS/DPF Reset,FCA AutoAuth, Added CANFD&amp;DOIP, Free Update</t>
        </is>
      </c>
      <c r="B95" s="35" t="inlineStr">
        <is>
          <t>B0DY7QKBK7</t>
        </is>
      </c>
      <c r="C95" s="35" t="inlineStr">
        <is>
          <t>Tablet</t>
        </is>
      </c>
      <c r="D95" s="359" t="n">
        <v>278.3286666666667</v>
      </c>
      <c r="E95" s="66" t="n">
        <v>72603.37153846154</v>
      </c>
      <c r="F95" s="67" t="n">
        <v>4174.93</v>
      </c>
      <c r="G95" s="68" t="n">
        <v>268</v>
      </c>
      <c r="H95" s="68" t="n">
        <v>15</v>
      </c>
      <c r="I95" s="68" t="n">
        <v>31</v>
      </c>
      <c r="J95" s="69" t="n">
        <v>4.5</v>
      </c>
      <c r="K95" s="69" t="inlineStr">
        <is>
          <t>https://amazon.com/dp/B0DY7QKBK7</t>
        </is>
      </c>
      <c r="L95" s="114">
        <f>HYPERLINK(Table3660[[#This Row],[Column1]])</f>
        <v/>
      </c>
    </row>
    <row r="96" ht="45" customHeight="1" s="314">
      <c r="A96" s="35" t="inlineStr">
        <is>
          <t>Launch X431 PAD Scan Tool Global Ver. (Upgraded of X431 V+, X431 PROS) 50+ Reset ECU Coding OE-Level Bi-Directional All System Diagnostic Tool, Free Update</t>
        </is>
      </c>
      <c r="B96" s="35" t="inlineStr">
        <is>
          <t>B0FSSFT28B</t>
        </is>
      </c>
      <c r="C96" s="35" t="inlineStr">
        <is>
          <t>Tablet</t>
        </is>
      </c>
      <c r="D96" s="359" t="n">
        <v>987.5075000000001</v>
      </c>
      <c r="E96" s="66" t="n">
        <v>45315.07692307694</v>
      </c>
      <c r="F96" s="67" t="n">
        <v>3950.03</v>
      </c>
      <c r="G96" s="68" t="n">
        <v>5</v>
      </c>
      <c r="H96" s="68" t="n">
        <v>4</v>
      </c>
      <c r="I96" s="68" t="n">
        <v>97</v>
      </c>
      <c r="J96" s="69" t="n">
        <v>4.6</v>
      </c>
      <c r="K96" s="69" t="inlineStr">
        <is>
          <t>https://amazon.com/dp/B0FSSFT28B</t>
        </is>
      </c>
      <c r="L96" s="114">
        <f>HYPERLINK(Table3660[[#This Row],[Column1]])</f>
        <v/>
      </c>
    </row>
    <row r="97" ht="45" customHeight="1" s="314">
      <c r="A97" s="35" t="inlineStr">
        <is>
          <t>LAUNCH X431 PRO TT 2026 Newly Bidirectional Scan Tool, Bluetooth Launch Scanner with DBSCar VII Connector, 38+ Reset for All Cars, Online ECU Code, CANFD, FCA AutoAuth, VAG Guide, 2 Yrs Free Update</t>
        </is>
      </c>
      <c r="B97" s="35" t="inlineStr">
        <is>
          <t>B07HGZZCLX</t>
        </is>
      </c>
      <c r="C97" s="35" t="inlineStr">
        <is>
          <t>Tablet</t>
        </is>
      </c>
      <c r="D97" s="359" t="n">
        <v>769.362</v>
      </c>
      <c r="E97" s="66" t="n">
        <v>28148.5</v>
      </c>
      <c r="F97" s="67" t="n">
        <v>3846.81</v>
      </c>
      <c r="G97" s="68" t="n">
        <v>34</v>
      </c>
      <c r="H97" s="68" t="n">
        <v>5</v>
      </c>
      <c r="I97" s="68" t="n">
        <v>10</v>
      </c>
      <c r="J97" s="69" t="n">
        <v>4.6</v>
      </c>
      <c r="K97" s="69" t="inlineStr">
        <is>
          <t>https://amazon.com/dp/B07HGZZCLX</t>
        </is>
      </c>
      <c r="L97" s="114">
        <f>HYPERLINK(Table3660[[#This Row],[Column1]])</f>
        <v/>
      </c>
    </row>
    <row r="98" ht="45" customHeight="1" s="314">
      <c r="A98" s="35" t="inlineStr">
        <is>
          <t>Launch X431 PROS Elite (2026 New Model) Bidirectional ECU Coding Active Tests Scan Tool, 38+ Resets Full System Obd2 Scanner Diagnostic Tool, CAN FD DoIP FCA SGW, V.A.G Guided, 2-Year Update</t>
        </is>
      </c>
      <c r="B98" s="35" t="inlineStr">
        <is>
          <t>B0F2DNK3HJ</t>
        </is>
      </c>
      <c r="C98" s="35" t="inlineStr">
        <is>
          <t>Tablet</t>
        </is>
      </c>
      <c r="D98" s="359" t="n">
        <v>637.1750000000001</v>
      </c>
      <c r="E98" s="66" t="n">
        <v>46060.46923076923</v>
      </c>
      <c r="F98" s="67" t="n">
        <v>3823.05</v>
      </c>
      <c r="G98" s="68" t="n">
        <v>68</v>
      </c>
      <c r="H98" s="68" t="n">
        <v>6</v>
      </c>
      <c r="I98" s="68" t="n">
        <v>34</v>
      </c>
      <c r="J98" s="69" t="n">
        <v>4.8</v>
      </c>
      <c r="K98" s="69" t="inlineStr">
        <is>
          <t>https://amazon.com/dp/B0F2DNK3HJ</t>
        </is>
      </c>
      <c r="L98" s="114">
        <f>HYPERLINK(Table3660[[#This Row],[Column1]])</f>
        <v/>
      </c>
    </row>
    <row r="99" ht="45" customHeight="1" s="314">
      <c r="A99" s="35" t="inlineStr">
        <is>
          <t>Launch X431 PRO Elite 2026 Bidirectional Scan Tool, 38+ Resets Full System Scanner,All-in-One Diagnostic Scanner with Active Tests,ECU Code,CANFD DOIP FCA Autoauth V.A.G Guided，2 Years Free Update</t>
        </is>
      </c>
      <c r="B99" s="35" t="inlineStr">
        <is>
          <t>B0C6GKSQ8K</t>
        </is>
      </c>
      <c r="C99" s="35" t="inlineStr">
        <is>
          <t>Tablet</t>
        </is>
      </c>
      <c r="D99" s="359" t="n">
        <v>624.3783333333333</v>
      </c>
      <c r="E99" s="66" t="n">
        <v>72922.78076923077</v>
      </c>
      <c r="F99" s="67" t="n">
        <v>3746.27</v>
      </c>
      <c r="G99" s="68" t="n">
        <v>101</v>
      </c>
      <c r="H99" s="68" t="n">
        <v>6</v>
      </c>
      <c r="I99" s="68" t="n">
        <v>9</v>
      </c>
      <c r="J99" s="69" t="n">
        <v>4</v>
      </c>
      <c r="K99" s="69" t="inlineStr">
        <is>
          <t>https://amazon.com/dp/B0C6GKSQ8K</t>
        </is>
      </c>
      <c r="L99" s="114">
        <f>HYPERLINK(Table3660[[#This Row],[Column1]])</f>
        <v/>
      </c>
    </row>
    <row r="100" ht="45" customHeight="1" s="314">
      <c r="A100" s="35" t="inlineStr">
        <is>
          <t>LAUNCH CRP123I V3.0 Elite OBD2 Scanner Diagnostic Tool with DOIP &amp; CAN FD, 2026 New Code Reader for Cars and Trucks, Engine ABS SRS Transmission Car Scanner, Oil/EPB/DPF/SAS/Throttle Relearn</t>
        </is>
      </c>
      <c r="B100" s="35" t="inlineStr">
        <is>
          <t>B07YDP2JTP</t>
        </is>
      </c>
      <c r="C100" s="35" t="inlineStr">
        <is>
          <t>Tablet</t>
        </is>
      </c>
      <c r="D100" s="359" t="n">
        <v>179.248</v>
      </c>
      <c r="E100" s="66" t="n">
        <v>470072.48</v>
      </c>
      <c r="F100" s="67" t="n">
        <v>3584.96</v>
      </c>
      <c r="G100" s="68" t="n">
        <v>2688</v>
      </c>
      <c r="H100" s="68" t="n">
        <v>20</v>
      </c>
      <c r="I100" s="68" t="n">
        <v>227</v>
      </c>
      <c r="J100" s="69" t="n">
        <v>4.3</v>
      </c>
      <c r="K100" s="69" t="inlineStr">
        <is>
          <t>https://amazon.com/dp/B07YDP2JTP</t>
        </is>
      </c>
      <c r="L100" s="114">
        <f>HYPERLINK(Table3660[[#This Row],[Column1]])</f>
        <v/>
      </c>
    </row>
    <row r="101" ht="45" customHeight="1" s="314">
      <c r="A101" s="35" t="inlineStr">
        <is>
          <t>LAUNCH Creader 3001 OBD2 Scanner, Engine Fault Code Reader Mode 6 CAN Diagnostic Scan Tool for All OBDII Protocol Cars Since 1996, Lifetime Free Update</t>
        </is>
      </c>
      <c r="B101" s="35" t="inlineStr">
        <is>
          <t>B07D1KH9SC</t>
        </is>
      </c>
      <c r="C101" s="35" t="inlineStr">
        <is>
          <t>Handheld</t>
        </is>
      </c>
      <c r="D101" s="359" t="n">
        <v>17.36197044334975</v>
      </c>
      <c r="E101" s="66" t="n">
        <v>63149.46000000001</v>
      </c>
      <c r="F101" s="67" t="n">
        <v>3524.48</v>
      </c>
      <c r="G101" s="68" t="n">
        <v>2873</v>
      </c>
      <c r="H101" s="68" t="n">
        <v>203</v>
      </c>
      <c r="I101" s="68" t="n">
        <v>5861</v>
      </c>
      <c r="J101" s="69" t="n">
        <v>4.5</v>
      </c>
      <c r="K101" s="69" t="inlineStr">
        <is>
          <t>https://amazon.com/dp/B07D1KH9SC</t>
        </is>
      </c>
      <c r="L101" s="114">
        <f>HYPERLINK(Table3660[[#This Row],[Column1]])</f>
        <v/>
      </c>
    </row>
    <row r="102" ht="45" customHeight="1" s="314">
      <c r="A102" s="35" t="inlineStr">
        <is>
          <t>LAUNCH X431 CRP919E OBD2 Scanner, 2026 Bidirectional Scan Tool As CRP919EBT, CANFD DOIP, ECU Coding, Active Test, 35+ Service, Full System, FCA Autoauth, TPMS &amp;BST360, 2-Year Update</t>
        </is>
      </c>
      <c r="B102" s="35" t="inlineStr">
        <is>
          <t>B0DKHBS9Z1</t>
        </is>
      </c>
      <c r="C102" s="35" t="inlineStr">
        <is>
          <t>Tablet</t>
        </is>
      </c>
      <c r="D102" s="359" t="n">
        <v>434.74</v>
      </c>
      <c r="E102" s="66" t="n">
        <v>136149.19</v>
      </c>
      <c r="F102" s="67" t="n">
        <v>3477.92</v>
      </c>
      <c r="G102" s="68" t="n">
        <v>316</v>
      </c>
      <c r="H102" s="68" t="n">
        <v>8</v>
      </c>
      <c r="I102" s="68" t="n">
        <v>61</v>
      </c>
      <c r="J102" s="69" t="n">
        <v>4.2</v>
      </c>
      <c r="K102" s="69" t="inlineStr">
        <is>
          <t>https://amazon.com/dp/B0DKHBS9Z1</t>
        </is>
      </c>
      <c r="L102" s="114">
        <f>HYPERLINK(Table3660[[#This Row],[Column1]])</f>
        <v/>
      </c>
    </row>
    <row r="103" ht="45" customHeight="1" s="314">
      <c r="A103" s="35" t="inlineStr">
        <is>
          <t>LAUNCH Creader Elite Bidirectional Tool Fit for Ford Lincoln Mercury Mazda, Full Systems All Resets OBD2 Scanner, PMI Function Diagnostic Scann Tool, Battery Registration, Lifetime Free Update</t>
        </is>
      </c>
      <c r="B103" s="35" t="inlineStr">
        <is>
          <t>B0CN6G9LL8</t>
        </is>
      </c>
      <c r="C103" s="35" t="inlineStr">
        <is>
          <t>Handheld</t>
        </is>
      </c>
      <c r="D103" s="359" t="n">
        <v>165.2357142857143</v>
      </c>
      <c r="E103" s="66" t="n">
        <v>36970.06076923077</v>
      </c>
      <c r="F103" s="67" t="n">
        <v>3469.95</v>
      </c>
      <c r="G103" s="68" t="n">
        <v>219</v>
      </c>
      <c r="H103" s="68" t="n">
        <v>21</v>
      </c>
      <c r="I103" s="68" t="n">
        <v>19</v>
      </c>
      <c r="J103" s="69" t="n">
        <v>4.5</v>
      </c>
      <c r="K103" s="69" t="inlineStr">
        <is>
          <t>https://amazon.com/dp/B0CN6G9LL8</t>
        </is>
      </c>
      <c r="L103" s="114">
        <f>HYPERLINK(Table3660[[#This Row],[Column1]])</f>
        <v/>
      </c>
    </row>
    <row r="104" ht="45" customHeight="1" s="314">
      <c r="A104" s="35" t="inlineStr">
        <is>
          <t>LAUNCH CRP123I V2.0 Elite OBD2 Scanner for All Cars&amp;Brands,2026 Lifetime Free Update Engine ABS SRS Transmission Car Scanner,Oil/Brake/BMS/SAS/DPF/ABS Bleeding/Throttle Adaption,FCA SGW,Battery Test</t>
        </is>
      </c>
      <c r="B104" s="35" t="inlineStr">
        <is>
          <t>B0D9VTQWST</t>
        </is>
      </c>
      <c r="C104" s="35" t="inlineStr">
        <is>
          <t>Tablet</t>
        </is>
      </c>
      <c r="D104" s="359" t="n">
        <v>181.1863157894737</v>
      </c>
      <c r="E104" s="66" t="n">
        <v>39774.7</v>
      </c>
      <c r="F104" s="67" t="n">
        <v>3442.54</v>
      </c>
      <c r="G104" s="68" t="n">
        <v>224</v>
      </c>
      <c r="H104" s="68" t="n">
        <v>19</v>
      </c>
      <c r="I104" s="68" t="n">
        <v>76</v>
      </c>
      <c r="J104" s="69" t="n">
        <v>4.3</v>
      </c>
      <c r="K104" s="69" t="inlineStr">
        <is>
          <t>https://amazon.com/dp/B0D9VTQWST</t>
        </is>
      </c>
      <c r="L104" s="114">
        <f>HYPERLINK(Table3660[[#This Row],[Column1]])</f>
        <v/>
      </c>
    </row>
    <row r="105" ht="30" customHeight="1" s="314">
      <c r="A105" s="35" t="inlineStr">
        <is>
          <t>Launch OBD2 Scanner CRP123X Elite, 2026 Lifetime Update WiFi Scan Tool, Engine at SRS Airbag Scanner, 3 Resets Diagnostic Scanner, Code Reader for All Cars, AutoVIN, FCA SGW, Voltage Monitor</t>
        </is>
      </c>
      <c r="B105" s="35" t="inlineStr">
        <is>
          <t>B08NK3DD76</t>
        </is>
      </c>
      <c r="C105" s="35" t="inlineStr">
        <is>
          <t>Tablet</t>
        </is>
      </c>
      <c r="D105" s="359" t="n">
        <v>127.0485185185185</v>
      </c>
      <c r="E105" s="66" t="n">
        <v>41118.47999999999</v>
      </c>
      <c r="F105" s="67" t="n">
        <v>3430.31</v>
      </c>
      <c r="G105" s="68" t="n">
        <v>307</v>
      </c>
      <c r="H105" s="68" t="n">
        <v>27</v>
      </c>
      <c r="I105" s="68" t="n">
        <v>186</v>
      </c>
      <c r="J105" s="69" t="n">
        <v>4.3</v>
      </c>
      <c r="K105" s="69" t="inlineStr">
        <is>
          <t>https://amazon.com/dp/B08NK3DD76</t>
        </is>
      </c>
      <c r="L105" s="114">
        <f>HYPERLINK(Table3660[[#This Row],[Column1]])</f>
        <v/>
      </c>
    </row>
    <row r="106" ht="45" customHeight="1" s="314">
      <c r="A106" s="35" t="inlineStr">
        <is>
          <t>Launch Crp123 V2.0 Obd2 Scanner, 2026 Engine/Abs/SRS/Transmission Car Diagnostic Tool with Oil Reset/Throttle Adaption/SAS Relearn, Check Engine Code Reader, Lifetime Update Scan Tool</t>
        </is>
      </c>
      <c r="B106" s="35" t="inlineStr">
        <is>
          <t>B01HNO5PLY</t>
        </is>
      </c>
      <c r="C106" s="35" t="inlineStr">
        <is>
          <t>Tablet</t>
        </is>
      </c>
      <c r="D106" s="359" t="n">
        <v>126.1359259259259</v>
      </c>
      <c r="E106" s="66" t="n">
        <v>150832.4</v>
      </c>
      <c r="F106" s="67" t="n">
        <v>3405.67</v>
      </c>
      <c r="G106" s="68" t="n">
        <v>1216</v>
      </c>
      <c r="H106" s="68" t="n">
        <v>27</v>
      </c>
      <c r="I106" s="68" t="n">
        <v>673</v>
      </c>
      <c r="J106" s="69" t="n">
        <v>4.3</v>
      </c>
      <c r="K106" s="69" t="inlineStr">
        <is>
          <t>https://amazon.com/dp/B01HNO5PLY</t>
        </is>
      </c>
      <c r="L106" s="114">
        <f>HYPERLINK(Table3660[[#This Row],[Column1]])</f>
        <v/>
      </c>
    </row>
    <row r="107" ht="45" customHeight="1" s="314">
      <c r="A107" s="35" t="inlineStr">
        <is>
          <t>Launch X431 CRP919XBT ECU Coding OBD2 Scanner, All System Bidirectional Scan Tool, 35+ Hot Services, CANFD DOIP FCA SGW, 150 Brands, Android 10, 2 Years Upgrades</t>
        </is>
      </c>
      <c r="B107" s="35" t="inlineStr">
        <is>
          <t>B0FMHV2PL7</t>
        </is>
      </c>
      <c r="C107" s="35" t="inlineStr">
        <is>
          <t>Tablet</t>
        </is>
      </c>
      <c r="D107" s="359" t="n">
        <v>567.405</v>
      </c>
      <c r="E107" s="66" t="n">
        <v>35698.96307692308</v>
      </c>
      <c r="F107" s="67" t="n">
        <v>3404.43</v>
      </c>
      <c r="G107" s="68" t="n">
        <v>44</v>
      </c>
      <c r="H107" s="68" t="n">
        <v>6</v>
      </c>
      <c r="I107" s="68" t="n">
        <v>15</v>
      </c>
      <c r="J107" s="69" t="n">
        <v>4.6</v>
      </c>
      <c r="K107" s="69" t="inlineStr">
        <is>
          <t>https://amazon.com/dp/B0FMHV2PL7</t>
        </is>
      </c>
      <c r="L107" s="114">
        <f>HYPERLINK(Table3660[[#This Row],[Column1]])</f>
        <v/>
      </c>
    </row>
    <row r="108" ht="45" customHeight="1" s="314">
      <c r="A108" s="35" t="inlineStr">
        <is>
          <t>LAUNCH X431 Creader Elite FGC OBD2 Scanner 2026, Full System Diagnostic Tool for F0rd, G.M, Chrysler, Bi-Directional Control, 100+ F.ree Resets, , AUTOVIN, ECU Coding, Lifetime F.ree Updates</t>
        </is>
      </c>
      <c r="B108" s="35" t="inlineStr">
        <is>
          <t>B0CX58T8N6</t>
        </is>
      </c>
      <c r="C108" s="35" t="inlineStr">
        <is>
          <t>Tablet</t>
        </is>
      </c>
      <c r="D108" s="359" t="n">
        <v>258.6441666666666</v>
      </c>
      <c r="E108" s="66" t="n">
        <v>29779.58</v>
      </c>
      <c r="F108" s="67" t="n">
        <v>3103.73</v>
      </c>
      <c r="G108" s="68" t="n">
        <v>121</v>
      </c>
      <c r="H108" s="68" t="n">
        <v>12</v>
      </c>
      <c r="I108" s="68" t="n">
        <v>231</v>
      </c>
      <c r="J108" s="69" t="n">
        <v>4.3</v>
      </c>
      <c r="K108" s="69" t="inlineStr">
        <is>
          <t>https://amazon.com/dp/B0CX58T8N6</t>
        </is>
      </c>
      <c r="L108" s="114">
        <f>HYPERLINK(Table3660[[#This Row],[Column1]])</f>
        <v/>
      </c>
    </row>
    <row r="109" ht="45" customHeight="1" s="314">
      <c r="A109" s="35" t="inlineStr">
        <is>
          <t>LAUNCH X431 CRP919X OBD2 Scanner,ECU Coding Bidirectional Scan Tool,31+Reset,CAN FD/DoIP,FCA Autoauth, 100+ Brands OBD2 Scanner Diagnostic Tool,All Systems Diagnostic Scanner, IMMO Car Scanner</t>
        </is>
      </c>
      <c r="B109" s="35" t="inlineStr">
        <is>
          <t>B07C9GB9VV</t>
        </is>
      </c>
      <c r="C109" s="35" t="inlineStr">
        <is>
          <t>Tablet</t>
        </is>
      </c>
      <c r="D109" s="359" t="n">
        <v>440.64</v>
      </c>
      <c r="E109" s="66" t="n">
        <v>92629.75999999999</v>
      </c>
      <c r="F109" s="67" t="n">
        <v>3084.48</v>
      </c>
      <c r="G109" s="68" t="n">
        <v>201</v>
      </c>
      <c r="H109" s="68" t="n">
        <v>7</v>
      </c>
      <c r="I109" s="68" t="n">
        <v>251</v>
      </c>
      <c r="J109" s="69" t="n">
        <v>4.2</v>
      </c>
      <c r="K109" s="69" t="inlineStr">
        <is>
          <t>https://amazon.com/dp/B07C9GB9VV</t>
        </is>
      </c>
      <c r="L109" s="114">
        <f>HYPERLINK(Table3660[[#This Row],[Column1]])</f>
        <v/>
      </c>
    </row>
    <row r="110" ht="45" customHeight="1" s="314">
      <c r="A110" s="35" t="inlineStr">
        <is>
          <t>LAUNCH Creader VII+ V2.0 OBD2 Scanner, 2026 New Engine/Transmission/ABS/SRS Diagnostic Scan Tool With Oil Reset/Throttle Adaption/SAS Relearn, Check Engine Code Reader, Full OBD2, Lifetime Free Update</t>
        </is>
      </c>
      <c r="B110" s="35" t="inlineStr">
        <is>
          <t>B00BGH0EAC</t>
        </is>
      </c>
      <c r="C110" s="35" t="inlineStr">
        <is>
          <t>Tablet</t>
        </is>
      </c>
      <c r="D110" s="359" t="n">
        <v>133.3421739130435</v>
      </c>
      <c r="E110" s="66" t="n">
        <v>61118.38000000001</v>
      </c>
      <c r="F110" s="67" t="n">
        <v>3066.87</v>
      </c>
      <c r="G110" s="68" t="n">
        <v>476</v>
      </c>
      <c r="H110" s="68" t="n">
        <v>23</v>
      </c>
      <c r="I110" s="68" t="n">
        <v>1438</v>
      </c>
      <c r="J110" s="69" t="n">
        <v>4.2</v>
      </c>
      <c r="K110" s="69" t="inlineStr">
        <is>
          <t>https://amazon.com/dp/B00BGH0EAC</t>
        </is>
      </c>
      <c r="L110" s="114">
        <f>HYPERLINK(Table3660[[#This Row],[Column1]])</f>
        <v/>
      </c>
    </row>
    <row r="111" ht="45" customHeight="1" s="314">
      <c r="A111" s="35" t="inlineStr">
        <is>
          <t>LAUNCH X431 Creader Elite 2.0 BBA fit for BMW, Benz, Audi Series, 2026 Bidirectional Scan for Cars,100+ Services, Full System OBD2 Scanner, ECU Code, Battery Registration, Lifetime Free Update</t>
        </is>
      </c>
      <c r="B111" s="35" t="inlineStr">
        <is>
          <t>B0D4HY7JPD</t>
        </is>
      </c>
      <c r="C111" s="35" t="inlineStr">
        <is>
          <t>Tablet</t>
        </is>
      </c>
      <c r="D111" s="359" t="n">
        <v>233.5269230769231</v>
      </c>
      <c r="E111" s="66" t="n">
        <v>66902.94307692308</v>
      </c>
      <c r="F111" s="67" t="n">
        <v>3035.85</v>
      </c>
      <c r="G111" s="68" t="n">
        <v>286</v>
      </c>
      <c r="H111" s="68" t="n">
        <v>13</v>
      </c>
      <c r="I111" s="68" t="n">
        <v>25</v>
      </c>
      <c r="J111" s="69" t="n">
        <v>3.7</v>
      </c>
      <c r="K111" s="69" t="inlineStr">
        <is>
          <t>https://amazon.com/dp/B0D4HY7JPD</t>
        </is>
      </c>
      <c r="L111" s="114">
        <f>HYPERLINK(Table3660[[#This Row],[Column1]])</f>
        <v/>
      </c>
    </row>
    <row r="112" ht="45" customHeight="1" s="314">
      <c r="A112" s="35" t="inlineStr">
        <is>
          <t>LAUNCH Original Main Cable for LAUNCH CRP123, CRP129, Creader VII+, Creader VIII OBD2 OBD-II Diagnostic Scanner Replacement Cable</t>
        </is>
      </c>
      <c r="B112" s="35" t="inlineStr">
        <is>
          <t>B0B7K3VFJ3</t>
        </is>
      </c>
      <c r="C112" s="35" t="inlineStr">
        <is>
          <t>Cable/Adapter</t>
        </is>
      </c>
      <c r="D112" s="359" t="n">
        <v>26.00629310344828</v>
      </c>
      <c r="E112" s="66" t="n">
        <v>34930.6</v>
      </c>
      <c r="F112" s="67" t="n">
        <v>3016.73</v>
      </c>
      <c r="G112" s="68" t="n">
        <v>1351</v>
      </c>
      <c r="H112" s="68" t="n">
        <v>116</v>
      </c>
      <c r="I112" s="68" t="n">
        <v>168</v>
      </c>
      <c r="J112" s="69" t="n">
        <v>4.6</v>
      </c>
      <c r="K112" s="69" t="inlineStr">
        <is>
          <t>https://amazon.com/dp/B0B7K3VFJ3</t>
        </is>
      </c>
      <c r="L112" s="114">
        <f>HYPERLINK(Table3660[[#This Row],[Column1]])</f>
        <v/>
      </c>
    </row>
    <row r="113" ht="45" customHeight="1" s="314">
      <c r="A113" s="35" t="inlineStr">
        <is>
          <t>LAUNCH X431 PRO3 (V+) V5.0 Scanner, 2026 Upgrade All-in-One Bidirectional Scan Tool, Topology Map, Scan HD Trucks, DBSCar VII VCI, 55+ Services&amp;Online Coding, All System,CANFD&amp;DOIP, 2-Year Free Update</t>
        </is>
      </c>
      <c r="B113" s="35" t="inlineStr">
        <is>
          <t>B00NID586M</t>
        </is>
      </c>
      <c r="C113" s="35" t="inlineStr">
        <is>
          <t>Tablet</t>
        </is>
      </c>
      <c r="D113" s="359" t="n">
        <v>1000.946666666667</v>
      </c>
      <c r="E113" s="66" t="n">
        <v>198486.97</v>
      </c>
      <c r="F113" s="67" t="n">
        <v>3002.84</v>
      </c>
      <c r="G113" s="68" t="n">
        <v>188</v>
      </c>
      <c r="H113" s="68" t="n">
        <v>3</v>
      </c>
      <c r="I113" s="68" t="n">
        <v>1401</v>
      </c>
      <c r="J113" s="69" t="n">
        <v>4.3</v>
      </c>
      <c r="K113" s="69" t="inlineStr">
        <is>
          <t>https://amazon.com/dp/B00NID586M</t>
        </is>
      </c>
      <c r="L113" s="114">
        <f>HYPERLINK(Table3660[[#This Row],[Column1]])</f>
        <v/>
      </c>
    </row>
    <row r="114" ht="45" customHeight="1" s="314">
      <c r="A114" s="35" t="inlineStr">
        <is>
          <t>LAUNCH CRP129I V2.0 2026 OBD2 Scanner, ABS/SRS/at/ENG Car Diagnostic Tool, 12 Reset Services TPMS/Oil/EPB/SAS/BMS/DPF/Throttle Reset, Injector Coding, FCA AutoAuth, Lifetime Update</t>
        </is>
      </c>
      <c r="B114" s="35" t="inlineStr">
        <is>
          <t>B07VJM5MMY</t>
        </is>
      </c>
      <c r="C114" s="35" t="inlineStr">
        <is>
          <t>Tablet</t>
        </is>
      </c>
      <c r="D114" s="359" t="n">
        <v>249.1291666666667</v>
      </c>
      <c r="E114" s="66" t="n">
        <v>54975.94</v>
      </c>
      <c r="F114" s="67" t="n">
        <v>2989.55</v>
      </c>
      <c r="G114" s="68" t="n">
        <v>234</v>
      </c>
      <c r="H114" s="68" t="n">
        <v>12</v>
      </c>
      <c r="I114" s="68" t="n">
        <v>703</v>
      </c>
      <c r="J114" s="69" t="n">
        <v>4.4</v>
      </c>
      <c r="K114" s="69" t="inlineStr">
        <is>
          <t>https://amazon.com/dp/B07VJM5MMY</t>
        </is>
      </c>
      <c r="L114" s="114">
        <f>HYPERLINK(Table3660[[#This Row],[Column1]])</f>
        <v/>
      </c>
    </row>
    <row r="115" ht="60" customHeight="1" s="314">
      <c r="A115" s="35" t="inlineStr">
        <is>
          <t>2026 Launch X431 Full System Bi-Directional Scanner for Nissan/for Infiniti/fit for GTR, OBD2 Scanner Code Reader with All Free Reset Service</t>
        </is>
      </c>
      <c r="B115" s="35" t="inlineStr">
        <is>
          <t>B0C7CC6231</t>
        </is>
      </c>
      <c r="C115" s="35" t="inlineStr">
        <is>
          <t>Handheld</t>
        </is>
      </c>
      <c r="D115" s="359" t="n">
        <v>142.0280952380952</v>
      </c>
      <c r="E115" s="66" t="n">
        <v>27582.8</v>
      </c>
      <c r="F115" s="67" t="n">
        <v>2982.59</v>
      </c>
      <c r="G115" s="68" t="n">
        <v>184</v>
      </c>
      <c r="H115" s="68" t="n">
        <v>21</v>
      </c>
      <c r="I115" s="68" t="n">
        <v>62</v>
      </c>
      <c r="J115" s="69" t="n">
        <v>3.8</v>
      </c>
      <c r="K115" s="69" t="inlineStr">
        <is>
          <t>https://amazon.com/dp/B0C7CC6231</t>
        </is>
      </c>
      <c r="L115" s="114">
        <f>HYPERLINK(Table3660[[#This Row],[Column1]])</f>
        <v/>
      </c>
    </row>
    <row r="116" ht="45" customHeight="1" s="314">
      <c r="A116" s="35" t="inlineStr">
        <is>
          <t>LAUNCH X-431 X-PROG3 Advanced Diagnostic Tool with EEPROM for X431 V/V+, PRO3S+, Pro3, Pro5, PAD III, PAD V</t>
        </is>
      </c>
      <c r="B116" s="35" t="inlineStr">
        <is>
          <t>B0F2LYYMSP</t>
        </is>
      </c>
      <c r="C116" s="35" t="inlineStr">
        <is>
          <t>Tablet</t>
        </is>
      </c>
      <c r="D116" s="359" t="n">
        <v>578.332</v>
      </c>
      <c r="E116" s="66" t="n">
        <v>23625.94307692307</v>
      </c>
      <c r="F116" s="67" t="n">
        <v>2891.66</v>
      </c>
      <c r="G116" s="68" t="n">
        <v>18</v>
      </c>
      <c r="H116" s="68" t="n">
        <v>5</v>
      </c>
      <c r="I116" s="68" t="n">
        <v>5</v>
      </c>
      <c r="J116" s="69" t="n">
        <v>3.3</v>
      </c>
      <c r="K116" s="69" t="inlineStr">
        <is>
          <t>https://amazon.com/dp/B0F2LYYMSP</t>
        </is>
      </c>
      <c r="L116" s="114">
        <f>HYPERLINK(Table3660[[#This Row],[Column1]])</f>
        <v/>
      </c>
    </row>
    <row r="117" ht="60" customHeight="1" s="314">
      <c r="A117" s="35" t="inlineStr">
        <is>
          <t>LAUNCH X431 PFP-100 Vehicle Flash Reprogramming Power Supply with Charging Mode, Programming Mode, Showroom Mode, Repair Mode and Starting Mode Car Battery Programming Flash Power</t>
        </is>
      </c>
      <c r="B117" s="35" t="inlineStr">
        <is>
          <t>B0FKTG8QJ8</t>
        </is>
      </c>
      <c r="C117" s="35" t="n"/>
      <c r="D117" s="359" t="n">
        <v>713.63</v>
      </c>
      <c r="E117" s="66" t="n">
        <v>34473.81846153846</v>
      </c>
      <c r="F117" s="67" t="n">
        <v>2854.52</v>
      </c>
      <c r="G117" s="68" t="n">
        <v>4</v>
      </c>
      <c r="H117" s="68" t="n">
        <v>4</v>
      </c>
      <c r="I117" s="68" t="n"/>
      <c r="J117" s="69" t="n"/>
      <c r="K117" s="69" t="inlineStr">
        <is>
          <t>https://amazon.com/dp/B0FKTG8QJ8</t>
        </is>
      </c>
      <c r="L117" s="114">
        <f>HYPERLINK(Table3660[[#This Row],[Column1]])</f>
        <v/>
      </c>
    </row>
    <row r="118" ht="45" customHeight="1" s="314">
      <c r="A118" s="35" t="inlineStr">
        <is>
          <t>Launch X431 Elite 2.0 Bidirectional Tool Fit for Chrysler for Dodge for Jeep, 2026 Upgrade Full System Diagnostic Code Reader, 100+ Resets, AutoVIN, FCA Autoauth, Lifetime Free Update</t>
        </is>
      </c>
      <c r="B118" s="35" t="inlineStr">
        <is>
          <t>B0D9GL67MH</t>
        </is>
      </c>
      <c r="C118" s="35" t="inlineStr">
        <is>
          <t>Tablet</t>
        </is>
      </c>
      <c r="D118" s="359" t="n">
        <v>174.599375</v>
      </c>
      <c r="E118" s="66" t="n">
        <v>43308.23</v>
      </c>
      <c r="F118" s="67" t="n">
        <v>2793.59</v>
      </c>
      <c r="G118" s="68" t="n">
        <v>245</v>
      </c>
      <c r="H118" s="68" t="n">
        <v>16</v>
      </c>
      <c r="I118" s="68" t="n">
        <v>37</v>
      </c>
      <c r="J118" s="69" t="n">
        <v>3.5</v>
      </c>
      <c r="K118" s="69" t="inlineStr">
        <is>
          <t>https://amazon.com/dp/B0D9GL67MH</t>
        </is>
      </c>
      <c r="L118" s="114">
        <f>HYPERLINK(Table3660[[#This Row],[Column1]])</f>
        <v/>
      </c>
    </row>
    <row r="119" ht="45" customHeight="1" s="314">
      <c r="A119" s="35" t="inlineStr">
        <is>
          <t>LAUNCH OBD2 Scanner CRP Touch PRO Elite 2026 New Scan Tool with 20 Resets Injector Coding SAS BMS ABS B leeding Throttle Adaptation Car Scanner, All System Diagnostic Tool Auto VIN, Lifetime Update</t>
        </is>
      </c>
      <c r="B119" s="35" t="inlineStr">
        <is>
          <t>B08DV5NR93</t>
        </is>
      </c>
      <c r="C119" s="35" t="inlineStr">
        <is>
          <t>Tablet</t>
        </is>
      </c>
      <c r="D119" s="359" t="n">
        <v>204.4430769230769</v>
      </c>
      <c r="E119" s="66" t="n">
        <v>31274.64692307692</v>
      </c>
      <c r="F119" s="67" t="n">
        <v>2657.76</v>
      </c>
      <c r="G119" s="68" t="n">
        <v>110</v>
      </c>
      <c r="H119" s="68" t="n">
        <v>13</v>
      </c>
      <c r="I119" s="68" t="n">
        <v>248</v>
      </c>
      <c r="J119" s="69" t="n">
        <v>4.1</v>
      </c>
      <c r="K119" s="69" t="inlineStr">
        <is>
          <t>https://amazon.com/dp/B08DV5NR93</t>
        </is>
      </c>
      <c r="L119" s="114">
        <f>HYPERLINK(Table3660[[#This Row],[Column1]])</f>
        <v/>
      </c>
    </row>
    <row r="120" ht="45" customHeight="1" s="314">
      <c r="A120" s="35" t="inlineStr">
        <is>
          <t>Launch Creader Elite V2.0 for BMW OBD2 Scanner, 2025 Full Systems Bi-Directional Scan Tool, All Reset Services, ECU Code, Battery Registration Tool for BMW Mini RR, Lifetime Free Update, Auto VIN</t>
        </is>
      </c>
      <c r="B120" s="35" t="inlineStr">
        <is>
          <t>B0CMCYXFW4</t>
        </is>
      </c>
      <c r="C120" s="35" t="inlineStr">
        <is>
          <t>Tablet</t>
        </is>
      </c>
      <c r="D120" s="359" t="n">
        <v>162.02875</v>
      </c>
      <c r="E120" s="66" t="n">
        <v>35654.3</v>
      </c>
      <c r="F120" s="67" t="n">
        <v>2592.46</v>
      </c>
      <c r="G120" s="68" t="n">
        <v>190</v>
      </c>
      <c r="H120" s="68" t="n">
        <v>16</v>
      </c>
      <c r="I120" s="68" t="n">
        <v>15</v>
      </c>
      <c r="J120" s="69" t="n">
        <v>4.1</v>
      </c>
      <c r="K120" s="69" t="inlineStr">
        <is>
          <t>https://amazon.com/dp/B0CMCYXFW4</t>
        </is>
      </c>
      <c r="L120" s="114">
        <f>HYPERLINK(Table3660[[#This Row],[Column1]])</f>
        <v/>
      </c>
    </row>
    <row r="121" ht="45" customHeight="1" s="314">
      <c r="A121" s="35" t="inlineStr">
        <is>
          <t>Launch CRP129 HD Heavy Duty Truck Scanner, Car Diagnostic Scanner for Commercial Vehicles, Full Sysem Diagnostic Tool, 7+ Services, Power Balance Test, Full OBD2/HD OBD/EOBD, 51+ Brands</t>
        </is>
      </c>
      <c r="B121" s="35" t="inlineStr">
        <is>
          <t>B0DCZ4VCPQ</t>
        </is>
      </c>
      <c r="C121" s="35" t="inlineStr">
        <is>
          <t>Tablet</t>
        </is>
      </c>
      <c r="D121" s="359" t="n">
        <v>512.4880000000001</v>
      </c>
      <c r="E121" s="66" t="n">
        <v>21328.13692307693</v>
      </c>
      <c r="F121" s="67" t="n">
        <v>2562.44</v>
      </c>
      <c r="G121" s="68" t="n">
        <v>22</v>
      </c>
      <c r="H121" s="68" t="n">
        <v>5</v>
      </c>
      <c r="I121" s="68" t="n">
        <v>2</v>
      </c>
      <c r="J121" s="69" t="n">
        <v>4.5</v>
      </c>
      <c r="K121" s="69" t="inlineStr">
        <is>
          <t>https://amazon.com/dp/B0DCZ4VCPQ</t>
        </is>
      </c>
      <c r="L121" s="114">
        <f>HYPERLINK(Table3660[[#This Row],[Column1]])</f>
        <v/>
      </c>
    </row>
    <row r="122" ht="30" customHeight="1" s="314">
      <c r="A122" s="35" t="inlineStr">
        <is>
          <t>LAUNCH X431 Creader Elite 2.0 Ford OBD2 Scanner, 2026 Bi-Directional Scan Tool for Ford/Lincoln/Mercury/Mazda, Full System,All Resets,ECU Code,AUTO VIN,Lifetime Update</t>
        </is>
      </c>
      <c r="B122" s="35" t="inlineStr">
        <is>
          <t>B0D5HQMNTV</t>
        </is>
      </c>
      <c r="C122" s="35" t="inlineStr">
        <is>
          <t>Tablet</t>
        </is>
      </c>
      <c r="D122" s="359" t="n">
        <v>169.538</v>
      </c>
      <c r="E122" s="66" t="n">
        <v>45006.13923076924</v>
      </c>
      <c r="F122" s="67" t="n">
        <v>2543.07</v>
      </c>
      <c r="G122" s="68" t="n">
        <v>242</v>
      </c>
      <c r="H122" s="68" t="n">
        <v>15</v>
      </c>
      <c r="I122" s="68" t="n">
        <v>31</v>
      </c>
      <c r="J122" s="69" t="n">
        <v>3.6</v>
      </c>
      <c r="K122" s="69" t="inlineStr">
        <is>
          <t>https://amazon.com/dp/B0D5HQMNTV</t>
        </is>
      </c>
      <c r="L122" s="114">
        <f>HYPERLINK(Table3660[[#This Row],[Column1]])</f>
        <v/>
      </c>
    </row>
    <row r="123" ht="30" customHeight="1" s="314">
      <c r="A123" s="35" t="inlineStr">
        <is>
          <t>Launch X431 SmartLink Heavy-Duty Diagnostic Module, Compatible with X431 PRO3S+,V+,PAD3,PAD7 for 24V HD Trucks &amp; Commercial Vehicles, Support CANFD&amp;DOIP</t>
        </is>
      </c>
      <c r="B123" s="35" t="inlineStr">
        <is>
          <t>B09W5CVX9K</t>
        </is>
      </c>
      <c r="C123" s="35" t="inlineStr">
        <is>
          <t>Handheld</t>
        </is>
      </c>
      <c r="D123" s="359" t="n">
        <v>844.9899999999999</v>
      </c>
      <c r="E123" s="66" t="n">
        <v>30973.89999999999</v>
      </c>
      <c r="F123" s="67" t="n">
        <v>2534.97</v>
      </c>
      <c r="G123" s="68" t="n">
        <v>36</v>
      </c>
      <c r="H123" s="68" t="n">
        <v>3</v>
      </c>
      <c r="I123" s="68" t="n">
        <v>9</v>
      </c>
      <c r="J123" s="69" t="n">
        <v>4.4</v>
      </c>
      <c r="K123" s="69" t="inlineStr">
        <is>
          <t>https://amazon.com/dp/B09W5CVX9K</t>
        </is>
      </c>
      <c r="L123" s="114">
        <f>HYPERLINK(Table3660[[#This Row],[Column1]])</f>
        <v/>
      </c>
    </row>
    <row r="124" ht="45" customHeight="1" s="314">
      <c r="A124" s="35" t="inlineStr">
        <is>
          <t>LAUNCH Heavy Duty Truck Software for X431 PRO3S+Elite, PRO5, PRO3 V+ Elite, Get Free Adapter Set, Heavy Duty Truck Diesel Diagnostic, Work with X431 ProS+ Series for 24V HD Trucks&amp;Commercial Vehicles</t>
        </is>
      </c>
      <c r="B124" s="35" t="inlineStr">
        <is>
          <t>B0FBW56K4M</t>
        </is>
      </c>
      <c r="C124" s="35" t="inlineStr">
        <is>
          <t>VCI</t>
        </is>
      </c>
      <c r="D124" s="359" t="n">
        <v>840.54</v>
      </c>
      <c r="E124" s="66" t="n">
        <v>26673.41384615385</v>
      </c>
      <c r="F124" s="67" t="n">
        <v>2521.62</v>
      </c>
      <c r="G124" s="68" t="n">
        <v>10</v>
      </c>
      <c r="H124" s="68" t="n">
        <v>3</v>
      </c>
      <c r="I124" s="68" t="n"/>
      <c r="J124" s="69" t="n"/>
      <c r="K124" s="69" t="inlineStr">
        <is>
          <t>https://amazon.com/dp/B0FBW56K4M</t>
        </is>
      </c>
      <c r="L124" s="114">
        <f>HYPERLINK(Table3660[[#This Row],[Column1]])</f>
        <v/>
      </c>
    </row>
    <row r="125" ht="45" customHeight="1" s="314">
      <c r="A125" s="35" t="inlineStr">
        <is>
          <t>LAUNCH Remote Key Frequency Tester 315/433/868/902MHz Infrared Signal Detection, Key Fob Signal Tester</t>
        </is>
      </c>
      <c r="B125" s="35" t="inlineStr">
        <is>
          <t>B0CX8181JG</t>
        </is>
      </c>
      <c r="C125" s="35" t="inlineStr">
        <is>
          <t>Key</t>
        </is>
      </c>
      <c r="D125" s="359" t="n">
        <v>39.83285714285714</v>
      </c>
      <c r="E125" s="66" t="n">
        <v>33352.59</v>
      </c>
      <c r="F125" s="67" t="n">
        <v>2509.47</v>
      </c>
      <c r="G125" s="68" t="n">
        <v>837</v>
      </c>
      <c r="H125" s="68" t="n">
        <v>63</v>
      </c>
      <c r="I125" s="68" t="n">
        <v>97</v>
      </c>
      <c r="J125" s="69" t="n">
        <v>4.5</v>
      </c>
      <c r="K125" s="69" t="inlineStr">
        <is>
          <t>https://amazon.com/dp/B0CX8181JG</t>
        </is>
      </c>
      <c r="L125" s="114">
        <f>HYPERLINK(Table3660[[#This Row],[Column1]])</f>
        <v/>
      </c>
    </row>
    <row r="126" ht="45" customHeight="1" s="314">
      <c r="A126" s="35" t="inlineStr">
        <is>
          <t>LAUNCH CRP129E 2026 OBD2 Scanner, 8 Reset Oil/EPB/TPMS/SAS/BMS/Throttle/DPF Reset, Injector Coding, ABS SRS Transmission Engine Code Reader, Lifetime Free Update Diagnostic Scan Tool, Auto VIN</t>
        </is>
      </c>
      <c r="B126" s="35" t="inlineStr">
        <is>
          <t>B07QR48Z38</t>
        </is>
      </c>
      <c r="C126" s="35" t="inlineStr">
        <is>
          <t>Tablet</t>
        </is>
      </c>
      <c r="D126" s="359" t="n">
        <v>174.1921428571429</v>
      </c>
      <c r="E126" s="66" t="n">
        <v>27388.79846153846</v>
      </c>
      <c r="F126" s="67" t="n">
        <v>2438.69</v>
      </c>
      <c r="G126" s="68" t="n">
        <v>136</v>
      </c>
      <c r="H126" s="68" t="n">
        <v>14</v>
      </c>
      <c r="I126" s="68" t="n">
        <v>547</v>
      </c>
      <c r="J126" s="69" t="n">
        <v>4.4</v>
      </c>
      <c r="K126" s="69" t="inlineStr">
        <is>
          <t>https://amazon.com/dp/B07QR48Z38</t>
        </is>
      </c>
      <c r="L126" s="114">
        <f>HYPERLINK(Table3660[[#This Row],[Column1]])</f>
        <v/>
      </c>
    </row>
    <row r="127" ht="45" customHeight="1" s="314">
      <c r="A127" s="35" t="inlineStr">
        <is>
          <t>Launch OBD2 Scanner CRP123X Plus V2.0, 2026 All System Scan Tool Lifetime Free Update with SAS/Throttle/Oil Reset for All Cars,Auto VIN OBD2, FCA SGW, Battery Test Scanner Code Reader</t>
        </is>
      </c>
      <c r="B127" s="35" t="inlineStr">
        <is>
          <t>B0CN8Q1H4S</t>
        </is>
      </c>
      <c r="C127" s="35" t="inlineStr">
        <is>
          <t>Tablet</t>
        </is>
      </c>
      <c r="D127" s="359" t="n">
        <v>238.309</v>
      </c>
      <c r="E127" s="66" t="n">
        <v>36275.46000000001</v>
      </c>
      <c r="F127" s="67" t="n">
        <v>2383.09</v>
      </c>
      <c r="G127" s="68" t="n">
        <v>145</v>
      </c>
      <c r="H127" s="68" t="n">
        <v>10</v>
      </c>
      <c r="I127" s="68" t="n">
        <v>97</v>
      </c>
      <c r="J127" s="69" t="n">
        <v>4.6</v>
      </c>
      <c r="K127" s="69" t="inlineStr">
        <is>
          <t>https://amazon.com/dp/B0CN8Q1H4S</t>
        </is>
      </c>
      <c r="L127" s="114">
        <f>HYPERLINK(Table3660[[#This Row],[Column1]])</f>
        <v/>
      </c>
    </row>
    <row r="128" ht="45" customHeight="1" s="314">
      <c r="A128" s="35" t="inlineStr">
        <is>
          <t>LAUNCH X431 CRP919E OBD2 Scanner, 2026 Bidirectional Scan Tool As CRP919EBT, ECU Code, 35+ Services, Active Test, All System Diagnose, CANFD &amp; DOIP, FCA SGW, Android 10.0, 160+ Brands, 2 Year Update</t>
        </is>
      </c>
      <c r="B128" s="35" t="inlineStr">
        <is>
          <t>B0FN7NJWZV</t>
        </is>
      </c>
      <c r="C128" s="35" t="inlineStr">
        <is>
          <t>Tablet</t>
        </is>
      </c>
      <c r="D128" s="359" t="n">
        <v>460.872</v>
      </c>
      <c r="E128" s="66" t="n">
        <v>46432.08923076923</v>
      </c>
      <c r="F128" s="67" t="n">
        <v>2304.36</v>
      </c>
      <c r="G128" s="68" t="n">
        <v>74</v>
      </c>
      <c r="H128" s="68" t="n">
        <v>5</v>
      </c>
      <c r="I128" s="68" t="n">
        <v>60</v>
      </c>
      <c r="J128" s="69" t="n">
        <v>4.5</v>
      </c>
      <c r="K128" s="69" t="inlineStr">
        <is>
          <t>https://amazon.com/dp/B0FN7NJWZV</t>
        </is>
      </c>
      <c r="L128" s="114">
        <f>HYPERLINK(Table3660[[#This Row],[Column1]])</f>
        <v/>
      </c>
    </row>
    <row r="129" ht="45" customHeight="1" s="314">
      <c r="A129" s="35" t="inlineStr">
        <is>
          <t>LAUNCH X431 CRP919 EV Bidirectional Diagnostic Tool, 2026 New Full System OBD2 Scanner for Electric Vehicles, 43 Reset, ECU Coding, CANFD DOIP, FCA AutoAuth, 2 Years Free Update</t>
        </is>
      </c>
      <c r="B129" s="35" t="inlineStr">
        <is>
          <t>B0FX26XKPS</t>
        </is>
      </c>
      <c r="C129" s="35" t="inlineStr">
        <is>
          <t>Tablet</t>
        </is>
      </c>
      <c r="D129" s="359" t="n">
        <v>460.188</v>
      </c>
      <c r="E129" s="66" t="n">
        <v>24305.14153846154</v>
      </c>
      <c r="F129" s="67" t="n">
        <v>2300.94</v>
      </c>
      <c r="G129" s="68" t="n">
        <v>11</v>
      </c>
      <c r="H129" s="68" t="n">
        <v>5</v>
      </c>
      <c r="I129" s="68" t="n"/>
      <c r="J129" s="69" t="n"/>
      <c r="K129" s="69" t="inlineStr">
        <is>
          <t>https://amazon.com/dp/B0FX26XKPS</t>
        </is>
      </c>
      <c r="L129" s="114">
        <f>HYPERLINK(Table3660[[#This Row],[Column1]])</f>
        <v/>
      </c>
    </row>
    <row r="130" ht="45" customHeight="1" s="314">
      <c r="A130" s="35" t="inlineStr">
        <is>
          <t>LAUNCH Creader Elite for Land Rover Jaguar OBD2 Scanner, Full System Diagnostic Tool, Bi-Directional Scan Tool, All Reset Services, Active Tests, Height Calibration, Auto VIN, Lifetime Free Update</t>
        </is>
      </c>
      <c r="B130" s="35" t="inlineStr">
        <is>
          <t>B0F4QRXPRC</t>
        </is>
      </c>
      <c r="C130" s="35" t="inlineStr">
        <is>
          <t>Tablet</t>
        </is>
      </c>
      <c r="D130" s="359" t="n">
        <v>127.7005555555556</v>
      </c>
      <c r="E130" s="66" t="n">
        <v>36359.72769230769</v>
      </c>
      <c r="F130" s="67" t="n">
        <v>2298.61</v>
      </c>
      <c r="G130" s="68" t="n">
        <v>204</v>
      </c>
      <c r="H130" s="68" t="n">
        <v>18</v>
      </c>
      <c r="I130" s="68" t="n">
        <v>17</v>
      </c>
      <c r="J130" s="69" t="n">
        <v>3.6</v>
      </c>
      <c r="K130" s="69" t="inlineStr">
        <is>
          <t>https://amazon.com/dp/B0F4QRXPRC</t>
        </is>
      </c>
      <c r="L130" s="114">
        <f>HYPERLINK(Table3660[[#This Row],[Column1]])</f>
        <v/>
      </c>
    </row>
    <row r="131" ht="60" customHeight="1" s="314">
      <c r="A131" s="35" t="inlineStr">
        <is>
          <t>LAUNCH Original USB Charging Cable Replacement X-431 CRP123i, CRP123e, CRP123x, CRP129i, CRP129e, CRP129x, CRP909E, CRP909X OBD2 Scanner 5V DC</t>
        </is>
      </c>
      <c r="B131" s="35" t="inlineStr">
        <is>
          <t>B0CSFNYXJJ</t>
        </is>
      </c>
      <c r="C131" s="35" t="inlineStr">
        <is>
          <t>Cable/Adapter</t>
        </is>
      </c>
      <c r="D131" s="359" t="n">
        <v>11.97830687830688</v>
      </c>
      <c r="E131" s="66" t="n">
        <v>27655.12</v>
      </c>
      <c r="F131" s="67" t="n">
        <v>2263.9</v>
      </c>
      <c r="G131" s="68" t="n">
        <v>2365</v>
      </c>
      <c r="H131" s="68" t="n">
        <v>189</v>
      </c>
      <c r="I131" s="68" t="n">
        <v>148</v>
      </c>
      <c r="J131" s="69" t="n">
        <v>4.7</v>
      </c>
      <c r="K131" s="69" t="inlineStr">
        <is>
          <t>https://amazon.com/dp/B0CSFNYXJJ</t>
        </is>
      </c>
      <c r="L131" s="114">
        <f>HYPERLINK(Table3660[[#This Row],[Column1]])</f>
        <v/>
      </c>
    </row>
    <row r="132" ht="45" customHeight="1" s="314">
      <c r="A132" s="35" t="inlineStr">
        <is>
          <t>LAUNCH CRP129 HD Heavy Duty Truck Diagnostic Scanner Creader Elite, Oil Reset. DPF Regen. Injector Coding, Full System Code Reader Machinery Diesel Vehicle Vessel Scan Tool</t>
        </is>
      </c>
      <c r="B132" s="35" t="inlineStr">
        <is>
          <t>B0CXJKLRPC</t>
        </is>
      </c>
      <c r="C132" s="35" t="inlineStr">
        <is>
          <t>Tablet</t>
        </is>
      </c>
      <c r="D132" s="359" t="n">
        <v>446.0600000000001</v>
      </c>
      <c r="E132" s="66" t="n">
        <v>12487.57</v>
      </c>
      <c r="F132" s="67" t="n">
        <v>2230.3</v>
      </c>
      <c r="G132" s="68" t="n">
        <v>27</v>
      </c>
      <c r="H132" s="68" t="n">
        <v>5</v>
      </c>
      <c r="I132" s="68" t="n">
        <v>6</v>
      </c>
      <c r="J132" s="69" t="n">
        <v>3.9</v>
      </c>
      <c r="K132" s="69" t="inlineStr">
        <is>
          <t>https://amazon.com/dp/B0CXJKLRPC</t>
        </is>
      </c>
      <c r="L132" s="114">
        <f>HYPERLINK(Table3660[[#This Row],[Column1]])</f>
        <v/>
      </c>
    </row>
    <row r="133" ht="30" customHeight="1" s="314">
      <c r="A133" s="35" t="inlineStr">
        <is>
          <t>LAUNCH OBD2 Scanner CRP919X Lite: 2026 Bidirectional Scan Tool, Active Tests, 32+ Services, All System Diagnose, Injector Coding, 2-Year Free Update, FCA AutoAuth, AutoVIN &amp; AutoScan,Update of CRP909X</t>
        </is>
      </c>
      <c r="B133" s="35" t="inlineStr">
        <is>
          <t>B07QLV9X98</t>
        </is>
      </c>
      <c r="C133" s="35" t="inlineStr">
        <is>
          <t>Tablet</t>
        </is>
      </c>
      <c r="D133" s="359" t="n">
        <v>370.3933333333334</v>
      </c>
      <c r="E133" s="66" t="n">
        <v>67698.32000000001</v>
      </c>
      <c r="F133" s="67" t="n">
        <v>2222.36</v>
      </c>
      <c r="G133" s="68" t="n">
        <v>185</v>
      </c>
      <c r="H133" s="68" t="n">
        <v>6</v>
      </c>
      <c r="I133" s="68" t="n">
        <v>57</v>
      </c>
      <c r="J133" s="69" t="n">
        <v>4.6</v>
      </c>
      <c r="K133" s="69" t="inlineStr">
        <is>
          <t>https://amazon.com/dp/B07QLV9X98</t>
        </is>
      </c>
      <c r="L133" s="114">
        <f>HYPERLINK(Table3660[[#This Row],[Column1]])</f>
        <v/>
      </c>
    </row>
    <row r="134" ht="45" customHeight="1" s="314">
      <c r="A134" s="35" t="inlineStr">
        <is>
          <t>LAUNCH X431 CRP919E Lite OBD2 Scanner,2026 New Bidirectional Scan Tool, Full System Diagnostic Scanner,32+ Service,FCA AutoAuth,2 Year Update</t>
        </is>
      </c>
      <c r="B134" s="35" t="inlineStr">
        <is>
          <t>B0D5M8WX1Z</t>
        </is>
      </c>
      <c r="C134" s="35" t="inlineStr">
        <is>
          <t>Tablet</t>
        </is>
      </c>
      <c r="D134" s="359" t="n">
        <v>360.3733333333333</v>
      </c>
      <c r="E134" s="66" t="n">
        <v>51714.32</v>
      </c>
      <c r="F134" s="67" t="n">
        <v>2162.24</v>
      </c>
      <c r="G134" s="68" t="n">
        <v>143</v>
      </c>
      <c r="H134" s="68" t="n">
        <v>6</v>
      </c>
      <c r="I134" s="68" t="n">
        <v>36</v>
      </c>
      <c r="J134" s="69" t="n">
        <v>4.1</v>
      </c>
      <c r="K134" s="69" t="inlineStr">
        <is>
          <t>https://amazon.com/dp/B0D5M8WX1Z</t>
        </is>
      </c>
      <c r="L134" s="114">
        <f>HYPERLINK(Table3660[[#This Row],[Column1]])</f>
        <v/>
      </c>
    </row>
    <row r="135" ht="45" customHeight="1" s="314">
      <c r="A135" s="35" t="inlineStr">
        <is>
          <t>LAUNCH X431 CRP919E OBD2 Scanner, Bidirectional Scan Tool as X431, ECU Code, CAN FD &amp; DoIP, 35+ Reset, Active Test, All-in-One Full System Diagnostic Scanner, FCA Autoauth, 160+ Brands, 2 Yrs Update</t>
        </is>
      </c>
      <c r="B135" s="35" t="inlineStr">
        <is>
          <t>B0B4MJ5NK6</t>
        </is>
      </c>
      <c r="C135" s="35" t="inlineStr">
        <is>
          <t>Tablet</t>
        </is>
      </c>
      <c r="D135" s="359" t="n">
        <v>425.448</v>
      </c>
      <c r="E135" s="66" t="n">
        <v>36793.75461538461</v>
      </c>
      <c r="F135" s="67" t="n">
        <v>2127.24</v>
      </c>
      <c r="G135" s="68" t="n">
        <v>67</v>
      </c>
      <c r="H135" s="68" t="n">
        <v>5</v>
      </c>
      <c r="I135" s="68" t="n">
        <v>60</v>
      </c>
      <c r="J135" s="69" t="n">
        <v>4.5</v>
      </c>
      <c r="K135" s="69" t="inlineStr">
        <is>
          <t>https://amazon.com/dp/B0B4MJ5NK6</t>
        </is>
      </c>
      <c r="L135" s="114">
        <f>HYPERLINK(Table3660[[#This Row],[Column1]])</f>
        <v/>
      </c>
    </row>
    <row r="136" ht="45" customHeight="1" s="314">
      <c r="A136" s="35" t="inlineStr">
        <is>
          <t>LAUNCH Creader Elite for Land Rover Jaguar OBD2 Scanner, 2026 Full System Bi-Directional Diagnostic Scan Tool, All Reset Services, Active Tests, Height Calibration, Auto VIN, Lifetime Free Update</t>
        </is>
      </c>
      <c r="B136" s="35" t="inlineStr">
        <is>
          <t>B0DKHJLTHG</t>
        </is>
      </c>
      <c r="C136" s="35" t="inlineStr">
        <is>
          <t>Handheld</t>
        </is>
      </c>
      <c r="D136" s="359" t="n">
        <v>162.8669230769231</v>
      </c>
      <c r="E136" s="66" t="n">
        <v>59580.82000000001</v>
      </c>
      <c r="F136" s="67" t="n">
        <v>2117.27</v>
      </c>
      <c r="G136" s="68" t="n">
        <v>370</v>
      </c>
      <c r="H136" s="68" t="n">
        <v>13</v>
      </c>
      <c r="I136" s="68" t="n">
        <v>19</v>
      </c>
      <c r="J136" s="69" t="n">
        <v>3.7</v>
      </c>
      <c r="K136" s="69" t="inlineStr">
        <is>
          <t>https://amazon.com/dp/B0DKHJLTHG</t>
        </is>
      </c>
      <c r="L136" s="114">
        <f>HYPERLINK(Table3660[[#This Row],[Column1]])</f>
        <v/>
      </c>
    </row>
    <row r="137" ht="45" customHeight="1" s="314">
      <c r="A137" s="35" t="inlineStr">
        <is>
          <t>LAUNCH CR629 OBD2 Scanner ABS SRS Scan Tool with Active Test, 3 Service Oil/SAS/BMS Reset Tool, Full OBD2 Functions Car Code Scanner, Lifetime Free Update (More Powerful Than LAUNCH CR529, CRP123X)</t>
        </is>
      </c>
      <c r="B137" s="35" t="inlineStr">
        <is>
          <t>B089M629LG</t>
        </is>
      </c>
      <c r="C137" s="35" t="inlineStr">
        <is>
          <t>Handheld</t>
        </is>
      </c>
      <c r="D137" s="359" t="n">
        <v>95.77136363636365</v>
      </c>
      <c r="E137" s="66" t="n">
        <v>28881.95</v>
      </c>
      <c r="F137" s="67" t="n">
        <v>2106.97</v>
      </c>
      <c r="G137" s="68" t="n">
        <v>314</v>
      </c>
      <c r="H137" s="68" t="n">
        <v>22</v>
      </c>
      <c r="I137" s="68" t="n">
        <v>471</v>
      </c>
      <c r="J137" s="69" t="n">
        <v>4.1</v>
      </c>
      <c r="K137" s="69" t="inlineStr">
        <is>
          <t>https://amazon.com/dp/B089M629LG</t>
        </is>
      </c>
      <c r="L137" s="114">
        <f>HYPERLINK(Table3660[[#This Row],[Column1]])</f>
        <v/>
      </c>
    </row>
    <row r="138" ht="45" customHeight="1" s="314">
      <c r="A138" s="35" t="inlineStr">
        <is>
          <t>Launch CR629 OBD2 Scanner Code Reader 2026 New Scan Tool with Reset Oil/BMS Service+Live Data, Professional Mechanic Full OBDII Diagnostic Tool for Read/Clear DTCs Lifetime Free Update</t>
        </is>
      </c>
      <c r="B138" s="35" t="inlineStr">
        <is>
          <t>B089KD1L9Q</t>
        </is>
      </c>
      <c r="C138" s="35" t="inlineStr">
        <is>
          <t>Handheld</t>
        </is>
      </c>
      <c r="D138" s="359" t="n">
        <v>95.01095238095238</v>
      </c>
      <c r="E138" s="66" t="n">
        <v>18277.45153846154</v>
      </c>
      <c r="F138" s="67" t="n">
        <v>1995.23</v>
      </c>
      <c r="G138" s="68" t="n">
        <v>164</v>
      </c>
      <c r="H138" s="68" t="n">
        <v>21</v>
      </c>
      <c r="I138" s="68" t="n">
        <v>334</v>
      </c>
      <c r="J138" s="69" t="n">
        <v>4.4</v>
      </c>
      <c r="K138" s="69" t="inlineStr">
        <is>
          <t>https://amazon.com/dp/B089KD1L9Q</t>
        </is>
      </c>
      <c r="L138" s="114">
        <f>HYPERLINK(Table3660[[#This Row],[Column1]])</f>
        <v/>
      </c>
    </row>
    <row r="139" ht="45" customHeight="1" s="314">
      <c r="A139" s="35" t="inlineStr">
        <is>
          <t>LAUNCH CRP PRO Heavy Duty Truck Diagnostic Scanner, Bi-Directional Full System Scan Tool for Semi Trucks &amp; Diesel Engines, ECU Coding, 40+ Reset Services, Compatible with Cummins Caterpillar and More</t>
        </is>
      </c>
      <c r="B139" s="35" t="inlineStr">
        <is>
          <t>B0G4VPXV9V</t>
        </is>
      </c>
      <c r="C139" s="35" t="inlineStr">
        <is>
          <t>Tablet</t>
        </is>
      </c>
      <c r="D139" s="359" t="n">
        <v>481.2025</v>
      </c>
      <c r="E139" s="66" t="n">
        <v>21090.26692307692</v>
      </c>
      <c r="F139" s="67" t="n">
        <v>1924.81</v>
      </c>
      <c r="G139" s="68" t="n">
        <v>6</v>
      </c>
      <c r="H139" s="68" t="n">
        <v>4</v>
      </c>
      <c r="I139" s="68" t="n"/>
      <c r="J139" s="69" t="n"/>
      <c r="K139" s="69" t="inlineStr">
        <is>
          <t>https://amazon.com/dp/B0G4VPXV9V</t>
        </is>
      </c>
      <c r="L139" s="114">
        <f>HYPERLINK(Table3660[[#This Row],[Column1]])</f>
        <v/>
      </c>
    </row>
    <row r="140" ht="30" customHeight="1" s="314">
      <c r="A140" s="35" t="inlineStr">
        <is>
          <t>Launch X431 PADIII Scan Tool Global Ver. (Upgraded of X431 V+, X431 PROS) 50+ Reset OE-Level Bi-Directional All System Diagnostic Tool, Free Update</t>
        </is>
      </c>
      <c r="B140" s="35" t="inlineStr">
        <is>
          <t>B0G2Q4PXNC</t>
        </is>
      </c>
      <c r="C140" s="35" t="inlineStr">
        <is>
          <t>Tablet</t>
        </is>
      </c>
      <c r="D140" s="359" t="n">
        <v>921.135</v>
      </c>
      <c r="E140" s="66" t="n">
        <v>20314.52538461538</v>
      </c>
      <c r="F140" s="67" t="n">
        <v>1842.27</v>
      </c>
      <c r="G140" s="68" t="n">
        <v>8</v>
      </c>
      <c r="H140" s="68" t="n">
        <v>2</v>
      </c>
      <c r="I140" s="68" t="n">
        <v>736</v>
      </c>
      <c r="J140" s="69" t="n">
        <v>4.2</v>
      </c>
      <c r="K140" s="69" t="inlineStr">
        <is>
          <t>https://amazon.com/dp/B0G2Q4PXNC</t>
        </is>
      </c>
      <c r="L140" s="114">
        <f>HYPERLINK(Table3660[[#This Row],[Column1]])</f>
        <v/>
      </c>
    </row>
    <row r="141" ht="45" customHeight="1" s="314">
      <c r="A141" s="35" t="inlineStr">
        <is>
          <t>Launch X431 1MM* Elite with X-PROG3 pr0grammér, K** Pr0gramming Tool, ECU Cl**é, Reading P1*N (All L0st), All System Diagnostic Scan Tool, 39 Services, Bidirectional Scan Tool, FCA AutoAuth, CAN-FD</t>
        </is>
      </c>
      <c r="B141" s="35" t="inlineStr">
        <is>
          <t>B0FCSJKBQ8</t>
        </is>
      </c>
      <c r="C141" s="35" t="inlineStr">
        <is>
          <t>Tablet</t>
        </is>
      </c>
      <c r="D141" s="359" t="n">
        <v>916.855</v>
      </c>
      <c r="E141" s="66" t="n">
        <v>31550.01692307692</v>
      </c>
      <c r="F141" s="67" t="n">
        <v>1833.71</v>
      </c>
      <c r="G141" s="68" t="n">
        <v>19</v>
      </c>
      <c r="H141" s="68" t="n">
        <v>2</v>
      </c>
      <c r="I141" s="68" t="n">
        <v>3</v>
      </c>
      <c r="J141" s="69" t="n">
        <v>5</v>
      </c>
      <c r="K141" s="69" t="inlineStr">
        <is>
          <t>https://amazon.com/dp/B0FCSJKBQ8</t>
        </is>
      </c>
      <c r="L141" s="114">
        <f>HYPERLINK(Table3660[[#This Row],[Column1]])</f>
        <v/>
      </c>
    </row>
    <row r="142" ht="45" customHeight="1" s="314">
      <c r="A142" s="35" t="inlineStr">
        <is>
          <t>LAUNCH Creader Elite V3.0 for Land Rover Jaguar OBD2 Scanner, 2026 Bi-Directional Full Systems Diagnostic Scan Tool, CAN-FD &amp; DOIP, All Services, Active Test, Height Calibration, Lifetime Free Update</t>
        </is>
      </c>
      <c r="B142" s="35" t="inlineStr">
        <is>
          <t>B0DKHMPYVP</t>
        </is>
      </c>
      <c r="C142" s="35" t="inlineStr">
        <is>
          <t>Tablet</t>
        </is>
      </c>
      <c r="D142" s="359" t="n">
        <v>203.4644444444444</v>
      </c>
      <c r="E142" s="66" t="n">
        <v>52606.60999999999</v>
      </c>
      <c r="F142" s="67" t="n">
        <v>1831.18</v>
      </c>
      <c r="G142" s="68" t="n">
        <v>288</v>
      </c>
      <c r="H142" s="68" t="n">
        <v>9</v>
      </c>
      <c r="I142" s="68" t="n">
        <v>35</v>
      </c>
      <c r="J142" s="69" t="n">
        <v>3.7</v>
      </c>
      <c r="K142" s="69" t="inlineStr">
        <is>
          <t>https://amazon.com/dp/B0DKHMPYVP</t>
        </is>
      </c>
      <c r="L142" s="114">
        <f>HYPERLINK(Table3660[[#This Row],[Column1]])</f>
        <v/>
      </c>
    </row>
    <row r="143" ht="45" customHeight="1" s="314">
      <c r="A143" s="35" t="inlineStr">
        <is>
          <t>LAUNCH Creader Elite OBD2 Scanner Fit for Chrysler Dodge Jeep Ram,Full Systems Code Reader with All Resets,Active Test,Battery Matching Bi-Directional Diagnostic Scan Tool</t>
        </is>
      </c>
      <c r="B143" s="35" t="inlineStr">
        <is>
          <t>B0F99K6WZV</t>
        </is>
      </c>
      <c r="C143" s="35" t="inlineStr">
        <is>
          <t>Tablet</t>
        </is>
      </c>
      <c r="D143" s="359" t="n">
        <v>130.4642857142857</v>
      </c>
      <c r="E143" s="66" t="n">
        <v>16931.84</v>
      </c>
      <c r="F143" s="67" t="n">
        <v>1826.5</v>
      </c>
      <c r="G143" s="68" t="n">
        <v>87</v>
      </c>
      <c r="H143" s="68" t="n">
        <v>14</v>
      </c>
      <c r="I143" s="68" t="n">
        <v>4</v>
      </c>
      <c r="J143" s="69" t="n">
        <v>3.7</v>
      </c>
      <c r="K143" s="69" t="inlineStr">
        <is>
          <t>https://amazon.com/dp/B0F99K6WZV</t>
        </is>
      </c>
      <c r="L143" s="114">
        <f>HYPERLINK(Table3660[[#This Row],[Column1]])</f>
        <v/>
      </c>
    </row>
    <row r="144" ht="45" customHeight="1" s="314">
      <c r="A144" s="35" t="inlineStr">
        <is>
          <t>Launch CRP129X Plus 2026 OBD2 Scanner Diagnostic Tool, All System Car Scanner, 8 Reset Injector Coding/Throttle/SAS/Oil/EPB/BMS/TPMS Reset Diagnostic Scanner for All Cars, Free Update Scan Tool</t>
        </is>
      </c>
      <c r="B144" s="35" t="inlineStr">
        <is>
          <t>B0CNSLR1VL</t>
        </is>
      </c>
      <c r="C144" s="35" t="inlineStr">
        <is>
          <t>Tablet</t>
        </is>
      </c>
      <c r="D144" s="359" t="n">
        <v>303.7483333333333</v>
      </c>
      <c r="E144" s="66" t="n">
        <v>72933.33846153846</v>
      </c>
      <c r="F144" s="67" t="n">
        <v>1822.49</v>
      </c>
      <c r="G144" s="68" t="n">
        <v>266</v>
      </c>
      <c r="H144" s="68" t="n">
        <v>6</v>
      </c>
      <c r="I144" s="68" t="n">
        <v>116</v>
      </c>
      <c r="J144" s="69" t="n">
        <v>4.3</v>
      </c>
      <c r="K144" s="69" t="inlineStr">
        <is>
          <t>https://amazon.com/dp/B0CNSLR1VL</t>
        </is>
      </c>
      <c r="L144" s="114">
        <f>HYPERLINK(Table3660[[#This Row],[Column1]])</f>
        <v/>
      </c>
    </row>
    <row r="145" ht="45" customHeight="1" s="314">
      <c r="A145" s="35" t="inlineStr">
        <is>
          <t>LAUNCH AIOBD Bluetooth OBD2 Scanner Connector, High-Speed Universal OBD2 Scanner Connector for 95% Cars, Bi-Directional &amp; Advanced Diagnostics with Creader Series/CRP/X-431 Diagnostic Tools.</t>
        </is>
      </c>
      <c r="B145" s="35" t="inlineStr">
        <is>
          <t>B0G49V5TKG</t>
        </is>
      </c>
      <c r="C145" s="35" t="inlineStr">
        <is>
          <t>Handheld</t>
        </is>
      </c>
      <c r="D145" s="359" t="n">
        <v>80.44863636363635</v>
      </c>
      <c r="E145" s="66" t="n">
        <v>21629.45538461538</v>
      </c>
      <c r="F145" s="67" t="n">
        <v>1769.87</v>
      </c>
      <c r="G145" s="68" t="n">
        <v>86</v>
      </c>
      <c r="H145" s="68" t="n">
        <v>22</v>
      </c>
      <c r="I145" s="68" t="n"/>
      <c r="J145" s="69" t="n"/>
      <c r="K145" s="69" t="inlineStr">
        <is>
          <t>https://amazon.com/dp/B0G49V5TKG</t>
        </is>
      </c>
      <c r="L145" s="114">
        <f>HYPERLINK(Table3660[[#This Row],[Column1]])</f>
        <v/>
      </c>
    </row>
    <row r="146" ht="45" customHeight="1" s="314">
      <c r="A146" s="35" t="inlineStr">
        <is>
          <t>LAUNCH X431 Elite with X-PROG3, 2026 Professional Diagnostic Scanner with X-PROG3 and DBScar VII VCI, CANFD &amp; DOIP, 38 Services, Bidirectional Control, All System Basic Diagnose, 2 Yrs Update</t>
        </is>
      </c>
      <c r="B146" s="35" t="inlineStr">
        <is>
          <t>B0DCBHDYB6</t>
        </is>
      </c>
      <c r="C146" s="35" t="inlineStr">
        <is>
          <t>Tablet</t>
        </is>
      </c>
      <c r="D146" s="359" t="n">
        <v>1712.9</v>
      </c>
      <c r="E146" s="66" t="n">
        <v>12963.2</v>
      </c>
      <c r="F146" s="67" t="n">
        <v>1712.9</v>
      </c>
      <c r="G146" s="68" t="n">
        <v>10</v>
      </c>
      <c r="H146" s="68" t="n">
        <v>1</v>
      </c>
      <c r="I146" s="68" t="n">
        <v>3</v>
      </c>
      <c r="J146" s="69" t="n">
        <v>1</v>
      </c>
      <c r="K146" s="69" t="inlineStr">
        <is>
          <t>https://amazon.com/dp/B0DCBHDYB6</t>
        </is>
      </c>
      <c r="L146" s="114">
        <f>HYPERLINK(Table3660[[#This Row],[Column1]])</f>
        <v/>
      </c>
    </row>
    <row r="147" ht="45" customHeight="1" s="314">
      <c r="A147" s="35" t="inlineStr">
        <is>
          <t>LAUNCH X431 Creader VII+ V2.0 Car Code Reader 2026,Full EOBD OBD2 Scanner Testing Engine/Transmission/ABS/Airbag System, 3 Reset Oil Service/Throttle Relearn/SAS Reset, Lifetime Free Update</t>
        </is>
      </c>
      <c r="B147" s="35" t="inlineStr">
        <is>
          <t>B00EN7JOQC</t>
        </is>
      </c>
      <c r="C147" s="35" t="inlineStr">
        <is>
          <t>Tablet</t>
        </is>
      </c>
      <c r="D147" s="359" t="n">
        <v>128.4215384615385</v>
      </c>
      <c r="E147" s="66" t="n">
        <v>24653.72846153846</v>
      </c>
      <c r="F147" s="67" t="n">
        <v>1669.48</v>
      </c>
      <c r="G147" s="68" t="n">
        <v>175</v>
      </c>
      <c r="H147" s="68" t="n">
        <v>13</v>
      </c>
      <c r="I147" s="68" t="n">
        <v>721</v>
      </c>
      <c r="J147" s="69" t="n">
        <v>4</v>
      </c>
      <c r="K147" s="69" t="inlineStr">
        <is>
          <t>https://amazon.com/dp/B00EN7JOQC</t>
        </is>
      </c>
      <c r="L147" s="114">
        <f>HYPERLINK(Table3660[[#This Row],[Column1]])</f>
        <v/>
      </c>
    </row>
    <row r="148" ht="45" customHeight="1" s="314">
      <c r="A148" s="35" t="inlineStr">
        <is>
          <t>LAUNCH CRP 129MT 2-in-1 Motorcycle Diagnostic Tool OBD2 Scanner, Full System Diagnostics with ECU Reset, Car OBD-II Support, Compatible with Harley/Indian/Victory/Ducati/KTM/Honda/Kawasaki and More</t>
        </is>
      </c>
      <c r="B148" s="35" t="inlineStr">
        <is>
          <t>B0FWCHXD6F</t>
        </is>
      </c>
      <c r="C148" s="35" t="inlineStr">
        <is>
          <t>Tablet</t>
        </is>
      </c>
      <c r="D148" s="359" t="n">
        <v>548.91</v>
      </c>
      <c r="E148" s="66" t="n">
        <v>21003.24307692308</v>
      </c>
      <c r="F148" s="67" t="n">
        <v>1646.73</v>
      </c>
      <c r="G148" s="68" t="n">
        <v>9</v>
      </c>
      <c r="H148" s="68" t="n">
        <v>3</v>
      </c>
      <c r="I148" s="68" t="n"/>
      <c r="J148" s="69" t="n"/>
      <c r="K148" s="69" t="inlineStr">
        <is>
          <t>https://amazon.com/dp/B0FWCHXD6F</t>
        </is>
      </c>
      <c r="L148" s="114">
        <f>HYPERLINK(Table3660[[#This Row],[Column1]])</f>
        <v/>
      </c>
    </row>
    <row r="149" ht="45" customHeight="1" s="314">
      <c r="A149" s="35" t="inlineStr">
        <is>
          <t>Launch OBD2 Scanner CR319 Check Engine Code Reader with Full OBD2 Functions</t>
        </is>
      </c>
      <c r="B149" s="35" t="inlineStr">
        <is>
          <t>B07QLTYKDW</t>
        </is>
      </c>
      <c r="C149" s="35" t="inlineStr">
        <is>
          <t>Handheld</t>
        </is>
      </c>
      <c r="D149" s="359" t="n">
        <v>27.17949152542373</v>
      </c>
      <c r="E149" s="66" t="n">
        <v>21283.1</v>
      </c>
      <c r="F149" s="67" t="n">
        <v>1603.59</v>
      </c>
      <c r="G149" s="68" t="n">
        <v>822</v>
      </c>
      <c r="H149" s="68" t="n">
        <v>59</v>
      </c>
      <c r="I149" s="68" t="n">
        <v>3846</v>
      </c>
      <c r="J149" s="69" t="n">
        <v>4.5</v>
      </c>
      <c r="K149" s="69" t="inlineStr">
        <is>
          <t>https://amazon.com/dp/B07QLTYKDW</t>
        </is>
      </c>
      <c r="L149" s="114">
        <f>HYPERLINK(Table3660[[#This Row],[Column1]])</f>
        <v/>
      </c>
    </row>
    <row r="150" ht="30" customHeight="1" s="314">
      <c r="A150" s="35" t="inlineStr">
        <is>
          <t>LAUNCH Creader 3001 OBD2 Scanner-2025 Upgrade Ver. Engine Fault Code Reader,Support O2 Sensor,Lifetime Free Update,Scanner for All OBDII Protocol Cars Since 1996</t>
        </is>
      </c>
      <c r="B150" s="35" t="inlineStr">
        <is>
          <t>B07CH4D68Q</t>
        </is>
      </c>
      <c r="C150" s="35" t="inlineStr">
        <is>
          <t>Handheld</t>
        </is>
      </c>
      <c r="D150" s="359" t="n">
        <v>17.49011363636364</v>
      </c>
      <c r="E150" s="66" t="n">
        <v>27965.43</v>
      </c>
      <c r="F150" s="67" t="n">
        <v>1539.13</v>
      </c>
      <c r="G150" s="68" t="n">
        <v>1506</v>
      </c>
      <c r="H150" s="68" t="n">
        <v>88</v>
      </c>
      <c r="I150" s="68" t="n">
        <v>1258</v>
      </c>
      <c r="J150" s="69" t="n">
        <v>4.4</v>
      </c>
      <c r="K150" s="69" t="inlineStr">
        <is>
          <t>https://amazon.com/dp/B07CH4D68Q</t>
        </is>
      </c>
      <c r="L150" s="114">
        <f>HYPERLINK(Table3660[[#This Row],[Column1]])</f>
        <v/>
      </c>
    </row>
    <row r="151" ht="45" customHeight="1" s="314">
      <c r="A151" s="35" t="inlineStr">
        <is>
          <t>LAUNCH OBD2 Scanner CRP123I V2.0, 2026 Lifetime Update Scan Tool,Muilti System with 7 Resets Oil/SAS Calibration/Brake/BMS/D.P.F/ABS Bleeding/Throttle Reset, Auto Vin, Battery Test,FCA SGW</t>
        </is>
      </c>
      <c r="B151" s="35" t="inlineStr">
        <is>
          <t>B088ZN6QJH</t>
        </is>
      </c>
      <c r="C151" s="35" t="inlineStr">
        <is>
          <t>Tablet</t>
        </is>
      </c>
      <c r="D151" s="359" t="n">
        <v>170.0033333333333</v>
      </c>
      <c r="E151" s="66" t="n">
        <v>42147.66</v>
      </c>
      <c r="F151" s="67" t="n">
        <v>1530.03</v>
      </c>
      <c r="G151" s="68" t="n">
        <v>249</v>
      </c>
      <c r="H151" s="68" t="n">
        <v>9</v>
      </c>
      <c r="I151" s="68" t="n">
        <v>552</v>
      </c>
      <c r="J151" s="69" t="n">
        <v>4.4</v>
      </c>
      <c r="K151" s="69" t="inlineStr">
        <is>
          <t>https://amazon.com/dp/B088ZN6QJH</t>
        </is>
      </c>
      <c r="L151" s="114">
        <f>HYPERLINK(Table3660[[#This Row],[Column1]])</f>
        <v/>
      </c>
    </row>
    <row r="152" ht="45" customHeight="1" s="314">
      <c r="A152" s="35" t="inlineStr">
        <is>
          <t>LAUNCH CRP129MT Pro Motorcycle Scanner,Fully Functional Bidirectional Scanner with Multi Resets,38+ Brands,Motorcycle scan Tool Fits for Harley, Honda, Yamaha, Indian,Suzuki,Polaris,Victory,BMW &amp; More</t>
        </is>
      </c>
      <c r="B152" s="35" t="inlineStr">
        <is>
          <t>B0FYDTN3QS</t>
        </is>
      </c>
      <c r="C152" s="35" t="inlineStr">
        <is>
          <t>Tablet</t>
        </is>
      </c>
      <c r="D152" s="359" t="n">
        <v>497.46</v>
      </c>
      <c r="E152" s="66" t="n">
        <v>19556.6923076923</v>
      </c>
      <c r="F152" s="67" t="n">
        <v>1492.38</v>
      </c>
      <c r="G152" s="68" t="n">
        <v>16</v>
      </c>
      <c r="H152" s="68" t="n">
        <v>3</v>
      </c>
      <c r="I152" s="68" t="n">
        <v>2</v>
      </c>
      <c r="J152" s="69" t="n">
        <v>3.3</v>
      </c>
      <c r="K152" s="69" t="inlineStr">
        <is>
          <t>https://amazon.com/dp/B0FYDTN3QS</t>
        </is>
      </c>
      <c r="L152" s="114">
        <f>HYPERLINK(Table3660[[#This Row],[Column1]])</f>
        <v/>
      </c>
    </row>
    <row r="153" ht="45" customHeight="1" s="314">
      <c r="A153" s="35" t="inlineStr">
        <is>
          <t>LAUNCH X431 Sensor Simulator and Tester 2 Channels Digital S2-2 Sensorbox</t>
        </is>
      </c>
      <c r="B153" s="35" t="inlineStr">
        <is>
          <t>B0CJQY7SYQ</t>
        </is>
      </c>
      <c r="C153" s="35" t="inlineStr">
        <is>
          <t>VCI</t>
        </is>
      </c>
      <c r="D153" s="359" t="n">
        <v>468.76</v>
      </c>
      <c r="E153" s="66" t="n">
        <v>10147.76461538461</v>
      </c>
      <c r="F153" s="67" t="n">
        <v>1406.28</v>
      </c>
      <c r="G153" s="68" t="n">
        <v>17</v>
      </c>
      <c r="H153" s="68" t="n">
        <v>3</v>
      </c>
      <c r="I153" s="68" t="n">
        <v>1</v>
      </c>
      <c r="J153" s="69" t="n">
        <v>5</v>
      </c>
      <c r="K153" s="69" t="inlineStr">
        <is>
          <t>https://amazon.com/dp/B0CJQY7SYQ</t>
        </is>
      </c>
      <c r="L153" s="114">
        <f>HYPERLINK(Table3660[[#This Row],[Column1]])</f>
        <v/>
      </c>
    </row>
    <row r="154" ht="45" customHeight="1" s="314">
      <c r="A154" s="35" t="inlineStr">
        <is>
          <t>LAUNCH Creader HD V2 Heavy Duty Truck Diagnostic Scanner 2-in-1 HDOBD OBD-II EOBD Code Reader for Freightliner, for Paccar, for International, for Volvo, for Cummins, for Caterpillar HD OBD Scan Tool</t>
        </is>
      </c>
      <c r="B154" s="35" t="inlineStr">
        <is>
          <t>B0GFFBM7CV</t>
        </is>
      </c>
      <c r="C154" s="35" t="inlineStr">
        <is>
          <t>Tablet</t>
        </is>
      </c>
      <c r="D154" s="359" t="n">
        <v>123.4472727272727</v>
      </c>
      <c r="E154" s="66" t="n">
        <v>16690.18615384615</v>
      </c>
      <c r="F154" s="67" t="n">
        <v>1357.92</v>
      </c>
      <c r="G154" s="68" t="n">
        <v>34</v>
      </c>
      <c r="H154" s="68" t="n">
        <v>11</v>
      </c>
      <c r="I154" s="68" t="n">
        <v>25</v>
      </c>
      <c r="J154" s="69" t="n">
        <v>4.5</v>
      </c>
      <c r="K154" s="69" t="inlineStr">
        <is>
          <t>https://amazon.com/dp/B0GFFBM7CV</t>
        </is>
      </c>
      <c r="L154" s="114">
        <f>HYPERLINK(Table3660[[#This Row],[Column1]])</f>
        <v/>
      </c>
    </row>
    <row r="155" ht="45" customHeight="1" s="314">
      <c r="A155" s="35" t="inlineStr">
        <is>
          <t>LAUNCH X431 Elite 2.0 PRO fit for Nissan Bi-Directional Scanner, 2025 Upgrade Configure All Reset Full System Diagnose, AUTOVIN, Full OBD2 Functions for Nissan/for Inifitini/for GTR</t>
        </is>
      </c>
      <c r="B155" s="35" t="inlineStr">
        <is>
          <t>B0D9GLVQDW</t>
        </is>
      </c>
      <c r="C155" s="35" t="inlineStr">
        <is>
          <t>Tablet</t>
        </is>
      </c>
      <c r="D155" s="359" t="n">
        <v>266.654</v>
      </c>
      <c r="E155" s="66" t="n">
        <v>58627.84153846154</v>
      </c>
      <c r="F155" s="67" t="n">
        <v>1333.27</v>
      </c>
      <c r="G155" s="68" t="n">
        <v>322</v>
      </c>
      <c r="H155" s="68" t="n">
        <v>5</v>
      </c>
      <c r="I155" s="68" t="n">
        <v>42</v>
      </c>
      <c r="J155" s="69" t="n">
        <v>3.8</v>
      </c>
      <c r="K155" s="69" t="inlineStr">
        <is>
          <t>https://amazon.com/dp/B0D9GLVQDW</t>
        </is>
      </c>
      <c r="L155" s="114">
        <f>HYPERLINK(Table3660[[#This Row],[Column1]])</f>
        <v/>
      </c>
    </row>
    <row r="156" ht="60" customHeight="1" s="314">
      <c r="A156" s="35" t="inlineStr">
        <is>
          <t>LAUNCH Creader VII+ V2.0 OBD2 Scanner Diagnostic Scan Tool, 2026 New Automotive Check ABS SRS Transmission and Engine Code Reader, 3 Reset Oil Service/Throttle Relearn/SAS Reset, Free Update</t>
        </is>
      </c>
      <c r="B156" s="35" t="inlineStr">
        <is>
          <t>B00DZFHQN6</t>
        </is>
      </c>
      <c r="C156" s="35" t="inlineStr">
        <is>
          <t>Tablet</t>
        </is>
      </c>
      <c r="D156" s="359" t="n">
        <v>128.668</v>
      </c>
      <c r="E156" s="66" t="n">
        <v>14099.44</v>
      </c>
      <c r="F156" s="67" t="n">
        <v>1286.68</v>
      </c>
      <c r="G156" s="68" t="n">
        <v>109</v>
      </c>
      <c r="H156" s="68" t="n">
        <v>10</v>
      </c>
      <c r="I156" s="68" t="n">
        <v>200</v>
      </c>
      <c r="J156" s="69" t="n">
        <v>4.2</v>
      </c>
      <c r="K156" s="69" t="inlineStr">
        <is>
          <t>https://amazon.com/dp/B00DZFHQN6</t>
        </is>
      </c>
      <c r="L156" s="114">
        <f>HYPERLINK(Table3660[[#This Row],[Column1]])</f>
        <v/>
      </c>
    </row>
    <row r="157" ht="45" customHeight="1" s="314">
      <c r="A157" s="35" t="inlineStr">
        <is>
          <t>LAUNCH Millennium Master 2.0 OBD2 Scanner, Check Engine/ABS/SRS/Transmission Diagnostic Scan Tool with 13 Service Functions, Support Battery Health/Start/Charging Test, Auto VIN (Use in the US &amp; CAN)</t>
        </is>
      </c>
      <c r="B157" s="35" t="inlineStr">
        <is>
          <t>B0CTMSQV1F</t>
        </is>
      </c>
      <c r="C157" s="35" t="inlineStr">
        <is>
          <t>Tablet</t>
        </is>
      </c>
      <c r="D157" s="359" t="n">
        <v>255.51</v>
      </c>
      <c r="E157" s="66" t="n">
        <v>12333.04</v>
      </c>
      <c r="F157" s="67" t="n">
        <v>1277.55</v>
      </c>
      <c r="G157" s="68" t="n">
        <v>45</v>
      </c>
      <c r="H157" s="68" t="n">
        <v>5</v>
      </c>
      <c r="I157" s="68" t="n">
        <v>4</v>
      </c>
      <c r="J157" s="69" t="n">
        <v>4.6</v>
      </c>
      <c r="K157" s="69" t="inlineStr">
        <is>
          <t>https://amazon.com/dp/B0CTMSQV1F</t>
        </is>
      </c>
      <c r="L157" s="114">
        <f>HYPERLINK(Table3660[[#This Row],[Column1]])</f>
        <v/>
      </c>
    </row>
    <row r="158" ht="45" customHeight="1" s="314">
      <c r="A158" s="35" t="inlineStr">
        <is>
          <t>LAUNCH Non-16 Pin Adapter Kit OE-Compliant Connectors Compatible for All LAUNCH X-431 Diagnostic Tool [X-431 V/V+, X-431 PRO S+/3S+/5/MINI, X-431 PAD III/V/VII]</t>
        </is>
      </c>
      <c r="B158" s="35" t="inlineStr">
        <is>
          <t>B0CBTJJ8W7</t>
        </is>
      </c>
      <c r="C158" s="35" t="inlineStr">
        <is>
          <t>Cable/Adapter</t>
        </is>
      </c>
      <c r="D158" s="359" t="n">
        <v>125.308</v>
      </c>
      <c r="E158" s="66" t="n">
        <v>9278.76</v>
      </c>
      <c r="F158" s="67" t="n">
        <v>1253.08</v>
      </c>
      <c r="G158" s="68" t="n">
        <v>72</v>
      </c>
      <c r="H158" s="68" t="n">
        <v>10</v>
      </c>
      <c r="I158" s="68" t="n">
        <v>6</v>
      </c>
      <c r="J158" s="69" t="n">
        <v>4.6</v>
      </c>
      <c r="K158" s="69" t="inlineStr">
        <is>
          <t>https://amazon.com/dp/B0CBTJJ8W7</t>
        </is>
      </c>
      <c r="L158" s="114">
        <f>HYPERLINK(Table3660[[#This Row],[Column1]])</f>
        <v/>
      </c>
    </row>
    <row r="159" ht="45" customHeight="1" s="314">
      <c r="A159" s="35" t="inlineStr">
        <is>
          <t>LAUNCH OBD2 Extension Cable Full 16Pin Male to Female OBDII Extend Cable for Car OBD Diagnostic Extender Cord Connector Reinforced Nylon Material (36CM/1.2FT)</t>
        </is>
      </c>
      <c r="B159" s="35" t="inlineStr">
        <is>
          <t>B09TKZ5RF4</t>
        </is>
      </c>
      <c r="C159" s="35" t="inlineStr">
        <is>
          <t>Cable/Adapter</t>
        </is>
      </c>
      <c r="D159" s="359" t="n">
        <v>12.01233333333333</v>
      </c>
      <c r="E159" s="66" t="n">
        <v>12585.31</v>
      </c>
      <c r="F159" s="67" t="n">
        <v>1081.11</v>
      </c>
      <c r="G159" s="68" t="n">
        <v>1050</v>
      </c>
      <c r="H159" s="68" t="n">
        <v>90</v>
      </c>
      <c r="I159" s="68" t="n">
        <v>190</v>
      </c>
      <c r="J159" s="69" t="n">
        <v>4.6</v>
      </c>
      <c r="K159" s="69" t="inlineStr">
        <is>
          <t>https://amazon.com/dp/B09TKZ5RF4</t>
        </is>
      </c>
      <c r="L159" s="114">
        <f>HYPERLINK(Table3660[[#This Row],[Column1]])</f>
        <v/>
      </c>
    </row>
    <row r="160" ht="45" customHeight="1" s="314">
      <c r="A160" s="35" t="inlineStr">
        <is>
          <t>LAUNCH Millennium HD ProA Heavy Duty Truck Scanner All System Diesel Diagnostic Scan Tool with 8 Service Functions, for Freightliner Peterbilt Kenworth Western Star Mack (Use in the US &amp; CAN)</t>
        </is>
      </c>
      <c r="B160" s="35" t="inlineStr">
        <is>
          <t>B08QGK7QJW</t>
        </is>
      </c>
      <c r="C160" s="35" t="inlineStr">
        <is>
          <t>Tablet</t>
        </is>
      </c>
      <c r="D160" s="359" t="n">
        <v>539.455</v>
      </c>
      <c r="E160" s="66" t="n">
        <v>19639.11</v>
      </c>
      <c r="F160" s="67" t="n">
        <v>1078.91</v>
      </c>
      <c r="G160" s="68" t="n">
        <v>41</v>
      </c>
      <c r="H160" s="68" t="n">
        <v>2</v>
      </c>
      <c r="I160" s="68" t="n">
        <v>3</v>
      </c>
      <c r="J160" s="69" t="n">
        <v>3.5</v>
      </c>
      <c r="K160" s="69" t="inlineStr">
        <is>
          <t>https://amazon.com/dp/B08QGK7QJW</t>
        </is>
      </c>
      <c r="L160" s="114">
        <f>HYPERLINK(Table3660[[#This Row],[Column1]])</f>
        <v/>
      </c>
    </row>
    <row r="161" ht="30" customHeight="1" s="314">
      <c r="A161" s="35" t="inlineStr">
        <is>
          <t>LAUNCH CRE Elite HD-is Heavy Duty Semi Truck Scanner, DPF Regen for Isuzu, Bidirectional Full System Diesel Diagnostic Scan Tool</t>
        </is>
      </c>
      <c r="B161" s="35" t="inlineStr">
        <is>
          <t>B0F1Y369PY</t>
        </is>
      </c>
      <c r="C161" s="35" t="inlineStr">
        <is>
          <t>Tablet</t>
        </is>
      </c>
      <c r="D161" s="359" t="n">
        <v>527.95</v>
      </c>
      <c r="E161" s="66" t="n">
        <v>16883.29769230769</v>
      </c>
      <c r="F161" s="67" t="n">
        <v>1055.9</v>
      </c>
      <c r="G161" s="68" t="n">
        <v>30</v>
      </c>
      <c r="H161" s="68" t="n">
        <v>2</v>
      </c>
      <c r="I161" s="68" t="n">
        <v>2</v>
      </c>
      <c r="J161" s="69" t="n">
        <v>5</v>
      </c>
      <c r="K161" s="69" t="inlineStr">
        <is>
          <t>https://amazon.com/dp/B0F1Y369PY</t>
        </is>
      </c>
      <c r="L161" s="114">
        <f>HYPERLINK(Table3660[[#This Row],[Column1]])</f>
        <v/>
      </c>
    </row>
    <row r="162" ht="60" customHeight="1" s="314">
      <c r="A162" s="35" t="inlineStr">
        <is>
          <t>LAUNCH Creader 300 OBD2 Scanner,Engine Fault Code Reader,Support Read Data Stream,Scanner for All OBDII Protocol Cars Since 1996, 2026 Upgraded Ver. of CR3001</t>
        </is>
      </c>
      <c r="B162" s="35" t="inlineStr">
        <is>
          <t>B0DSVH6KQ2</t>
        </is>
      </c>
      <c r="C162" s="35" t="inlineStr">
        <is>
          <t>Handheld</t>
        </is>
      </c>
      <c r="D162" s="359" t="n">
        <v>23.71909090909091</v>
      </c>
      <c r="E162" s="66" t="n">
        <v>10650.72</v>
      </c>
      <c r="F162" s="67" t="n">
        <v>1043.64</v>
      </c>
      <c r="G162" s="68" t="n">
        <v>546</v>
      </c>
      <c r="H162" s="68" t="n">
        <v>44</v>
      </c>
      <c r="I162" s="68" t="n">
        <v>70</v>
      </c>
      <c r="J162" s="69" t="n">
        <v>4.4</v>
      </c>
      <c r="K162" s="69" t="inlineStr">
        <is>
          <t>https://amazon.com/dp/B0DSVH6KQ2</t>
        </is>
      </c>
      <c r="L162" s="114">
        <f>HYPERLINK(Table3660[[#This Row],[Column1]])</f>
        <v/>
      </c>
    </row>
    <row r="163" ht="45" customHeight="1" s="314">
      <c r="A163" s="35" t="inlineStr">
        <is>
          <t>Launch Scanner CRP129i V3.0(Upgrade of CRP123I), Professional OBD2 Scanner Diagnostic Tool with ABS and SRS, ENG, Transmission, FCA AutoAuth Code Reader for Cars and Trucks,Oil,DPF,TPMS Car Scan Tool</t>
        </is>
      </c>
      <c r="B163" s="35" t="inlineStr">
        <is>
          <t>B0FPXR69TK</t>
        </is>
      </c>
      <c r="C163" s="35" t="inlineStr">
        <is>
          <t>Tablet</t>
        </is>
      </c>
      <c r="D163" s="359" t="n">
        <v>259.535</v>
      </c>
      <c r="E163" s="66" t="n">
        <v>9209.521538461539</v>
      </c>
      <c r="F163" s="67" t="n">
        <v>1038.14</v>
      </c>
      <c r="G163" s="68" t="n">
        <v>10</v>
      </c>
      <c r="H163" s="68" t="n">
        <v>4</v>
      </c>
      <c r="I163" s="68" t="n">
        <v>1</v>
      </c>
      <c r="J163" s="69" t="n">
        <v>5</v>
      </c>
      <c r="K163" s="69" t="inlineStr">
        <is>
          <t>https://amazon.com/dp/B0FPXR69TK</t>
        </is>
      </c>
      <c r="L163" s="114">
        <f>HYPERLINK(Table3660[[#This Row],[Column1]])</f>
        <v/>
      </c>
    </row>
    <row r="164" ht="45" customHeight="1" s="314">
      <c r="A164" s="35" t="inlineStr">
        <is>
          <t>LAUNCH X431 Pro V5.0 2026 New Generation Automotive Diagnostic Scanner Tool, OEM Bluetooth Bidirectional OBD2 Scan Tool with CANFD &amp; DOIP, 38+ Special Functions for All Cars</t>
        </is>
      </c>
      <c r="B164" s="35" t="inlineStr">
        <is>
          <t>B0FG2CNXWD</t>
        </is>
      </c>
      <c r="C164" s="35" t="inlineStr">
        <is>
          <t>Tablet</t>
        </is>
      </c>
      <c r="D164" s="359" t="n">
        <v>1005</v>
      </c>
      <c r="E164" s="66" t="n">
        <v>18732.26615384616</v>
      </c>
      <c r="F164" s="67" t="n">
        <v>1005</v>
      </c>
      <c r="G164" s="68" t="n">
        <v>14</v>
      </c>
      <c r="H164" s="68" t="n">
        <v>1</v>
      </c>
      <c r="I164" s="68" t="n">
        <v>385</v>
      </c>
      <c r="J164" s="69" t="n">
        <v>4.2</v>
      </c>
      <c r="K164" s="69" t="inlineStr">
        <is>
          <t>https://amazon.com/dp/B0FG2CNXWD</t>
        </is>
      </c>
      <c r="L164" s="114">
        <f>HYPERLINK(Table3660[[#This Row],[Column1]])</f>
        <v/>
      </c>
    </row>
    <row r="165" ht="45" customHeight="1" s="314">
      <c r="A165" s="35" t="inlineStr">
        <is>
          <t>LAUNCH Original Adapter for DBSCar VII and SmartLink C VCI Connector, DR15 Male to OBD2 16 Pin Male Replacement Connector Work with X431 CRP919EBT, PRO3 ACE, PRO 3S+, PRO 5, PAD VII, PAD V</t>
        </is>
      </c>
      <c r="B165" s="35" t="inlineStr">
        <is>
          <t>B0D8PPVD5D</t>
        </is>
      </c>
      <c r="C165" s="35" t="inlineStr">
        <is>
          <t>Cable/Adapter</t>
        </is>
      </c>
      <c r="D165" s="359" t="n">
        <v>23.19690476190476</v>
      </c>
      <c r="E165" s="66" t="n">
        <v>8268.82</v>
      </c>
      <c r="F165" s="67" t="n">
        <v>974.27</v>
      </c>
      <c r="G165" s="68" t="n">
        <v>359</v>
      </c>
      <c r="H165" s="68" t="n">
        <v>42</v>
      </c>
      <c r="I165" s="68" t="n">
        <v>27</v>
      </c>
      <c r="J165" s="69" t="n">
        <v>4.5</v>
      </c>
      <c r="K165" s="69" t="inlineStr">
        <is>
          <t>https://amazon.com/dp/B0D8PPVD5D</t>
        </is>
      </c>
      <c r="L165" s="114">
        <f>HYPERLINK(Table3660[[#This Row],[Column1]])</f>
        <v/>
      </c>
    </row>
    <row r="166" ht="45" customHeight="1" s="314">
      <c r="A166" s="35" t="inlineStr">
        <is>
          <t>LAUNCH X431 PROS V Bidirectional Scan Tool, 2026 Full System Diagnostic Scanner, 2 Years Free Update, Calibration &amp; Matching, 38+ Services, AutoAuth FCA SGW, V.A.G Guided, CAN FD, Same As X431 PRO3</t>
        </is>
      </c>
      <c r="B166" s="35" t="inlineStr">
        <is>
          <t>B098B6HVGG</t>
        </is>
      </c>
      <c r="C166" s="35" t="inlineStr">
        <is>
          <t>Tablet</t>
        </is>
      </c>
      <c r="D166" s="359" t="n">
        <v>476.07</v>
      </c>
      <c r="E166" s="66" t="n">
        <v>37886.48</v>
      </c>
      <c r="F166" s="67" t="n">
        <v>952.14</v>
      </c>
      <c r="G166" s="68" t="n">
        <v>88</v>
      </c>
      <c r="H166" s="68" t="n">
        <v>2</v>
      </c>
      <c r="I166" s="68" t="n">
        <v>74</v>
      </c>
      <c r="J166" s="69" t="n">
        <v>4.1</v>
      </c>
      <c r="K166" s="69" t="inlineStr">
        <is>
          <t>https://amazon.com/dp/B098B6HVGG</t>
        </is>
      </c>
      <c r="L166" s="114">
        <f>HYPERLINK(Table3660[[#This Row],[Column1]])</f>
        <v/>
      </c>
    </row>
    <row r="167" ht="60" customHeight="1" s="314">
      <c r="A167" s="35" t="inlineStr">
        <is>
          <t>LAUNCH X431 Creader 5011 V2 TPMS Tool，TPMS Sensor (315+433MHz) Read/Activate/Relearn/Reset Scanner Tool,OBD2 Code Reader&amp; 12 Hot Rests, Lifetime Free Update</t>
        </is>
      </c>
      <c r="B167" s="35" t="inlineStr">
        <is>
          <t>B0FWP57ZND</t>
        </is>
      </c>
      <c r="C167" s="35" t="inlineStr">
        <is>
          <t>Tablet</t>
        </is>
      </c>
      <c r="D167" s="359" t="n">
        <v>231.3275</v>
      </c>
      <c r="E167" s="66" t="n">
        <v>11338.72846153846</v>
      </c>
      <c r="F167" s="67" t="n">
        <v>925.3099999999999</v>
      </c>
      <c r="G167" s="68" t="n">
        <v>22</v>
      </c>
      <c r="H167" s="68" t="n">
        <v>4</v>
      </c>
      <c r="I167" s="68" t="n"/>
      <c r="J167" s="69" t="n"/>
      <c r="K167" s="69" t="inlineStr">
        <is>
          <t>https://amazon.com/dp/B0FWP57ZND</t>
        </is>
      </c>
      <c r="L167" s="114">
        <f>HYPERLINK(Table3660[[#This Row],[Column1]])</f>
        <v/>
      </c>
    </row>
    <row r="168" ht="45" customHeight="1" s="314">
      <c r="A168" s="35" t="inlineStr">
        <is>
          <t>LAUNCH AIOBD Bluetooth OBD2 Scanner, Free Engine Diagnostics, Optional Subscription for Full System &amp; Reset Functions, AI Code Explain, Cost Estimate, iOS Android, 1996+ OBDII Cars</t>
        </is>
      </c>
      <c r="B168" s="35" t="inlineStr">
        <is>
          <t>B0FWPQVGHF</t>
        </is>
      </c>
      <c r="C168" s="35" t="inlineStr">
        <is>
          <t>Dongle</t>
        </is>
      </c>
      <c r="D168" s="359" t="n">
        <v>36.8872</v>
      </c>
      <c r="E168" s="66" t="n">
        <v>10936.26461538462</v>
      </c>
      <c r="F168" s="67" t="n">
        <v>922.1799999999999</v>
      </c>
      <c r="G168" s="68" t="n">
        <v>103</v>
      </c>
      <c r="H168" s="68" t="n">
        <v>25</v>
      </c>
      <c r="I168" s="68" t="n">
        <v>7</v>
      </c>
      <c r="J168" s="69" t="n">
        <v>2.6</v>
      </c>
      <c r="K168" s="69" t="inlineStr">
        <is>
          <t>https://amazon.com/dp/B0FWPQVGHF</t>
        </is>
      </c>
      <c r="L168" s="114">
        <f>HYPERLINK(Table3660[[#This Row],[Column1]])</f>
        <v/>
      </c>
    </row>
    <row r="169" ht="45" customHeight="1" s="314">
      <c r="A169" s="35" t="inlineStr">
        <is>
          <t>LAUNCH X-431 CAN FD Adapter CANFD Protocols Car Diagnostic Tool for X-431 V/V+, Pad II/III, PRO 3/3S+/Mini, Diagun V</t>
        </is>
      </c>
      <c r="B169" s="35" t="inlineStr">
        <is>
          <t>B0CDGF2XTV</t>
        </is>
      </c>
      <c r="C169" s="35" t="inlineStr">
        <is>
          <t>Cable/Adapter</t>
        </is>
      </c>
      <c r="D169" s="359" t="n">
        <v>113.0425</v>
      </c>
      <c r="E169" s="66" t="n">
        <v>6492.769999999999</v>
      </c>
      <c r="F169" s="67" t="n">
        <v>904.34</v>
      </c>
      <c r="G169" s="68" t="n">
        <v>59</v>
      </c>
      <c r="H169" s="68" t="n">
        <v>8</v>
      </c>
      <c r="I169" s="68" t="n">
        <v>4</v>
      </c>
      <c r="J169" s="69" t="n">
        <v>5</v>
      </c>
      <c r="K169" s="69" t="inlineStr">
        <is>
          <t>https://amazon.com/dp/B0CDGF2XTV</t>
        </is>
      </c>
      <c r="L169" s="114">
        <f>HYPERLINK(Table3660[[#This Row],[Column1]])</f>
        <v/>
      </c>
    </row>
    <row r="170" ht="45" customHeight="1" s="314">
      <c r="A170" s="35" t="inlineStr">
        <is>
          <t>LAUNCH X431 Remote Assisted Diagnostic Tool, Heavy Duty Truck Scanner, Bidirectional Diesel Scan Tool for 24V HD Trucks &amp; Commercial Vehicle, Support CANFD&amp;DOIP, Semi Trucks All System Diagnostic Tool</t>
        </is>
      </c>
      <c r="B170" s="35" t="inlineStr">
        <is>
          <t>B0D8FPG2LW</t>
        </is>
      </c>
      <c r="C170" s="35" t="inlineStr">
        <is>
          <t>VCI</t>
        </is>
      </c>
      <c r="D170" s="359" t="n">
        <v>887.4299999999999</v>
      </c>
      <c r="E170" s="66" t="n">
        <v>6290.97</v>
      </c>
      <c r="F170" s="67" t="n">
        <v>887.4299999999999</v>
      </c>
      <c r="G170" s="68" t="n">
        <v>7</v>
      </c>
      <c r="H170" s="68" t="n">
        <v>1</v>
      </c>
      <c r="I170" s="68" t="n">
        <v>1</v>
      </c>
      <c r="J170" s="69" t="n">
        <v>5</v>
      </c>
      <c r="K170" s="69" t="inlineStr">
        <is>
          <t>https://amazon.com/dp/B0D8FPG2LW</t>
        </is>
      </c>
      <c r="L170" s="114">
        <f>HYPERLINK(Table3660[[#This Row],[Column1]])</f>
        <v/>
      </c>
    </row>
    <row r="171" ht="45" customHeight="1" s="314">
      <c r="A171" s="35" t="inlineStr">
        <is>
          <t>2026 LAUNCH CRP129HD Heavy Duty Truck Scanner with DPF Regen, Speed Limit Adjust Reset, Full System Diesel Semi Truck Diagnostic Tool &amp; Code Reader for Cummins Detroit International Paccar</t>
        </is>
      </c>
      <c r="B171" s="35" t="inlineStr">
        <is>
          <t>B0FQB6SXX8</t>
        </is>
      </c>
      <c r="C171" s="35" t="inlineStr">
        <is>
          <t>Tablet</t>
        </is>
      </c>
      <c r="D171" s="359" t="n">
        <v>442.425</v>
      </c>
      <c r="E171" s="66" t="n">
        <v>10303.56153846154</v>
      </c>
      <c r="F171" s="67" t="n">
        <v>884.85</v>
      </c>
      <c r="G171" s="68" t="n">
        <v>7</v>
      </c>
      <c r="H171" s="68" t="n">
        <v>2</v>
      </c>
      <c r="I171" s="68" t="n">
        <v>1</v>
      </c>
      <c r="J171" s="69" t="n">
        <v>4</v>
      </c>
      <c r="K171" s="69" t="inlineStr">
        <is>
          <t>https://amazon.com/dp/B0FQB6SXX8</t>
        </is>
      </c>
      <c r="L171" s="114">
        <f>HYPERLINK(Table3660[[#This Row],[Column1]])</f>
        <v/>
      </c>
    </row>
    <row r="172" ht="45" customHeight="1" s="314">
      <c r="A172" s="35" t="inlineStr">
        <is>
          <t>LAUNCH CRE Elite HD-H Heavy Duty Semi Truck Scanner, DPF Forced Regen for Hino, Bidirectional Full System Diesel Diagnostic Scan Tool</t>
        </is>
      </c>
      <c r="B172" s="35" t="inlineStr">
        <is>
          <t>B0F1Y69MX2</t>
        </is>
      </c>
      <c r="C172" s="35" t="inlineStr">
        <is>
          <t>Tablet</t>
        </is>
      </c>
      <c r="D172" s="359" t="n">
        <v>429</v>
      </c>
      <c r="E172" s="66" t="n">
        <v>9526.059999999999</v>
      </c>
      <c r="F172" s="67" t="n">
        <v>858</v>
      </c>
      <c r="G172" s="68" t="n">
        <v>15</v>
      </c>
      <c r="H172" s="68" t="n">
        <v>2</v>
      </c>
      <c r="I172" s="68" t="n"/>
      <c r="J172" s="69" t="n"/>
      <c r="K172" s="69" t="inlineStr">
        <is>
          <t>https://amazon.com/dp/B0F1Y69MX2</t>
        </is>
      </c>
      <c r="L172" s="114">
        <f>HYPERLINK(Table3660[[#This Row],[Column1]])</f>
        <v/>
      </c>
    </row>
    <row r="173" ht="45" customHeight="1" s="314">
      <c r="A173" s="35" t="inlineStr">
        <is>
          <t>Launch OBD2 Scanner CRP123I V2.0,Scan Tool Upgrade of CRP123E/CRP129E for ABS/SRS/AT/ENG, FCA SGW, 7 Reset Services, Oil/Brake/BMS/SAS/DPF/ABS Bleeding/Throttle Adaption, Free Lifetime Upgrade</t>
        </is>
      </c>
      <c r="B173" s="35" t="inlineStr">
        <is>
          <t>B0CC5N4XXN</t>
        </is>
      </c>
      <c r="C173" s="35" t="inlineStr">
        <is>
          <t>Tablet</t>
        </is>
      </c>
      <c r="D173" s="359" t="n">
        <v>211.695</v>
      </c>
      <c r="E173" s="66" t="n">
        <v>12951.95</v>
      </c>
      <c r="F173" s="67" t="n">
        <v>846.78</v>
      </c>
      <c r="G173" s="68" t="n">
        <v>71</v>
      </c>
      <c r="H173" s="68" t="n">
        <v>4</v>
      </c>
      <c r="I173" s="68" t="n">
        <v>80</v>
      </c>
      <c r="J173" s="69" t="n">
        <v>4.1</v>
      </c>
      <c r="K173" s="69" t="inlineStr">
        <is>
          <t>https://amazon.com/dp/B0CC5N4XXN</t>
        </is>
      </c>
      <c r="L173" s="114">
        <f>HYPERLINK(Table3660[[#This Row],[Column1]])</f>
        <v/>
      </c>
    </row>
    <row r="174" ht="30" customHeight="1" s="314">
      <c r="A174" s="35" t="inlineStr">
        <is>
          <t>LAUNCH X-431 DoIP Connector Adapter Cable with USB and 16-Pin Male to Female for X-431 Series Diagnostic Scanner DBScar VII and SmartLink Connector</t>
        </is>
      </c>
      <c r="B174" s="35" t="inlineStr">
        <is>
          <t>B0CQ8GDK2L</t>
        </is>
      </c>
      <c r="C174" s="35" t="inlineStr">
        <is>
          <t>Cable/Adapter</t>
        </is>
      </c>
      <c r="D174" s="359" t="n">
        <v>82.40900000000001</v>
      </c>
      <c r="E174" s="66" t="n">
        <v>9348.924999999999</v>
      </c>
      <c r="F174" s="67" t="n">
        <v>824.09</v>
      </c>
      <c r="G174" s="68" t="n">
        <v>97</v>
      </c>
      <c r="H174" s="68" t="n">
        <v>10</v>
      </c>
      <c r="I174" s="68" t="n">
        <v>4</v>
      </c>
      <c r="J174" s="69" t="n">
        <v>4.7</v>
      </c>
      <c r="K174" s="69" t="inlineStr">
        <is>
          <t>https://amazon.com/dp/B0CQ8GDK2L</t>
        </is>
      </c>
      <c r="L174" s="114">
        <f>HYPERLINK(Table3660[[#This Row],[Column1]])</f>
        <v/>
      </c>
    </row>
    <row r="175" ht="45" customHeight="1" s="314">
      <c r="A175" s="35" t="inlineStr">
        <is>
          <t>LAUNCH X-431 DoIP Connector Adapter Cable with USB and 16-Pin Male to Female for X-431 Series Diagnostic Scanner DBScar VII DBScar 7</t>
        </is>
      </c>
      <c r="B175" s="35" t="inlineStr">
        <is>
          <t>B0GFM465BH</t>
        </is>
      </c>
      <c r="C175" s="35" t="inlineStr">
        <is>
          <t>Cable/Adapter</t>
        </is>
      </c>
      <c r="D175" s="359" t="n">
        <v>91.35555555555555</v>
      </c>
      <c r="E175" s="66" t="n">
        <v>9670.668461538462</v>
      </c>
      <c r="F175" s="67" t="n">
        <v>822.2</v>
      </c>
      <c r="G175" s="68" t="n">
        <v>23</v>
      </c>
      <c r="H175" s="68" t="n">
        <v>9</v>
      </c>
      <c r="I175" s="68" t="n"/>
      <c r="J175" s="69" t="n"/>
      <c r="K175" s="69" t="inlineStr">
        <is>
          <t>https://amazon.com/dp/B0GFM465BH</t>
        </is>
      </c>
      <c r="L175" s="114">
        <f>HYPERLINK(Table3660[[#This Row],[Column1]])</f>
        <v/>
      </c>
    </row>
    <row r="176" ht="45" customHeight="1" s="314">
      <c r="A176" s="35" t="inlineStr">
        <is>
          <t>LAUNCH Creader Elite V2.0 for Land Rover Jaguar OBD2 Scanner, Bi-Directional Full Systems Diagnostic Scan Tool, All Reset Services, Active Test, Battery Reset, Height Calibration, Lifetime Free Update</t>
        </is>
      </c>
      <c r="B176" s="35" t="inlineStr">
        <is>
          <t>B0F4QVVDN6</t>
        </is>
      </c>
      <c r="C176" s="35" t="inlineStr">
        <is>
          <t>Tablet</t>
        </is>
      </c>
      <c r="D176" s="359" t="n">
        <v>162.364</v>
      </c>
      <c r="E176" s="66" t="n">
        <v>26428.27923076924</v>
      </c>
      <c r="F176" s="67" t="n">
        <v>811.8200000000001</v>
      </c>
      <c r="G176" s="68" t="n">
        <v>131</v>
      </c>
      <c r="H176" s="68" t="n">
        <v>5</v>
      </c>
      <c r="I176" s="68" t="n">
        <v>6</v>
      </c>
      <c r="J176" s="69" t="n">
        <v>3.2</v>
      </c>
      <c r="K176" s="69" t="inlineStr">
        <is>
          <t>https://amazon.com/dp/B0F4QVVDN6</t>
        </is>
      </c>
      <c r="L176" s="114">
        <f>HYPERLINK(Table3660[[#This Row],[Column1]])</f>
        <v/>
      </c>
    </row>
    <row r="177" ht="45" customHeight="1" s="314">
      <c r="A177" s="35" t="inlineStr">
        <is>
          <t>2026 Elite LAUNCH Creader Elite 205 OBD2 Scanner,4 System Diagnostic Scanner with 5 Resets, ABS Bleeding, Injector Coding, EPB,DPF Regeneration，Free Update, AutoVIN, FCA AutoAuth, 5 Years Backup</t>
        </is>
      </c>
      <c r="B177" s="35" t="inlineStr">
        <is>
          <t>B09D9K2FYX</t>
        </is>
      </c>
      <c r="C177" s="35" t="inlineStr">
        <is>
          <t>Handheld</t>
        </is>
      </c>
      <c r="D177" s="359" t="n">
        <v>98.53749999999999</v>
      </c>
      <c r="E177" s="66" t="n">
        <v>8670.949999999999</v>
      </c>
      <c r="F177" s="67" t="n">
        <v>788.3</v>
      </c>
      <c r="G177" s="68" t="n">
        <v>87</v>
      </c>
      <c r="H177" s="68" t="n">
        <v>8</v>
      </c>
      <c r="I177" s="68" t="n">
        <v>74</v>
      </c>
      <c r="J177" s="69" t="n">
        <v>3.7</v>
      </c>
      <c r="K177" s="69" t="inlineStr">
        <is>
          <t>https://amazon.com/dp/B09D9K2FYX</t>
        </is>
      </c>
      <c r="L177" s="114">
        <f>HYPERLINK(Table3660[[#This Row],[Column1]])</f>
        <v/>
      </c>
    </row>
    <row r="178" ht="45" customHeight="1" s="314">
      <c r="A178" s="35" t="inlineStr">
        <is>
          <t>LAUNCH AIOBD Bluetooth OBD2 Scanner - Full System Diagnostics, AI Explains Faults Simply, Parts/Labor/Cost Estimates, Works with iPhone &amp; Android</t>
        </is>
      </c>
      <c r="B178" s="35" t="inlineStr">
        <is>
          <t>B0FWCFYRHN</t>
        </is>
      </c>
      <c r="C178" s="35" t="inlineStr">
        <is>
          <t>Dongle</t>
        </is>
      </c>
      <c r="D178" s="359" t="n">
        <v>38.01000000000001</v>
      </c>
      <c r="E178" s="66" t="n">
        <v>11057.16153846154</v>
      </c>
      <c r="F178" s="67" t="n">
        <v>760.2</v>
      </c>
      <c r="G178" s="68" t="n">
        <v>134</v>
      </c>
      <c r="H178" s="68" t="n">
        <v>20</v>
      </c>
      <c r="I178" s="68" t="n">
        <v>30</v>
      </c>
      <c r="J178" s="69" t="n">
        <v>3.5</v>
      </c>
      <c r="K178" s="69" t="inlineStr">
        <is>
          <t>https://amazon.com/dp/B0FWCFYRHN</t>
        </is>
      </c>
      <c r="L178" s="114">
        <f>HYPERLINK(Table3660[[#This Row],[Column1]])</f>
        <v/>
      </c>
    </row>
    <row r="179" ht="45" customHeight="1" s="314">
      <c r="A179" s="35" t="inlineStr">
        <is>
          <t>2026 NEW Launch OBD2 Scanner CR529 Code Reader Check Engine Light for All OBDII Car After 1996 Full OBD2 Functions Mode 8, I/M Readiness DTC Lookup Lifetime Free Update Scan Tool [Upgrade Version]</t>
        </is>
      </c>
      <c r="B179" s="35" t="inlineStr">
        <is>
          <t>B0811JXH3M</t>
        </is>
      </c>
      <c r="C179" s="35" t="inlineStr">
        <is>
          <t>Handheld</t>
        </is>
      </c>
      <c r="D179" s="359" t="n">
        <v>44.19823529411764</v>
      </c>
      <c r="E179" s="66" t="n">
        <v>19139.95</v>
      </c>
      <c r="F179" s="67" t="n">
        <v>751.37</v>
      </c>
      <c r="G179" s="68" t="n">
        <v>413</v>
      </c>
      <c r="H179" s="68" t="n">
        <v>17</v>
      </c>
      <c r="I179" s="68" t="n">
        <v>2777</v>
      </c>
      <c r="J179" s="69" t="n">
        <v>4.3</v>
      </c>
      <c r="K179" s="69" t="inlineStr">
        <is>
          <t>https://amazon.com/dp/B0811JXH3M</t>
        </is>
      </c>
      <c r="L179" s="114">
        <f>HYPERLINK(Table3660[[#This Row],[Column1]])</f>
        <v/>
      </c>
    </row>
    <row r="180" ht="45" customHeight="1" s="314">
      <c r="A180" s="35" t="inlineStr">
        <is>
          <t>LAUNCH X431 Creader Elite FGC 2.0 OBD2 Scanner for Ford/GM/Chrysler Series, Bi-Directional Scan Tool, Lifetime Update, All System Diagnostic, 100+ Services, Advanced OBD2 Code Reader</t>
        </is>
      </c>
      <c r="B180" s="35" t="inlineStr">
        <is>
          <t>B0F8N73YYW</t>
        </is>
      </c>
      <c r="C180" s="35" t="inlineStr">
        <is>
          <t>Tablet</t>
        </is>
      </c>
      <c r="D180" s="359" t="n">
        <v>248.3366666666667</v>
      </c>
      <c r="E180" s="66" t="n">
        <v>13056.21461538462</v>
      </c>
      <c r="F180" s="67" t="n">
        <v>745.01</v>
      </c>
      <c r="G180" s="68" t="n">
        <v>46</v>
      </c>
      <c r="H180" s="68" t="n">
        <v>3</v>
      </c>
      <c r="I180" s="68" t="n">
        <v>4</v>
      </c>
      <c r="J180" s="69" t="n">
        <v>4.2</v>
      </c>
      <c r="K180" s="69" t="inlineStr">
        <is>
          <t>https://amazon.com/dp/B0F8N73YYW</t>
        </is>
      </c>
      <c r="L180" s="114">
        <f>HYPERLINK(Table3660[[#This Row],[Column1]])</f>
        <v/>
      </c>
    </row>
    <row r="181" ht="45" customHeight="1" s="314">
      <c r="A181" s="35" t="inlineStr">
        <is>
          <t>LAUNCH CRP129E Plus OBD2 Scanner, All-in-ONE Full System Diagnostic Scan Tool, Lifetime Free Update, 12 Reset Oil/TPMS/EPB/SAS/BMS/Throttle Reset, Injector Coding, FCA AutoAuth, Battery Test,Auto VIN</t>
        </is>
      </c>
      <c r="B181" s="35" t="inlineStr">
        <is>
          <t>B0CL2BPJ47</t>
        </is>
      </c>
      <c r="C181" s="35" t="inlineStr">
        <is>
          <t>Tablet</t>
        </is>
      </c>
      <c r="D181" s="359" t="n">
        <v>335.31</v>
      </c>
      <c r="E181" s="66" t="n">
        <v>10408.12384615385</v>
      </c>
      <c r="F181" s="67" t="n">
        <v>670.62</v>
      </c>
      <c r="G181" s="68" t="n">
        <v>38</v>
      </c>
      <c r="H181" s="68" t="n">
        <v>2</v>
      </c>
      <c r="I181" s="68" t="n">
        <v>35</v>
      </c>
      <c r="J181" s="69" t="n">
        <v>4.2</v>
      </c>
      <c r="K181" s="69" t="inlineStr">
        <is>
          <t>https://amazon.com/dp/B0CL2BPJ47</t>
        </is>
      </c>
      <c r="L181" s="114">
        <f>HYPERLINK(Table3660[[#This Row],[Column1]])</f>
        <v/>
      </c>
    </row>
    <row r="182" ht="45" customHeight="1" s="314">
      <c r="A182" s="35" t="inlineStr">
        <is>
          <t>LAUNCH X-431 MCU3 Programmer Kit for X-PROG3 GIII Work for Mercedes-Benz ECU and TCU Reading</t>
        </is>
      </c>
      <c r="B182" s="35" t="inlineStr">
        <is>
          <t>B0CZNTHWP2</t>
        </is>
      </c>
      <c r="C182" s="35" t="inlineStr">
        <is>
          <t>Other</t>
        </is>
      </c>
      <c r="D182" s="359" t="n">
        <v>167.3075</v>
      </c>
      <c r="E182" s="66" t="n">
        <v>10815.07076923077</v>
      </c>
      <c r="F182" s="67" t="n">
        <v>669.23</v>
      </c>
      <c r="G182" s="68" t="n">
        <v>59</v>
      </c>
      <c r="H182" s="68" t="n">
        <v>4</v>
      </c>
      <c r="I182" s="68" t="n">
        <v>10</v>
      </c>
      <c r="J182" s="69" t="n">
        <v>4.4</v>
      </c>
      <c r="K182" s="69" t="inlineStr">
        <is>
          <t>https://amazon.com/dp/B0CZNTHWP2</t>
        </is>
      </c>
      <c r="L182" s="114">
        <f>HYPERLINK(Table3660[[#This Row],[Column1]])</f>
        <v/>
      </c>
    </row>
    <row r="183" ht="45" customHeight="1" s="314">
      <c r="A183" s="35" t="inlineStr">
        <is>
          <t>Launch X431 PRO Star OBDII Scanner, All System Diagnostics, ECU Coding, 37+ Services, Full Bi-Directional Scan Tool, FCA SGW, CAN FD/DoIP, Quick Guide, 2 Years Fr-ee Update, Android 10.0</t>
        </is>
      </c>
      <c r="B183" s="35" t="inlineStr">
        <is>
          <t>B0DRNV2NMJ</t>
        </is>
      </c>
      <c r="C183" s="35" t="inlineStr">
        <is>
          <t>Tablet</t>
        </is>
      </c>
      <c r="D183" s="359" t="n">
        <v>658.71</v>
      </c>
      <c r="E183" s="66" t="n">
        <v>6064.01</v>
      </c>
      <c r="F183" s="67" t="n">
        <v>658.71</v>
      </c>
      <c r="G183" s="68" t="n">
        <v>6</v>
      </c>
      <c r="H183" s="68" t="n">
        <v>1</v>
      </c>
      <c r="I183" s="68" t="n"/>
      <c r="J183" s="69" t="n"/>
      <c r="K183" s="69" t="inlineStr">
        <is>
          <t>https://amazon.com/dp/B0DRNV2NMJ</t>
        </is>
      </c>
      <c r="L183" s="114">
        <f>HYPERLINK(Table3660[[#This Row],[Column1]])</f>
        <v/>
      </c>
    </row>
    <row r="184" ht="30" customHeight="1" s="314">
      <c r="A184" s="35" t="inlineStr">
        <is>
          <t>Launch Diagnostic Scanner Tool for BMW, 2024 Enhanced Multi-System OBD2 Scanner, Auto Fault Code Reader with Bi-Directional Control &amp; Battery Registration for BMW After 1996</t>
        </is>
      </c>
      <c r="B184" s="35" t="inlineStr">
        <is>
          <t>B09NN54ZJZ</t>
        </is>
      </c>
      <c r="C184" s="35" t="inlineStr">
        <is>
          <t>Handheld</t>
        </is>
      </c>
      <c r="D184" s="359" t="n">
        <v>128.996</v>
      </c>
      <c r="E184" s="66" t="n">
        <v>7316.376153846154</v>
      </c>
      <c r="F184" s="67" t="n">
        <v>644.98</v>
      </c>
      <c r="G184" s="68" t="n">
        <v>40</v>
      </c>
      <c r="H184" s="68" t="n">
        <v>5</v>
      </c>
      <c r="I184" s="68" t="n">
        <v>30</v>
      </c>
      <c r="J184" s="69" t="n">
        <v>4</v>
      </c>
      <c r="K184" s="69" t="inlineStr">
        <is>
          <t>https://amazon.com/dp/B09NN54ZJZ</t>
        </is>
      </c>
      <c r="L184" s="114">
        <f>HYPERLINK(Table3660[[#This Row],[Column1]])</f>
        <v/>
      </c>
    </row>
    <row r="185" ht="45" customHeight="1" s="314">
      <c r="A185" s="35" t="inlineStr">
        <is>
          <t>LAUNCH CRP123 V2.0 Plus Elite OBD2 Scanner, 2025 New Full System Lifetime Free Update Scan Tool with 3 Reset Oil Service, Throttle Adaption, SAS Relearn, Car Scanner for All Cars</t>
        </is>
      </c>
      <c r="B185" s="35" t="inlineStr">
        <is>
          <t>B0DKHBV8Q6</t>
        </is>
      </c>
      <c r="C185" s="35" t="inlineStr">
        <is>
          <t>Tablet</t>
        </is>
      </c>
      <c r="D185" s="359" t="n">
        <v>159.4075</v>
      </c>
      <c r="E185" s="66" t="n">
        <v>27325.13</v>
      </c>
      <c r="F185" s="67" t="n">
        <v>637.63</v>
      </c>
      <c r="G185" s="68" t="n">
        <v>177</v>
      </c>
      <c r="H185" s="68" t="n">
        <v>4</v>
      </c>
      <c r="I185" s="68" t="n">
        <v>18</v>
      </c>
      <c r="J185" s="69" t="n">
        <v>3.9</v>
      </c>
      <c r="K185" s="69" t="inlineStr">
        <is>
          <t>https://amazon.com/dp/B0DKHBV8Q6</t>
        </is>
      </c>
      <c r="L185" s="114">
        <f>HYPERLINK(Table3660[[#This Row],[Column1]])</f>
        <v/>
      </c>
    </row>
    <row r="186" ht="45" customHeight="1" s="314">
      <c r="A186" s="35" t="inlineStr">
        <is>
          <t>2026 Launch CRP123 V2.0 OBD2 Scanner, Engine, ABS, SRS, Transmission Code Reader Car Diagnostic Scan Tool, Full OBDII Modes Automotive Scanner, Live Data Stream Graph, Lifetime Free Update</t>
        </is>
      </c>
      <c r="B186" s="35" t="inlineStr">
        <is>
          <t>B07Q8KJMTM</t>
        </is>
      </c>
      <c r="C186" s="35" t="inlineStr">
        <is>
          <t>Tablet</t>
        </is>
      </c>
      <c r="D186" s="359" t="n">
        <v>127.526</v>
      </c>
      <c r="E186" s="66" t="n">
        <v>34767.21999999999</v>
      </c>
      <c r="F186" s="67" t="n">
        <v>637.63</v>
      </c>
      <c r="G186" s="68" t="n">
        <v>265</v>
      </c>
      <c r="H186" s="68" t="n">
        <v>5</v>
      </c>
      <c r="I186" s="68" t="n">
        <v>364</v>
      </c>
      <c r="J186" s="69" t="n">
        <v>4.3</v>
      </c>
      <c r="K186" s="69" t="inlineStr">
        <is>
          <t>https://amazon.com/dp/B07Q8KJMTM</t>
        </is>
      </c>
      <c r="L186" s="114">
        <f>HYPERLINK(Table3660[[#This Row],[Column1]])</f>
        <v/>
      </c>
    </row>
    <row r="187" ht="45" customHeight="1" s="314">
      <c r="A187" s="35" t="inlineStr">
        <is>
          <t>OBD2 Scanner LAUNCH Millennium 90 Pro Car Scanner, Full OBD2 Code Reader, Diagnostic Scan Tool for ABS SRS AT Engine, with Oil EPB BMS ABS Bleeding SAS Reset Service Functions, Lifetime Free Update</t>
        </is>
      </c>
      <c r="B187" s="35" t="inlineStr">
        <is>
          <t>B074XD3TRS</t>
        </is>
      </c>
      <c r="C187" s="35" t="inlineStr">
        <is>
          <t>Handheld</t>
        </is>
      </c>
      <c r="D187" s="359" t="n">
        <v>90.82714285714285</v>
      </c>
      <c r="E187" s="66" t="n">
        <v>13207.76</v>
      </c>
      <c r="F187" s="67" t="n">
        <v>635.79</v>
      </c>
      <c r="G187" s="68" t="n">
        <v>125</v>
      </c>
      <c r="H187" s="68" t="n">
        <v>7</v>
      </c>
      <c r="I187" s="68" t="n">
        <v>173</v>
      </c>
      <c r="J187" s="69" t="n">
        <v>4.4</v>
      </c>
      <c r="K187" s="69" t="inlineStr">
        <is>
          <t>https://amazon.com/dp/B074XD3TRS</t>
        </is>
      </c>
      <c r="L187" s="114">
        <f>HYPERLINK(Table3660[[#This Row],[Column1]])</f>
        <v/>
      </c>
    </row>
    <row r="188" ht="45" customHeight="1" s="314">
      <c r="A188" s="35" t="inlineStr">
        <is>
          <t>LAUNCH Creader 3001 OBD2 Scanner, Engine Fault Code Reader, Mode 6 &amp; CAN Diagnostic Scan Tool, Works with All 1996+ OBDII Protocol Vehicles, Lifetime Free Update</t>
        </is>
      </c>
      <c r="B188" s="35" t="inlineStr">
        <is>
          <t>B09B2C4TBV</t>
        </is>
      </c>
      <c r="C188" s="35" t="inlineStr">
        <is>
          <t>Handheld</t>
        </is>
      </c>
      <c r="D188" s="359" t="n">
        <v>17.10864864864865</v>
      </c>
      <c r="E188" s="66" t="n">
        <v>6389.919230769231</v>
      </c>
      <c r="F188" s="67" t="n">
        <v>633.02</v>
      </c>
      <c r="G188" s="68" t="n">
        <v>97</v>
      </c>
      <c r="H188" s="68" t="n">
        <v>37</v>
      </c>
      <c r="I188" s="68" t="n">
        <v>4</v>
      </c>
      <c r="J188" s="69" t="n">
        <v>5</v>
      </c>
      <c r="K188" s="69" t="inlineStr">
        <is>
          <t>https://amazon.com/dp/B09B2C4TBV</t>
        </is>
      </c>
      <c r="L188" s="114">
        <f>HYPERLINK(Table3660[[#This Row],[Column1]])</f>
        <v/>
      </c>
    </row>
    <row r="189" ht="30" customHeight="1" s="314">
      <c r="A189" s="35" t="inlineStr">
        <is>
          <t>Launch CRP129 MT Pro Motorcycle Scanner, OE All System Bidirectional Active Tests, Resets for Harley Honda Yamaha Kawasaki Indian Suzuki Polaris Victory, 38+ Brands, 11 Languages, 2 Years Upgrades</t>
        </is>
      </c>
      <c r="B189" s="35" t="inlineStr">
        <is>
          <t>B0GVQZLFX2</t>
        </is>
      </c>
      <c r="C189" s="35" t="inlineStr">
        <is>
          <t>Tablet</t>
        </is>
      </c>
      <c r="D189" s="359" t="n">
        <v>563.02</v>
      </c>
      <c r="E189" s="66" t="n">
        <v>6799.549230769229</v>
      </c>
      <c r="F189" s="67" t="n">
        <v>563.02</v>
      </c>
      <c r="G189" s="68" t="n">
        <v>1</v>
      </c>
      <c r="H189" s="68" t="n">
        <v>1</v>
      </c>
      <c r="I189" s="68" t="n"/>
      <c r="J189" s="69" t="n"/>
      <c r="K189" s="69" t="inlineStr">
        <is>
          <t>https://amazon.com/dp/B0GVQZLFX2</t>
        </is>
      </c>
      <c r="L189" s="114">
        <f>HYPERLINK(Table3660[[#This Row],[Column1]])</f>
        <v/>
      </c>
    </row>
    <row r="190" ht="60" customHeight="1" s="314">
      <c r="A190" s="35" t="inlineStr">
        <is>
          <t>LAUNCH OBD2 Scanner Engine Fault Code Reader, CR319 Code Reader Scanner, CAN Diagnostic Scan Tool Supports DTC Lookup, Mode6 O2 Sensor for OBDII Protocol Cars Since 1996 Black</t>
        </is>
      </c>
      <c r="B190" s="35" t="inlineStr">
        <is>
          <t>B07RTVPC4B</t>
        </is>
      </c>
      <c r="C190" s="35" t="inlineStr">
        <is>
          <t>Handheld</t>
        </is>
      </c>
      <c r="D190" s="359" t="n">
        <v>24.45347826086956</v>
      </c>
      <c r="E190" s="66" t="n">
        <v>9047.09</v>
      </c>
      <c r="F190" s="67" t="n">
        <v>562.4299999999999</v>
      </c>
      <c r="G190" s="68" t="n">
        <v>338</v>
      </c>
      <c r="H190" s="68" t="n">
        <v>23</v>
      </c>
      <c r="I190" s="68" t="n">
        <v>967</v>
      </c>
      <c r="J190" s="69" t="n">
        <v>4.4</v>
      </c>
      <c r="K190" s="69" t="inlineStr">
        <is>
          <t>https://amazon.com/dp/B07RTVPC4B</t>
        </is>
      </c>
      <c r="L190" s="114">
        <f>HYPERLINK(Table3660[[#This Row],[Column1]])</f>
        <v/>
      </c>
    </row>
    <row r="191" ht="60" customHeight="1" s="314">
      <c r="A191" s="35" t="inlineStr">
        <is>
          <t>LAUNCH CRP129I OBD2 Scanner, 2026 FCA AutoAuth, Next-Gen, 8 Resets Oil/EPB/SAS/TPMS/BMS/Throttle/DPF Reset/Injector Coding, ABS SRS Transmission Engine Code Reader, Lifetime Free Update</t>
        </is>
      </c>
      <c r="B191" s="35" t="inlineStr">
        <is>
          <t>B0CSW76T88</t>
        </is>
      </c>
      <c r="C191" s="35" t="inlineStr">
        <is>
          <t>Tablet</t>
        </is>
      </c>
      <c r="D191" s="359" t="n">
        <v>277.22</v>
      </c>
      <c r="E191" s="66" t="n">
        <v>19406.69</v>
      </c>
      <c r="F191" s="67" t="n">
        <v>554.4400000000001</v>
      </c>
      <c r="G191" s="68" t="n">
        <v>75</v>
      </c>
      <c r="H191" s="68" t="n">
        <v>2</v>
      </c>
      <c r="I191" s="68" t="n">
        <v>50</v>
      </c>
      <c r="J191" s="69" t="n">
        <v>4.1</v>
      </c>
      <c r="K191" s="69" t="inlineStr">
        <is>
          <t>https://amazon.com/dp/B0CSW76T88</t>
        </is>
      </c>
      <c r="L191" s="114">
        <f>HYPERLINK(Table3660[[#This Row],[Column1]])</f>
        <v/>
      </c>
    </row>
    <row r="192" ht="45" customHeight="1" s="314">
      <c r="A192" s="35" t="inlineStr">
        <is>
          <t>LAUNCH Professional OBD2 Scanner Diagnostic Tool CR3008 Plus,One-Key I/M,Lifetime Update Code Reader,Enhanced Check Engine Code Reader OBDII Car Scan Tool for All Vehicles After 1996,Battery Test</t>
        </is>
      </c>
      <c r="B192" s="35" t="inlineStr">
        <is>
          <t>B0FWRMRK55</t>
        </is>
      </c>
      <c r="C192" s="35" t="inlineStr">
        <is>
          <t>Handheld</t>
        </is>
      </c>
      <c r="D192" s="359" t="n">
        <v>39.01214285714286</v>
      </c>
      <c r="E192" s="66" t="n">
        <v>5048.895384615383</v>
      </c>
      <c r="F192" s="67" t="n">
        <v>546.17</v>
      </c>
      <c r="G192" s="68" t="n">
        <v>27</v>
      </c>
      <c r="H192" s="68" t="n">
        <v>14</v>
      </c>
      <c r="I192" s="68" t="n">
        <v>1</v>
      </c>
      <c r="J192" s="69" t="n">
        <v>5</v>
      </c>
      <c r="K192" s="69" t="inlineStr">
        <is>
          <t>https://amazon.com/dp/B0FWRMRK55</t>
        </is>
      </c>
      <c r="L192" s="114">
        <f>HYPERLINK(Table3660[[#This Row],[Column1]])</f>
        <v/>
      </c>
    </row>
    <row r="193" ht="45" customHeight="1" s="314">
      <c r="A193" s="35" t="inlineStr">
        <is>
          <t>LAUNCH CRP123I V2.0 Elite OBD2 Scanner, 2026 Upgraded Diagnostic Scan Tool with 7 Reset, Oil/SAS/Throttle/Brake/BMS/DPF Reset/ABS Bleeding, Multi System Code Reader, Lifetime Free Update, FCA SGW</t>
        </is>
      </c>
      <c r="B193" s="35" t="inlineStr">
        <is>
          <t>B0DKH9HZNY</t>
        </is>
      </c>
      <c r="C193" s="35" t="inlineStr">
        <is>
          <t>Tablet</t>
        </is>
      </c>
      <c r="D193" s="359" t="n">
        <v>176.64</v>
      </c>
      <c r="E193" s="66" t="n">
        <v>36119.60692307692</v>
      </c>
      <c r="F193" s="67" t="n">
        <v>529.92</v>
      </c>
      <c r="G193" s="68" t="n">
        <v>210</v>
      </c>
      <c r="H193" s="68" t="n">
        <v>3</v>
      </c>
      <c r="I193" s="68" t="n">
        <v>42</v>
      </c>
      <c r="J193" s="69" t="n">
        <v>4.2</v>
      </c>
      <c r="K193" s="69" t="inlineStr">
        <is>
          <t>https://amazon.com/dp/B0DKH9HZNY</t>
        </is>
      </c>
      <c r="L193" s="114">
        <f>HYPERLINK(Table3660[[#This Row],[Column1]])</f>
        <v/>
      </c>
    </row>
    <row r="194" ht="45" customHeight="1" s="314">
      <c r="A194" s="35" t="inlineStr">
        <is>
          <t>LAUNCH Creader Elite HD-C Heavy Duty Truck Scanner for Caterpillar, All System Active Test Diesel Diagnostic Tool-25 Calibration/Reset Special Service, 4-in-1 Live Graph Data Car Scan Tool</t>
        </is>
      </c>
      <c r="B194" s="35" t="inlineStr">
        <is>
          <t>B0DQ3YVKZS</t>
        </is>
      </c>
      <c r="C194" s="35" t="inlineStr">
        <is>
          <t>Tablet</t>
        </is>
      </c>
      <c r="D194" s="359" t="n">
        <v>505.32</v>
      </c>
      <c r="E194" s="66" t="n">
        <v>3658.106923076923</v>
      </c>
      <c r="F194" s="67" t="n">
        <v>505.32</v>
      </c>
      <c r="G194" s="68" t="n">
        <v>4</v>
      </c>
      <c r="H194" s="68" t="n">
        <v>1</v>
      </c>
      <c r="I194" s="68" t="n"/>
      <c r="J194" s="69" t="n"/>
      <c r="K194" s="69" t="inlineStr">
        <is>
          <t>https://amazon.com/dp/B0DQ3YVKZS</t>
        </is>
      </c>
      <c r="L194" s="114">
        <f>HYPERLINK(Table3660[[#This Row],[Column1]])</f>
        <v/>
      </c>
    </row>
    <row r="195" ht="45" customHeight="1" s="314">
      <c r="A195" s="35" t="inlineStr">
        <is>
          <t>LAUNCH CRP129 HD Heavy Duty Truck Scanner with DPF Regen Injector Cutoff, Full System Diesel Diagnostic Scan Tool for Cummins Caterpillar Pickup Tractor &amp; More Commercial Vehicle Semi-Trucks</t>
        </is>
      </c>
      <c r="B195" s="35" t="inlineStr">
        <is>
          <t>B0D2XLZ5JX</t>
        </is>
      </c>
      <c r="C195" s="35" t="inlineStr">
        <is>
          <t>Tablet</t>
        </is>
      </c>
      <c r="D195" s="359" t="n">
        <v>499</v>
      </c>
      <c r="E195" s="66" t="n">
        <v>39385.23</v>
      </c>
      <c r="F195" s="67" t="n">
        <v>499</v>
      </c>
      <c r="G195" s="68" t="n">
        <v>74</v>
      </c>
      <c r="H195" s="68" t="n">
        <v>1</v>
      </c>
      <c r="I195" s="68" t="n">
        <v>10</v>
      </c>
      <c r="J195" s="69" t="n">
        <v>4.5</v>
      </c>
      <c r="K195" s="69" t="inlineStr">
        <is>
          <t>https://amazon.com/dp/B0D2XLZ5JX</t>
        </is>
      </c>
      <c r="L195" s="114">
        <f>HYPERLINK(Table3660[[#This Row],[Column1]])</f>
        <v/>
      </c>
    </row>
    <row r="196" ht="45" customHeight="1" s="314">
      <c r="A196" s="35" t="inlineStr">
        <is>
          <t>Launch Creader Elite Code Reader Bi-Directional Scan Tool for Audi Full System Diagnostic Scanner, 31+ Services Online Coding AutoVIN WiFi Update</t>
        </is>
      </c>
      <c r="B196" s="35" t="inlineStr">
        <is>
          <t>B0D3D4QV4W</t>
        </is>
      </c>
      <c r="C196" s="35" t="inlineStr">
        <is>
          <t>Handheld</t>
        </is>
      </c>
      <c r="D196" s="359" t="n">
        <v>120.5475</v>
      </c>
      <c r="E196" s="66" t="n">
        <v>1405.92</v>
      </c>
      <c r="F196" s="67" t="n">
        <v>482.19</v>
      </c>
      <c r="G196" s="68" t="n">
        <v>11</v>
      </c>
      <c r="H196" s="68" t="n">
        <v>4</v>
      </c>
      <c r="I196" s="68" t="n">
        <v>1</v>
      </c>
      <c r="J196" s="69" t="n">
        <v>1</v>
      </c>
      <c r="K196" s="69" t="inlineStr">
        <is>
          <t>https://amazon.com/dp/B0D3D4QV4W</t>
        </is>
      </c>
      <c r="L196" s="114">
        <f>HYPERLINK(Table3660[[#This Row],[Column1]])</f>
        <v/>
      </c>
    </row>
    <row r="197" ht="30" customHeight="1" s="314">
      <c r="A197" s="35" t="inlineStr">
        <is>
          <t>LAUNCH OBD2 Scanner 2026 New CRP129X V2.0 (Upgraded of CRP129X,CRP123X Car Scanner), 12 Resets Scan Tool, Android 8.1 AutoVIN, 4 System Diagnostic Scanner,r, Lifetime Update, 5 Years Backup</t>
        </is>
      </c>
      <c r="B197" s="35" t="inlineStr">
        <is>
          <t>B08JCP3VQQ</t>
        </is>
      </c>
      <c r="C197" s="35" t="inlineStr">
        <is>
          <t>Tablet</t>
        </is>
      </c>
      <c r="D197" s="359" t="n">
        <v>238.98</v>
      </c>
      <c r="E197" s="66" t="n">
        <v>15459.24</v>
      </c>
      <c r="F197" s="67" t="n">
        <v>477.96</v>
      </c>
      <c r="G197" s="68" t="n">
        <v>60</v>
      </c>
      <c r="H197" s="68" t="n">
        <v>2</v>
      </c>
      <c r="I197" s="68" t="n">
        <v>169</v>
      </c>
      <c r="J197" s="69" t="n">
        <v>4</v>
      </c>
      <c r="K197" s="69" t="inlineStr">
        <is>
          <t>https://amazon.com/dp/B08JCP3VQQ</t>
        </is>
      </c>
      <c r="L197" s="114">
        <f>HYPERLINK(Table3660[[#This Row],[Column1]])</f>
        <v/>
      </c>
    </row>
    <row r="198" ht="45" customHeight="1" s="314">
      <c r="A198" s="35" t="inlineStr">
        <is>
          <t>LAUNCH Professional OBD2 Scanner Diagnostic Tool CR3008 Plus,One-Click I/M,Lifetime Update Code Reader,Enhanced Check Engine Code Reader OBDII Car Scan Tool for All Vehicles After 1996,Battery Test</t>
        </is>
      </c>
      <c r="B198" s="35" t="inlineStr">
        <is>
          <t>B0CLDK3M3B</t>
        </is>
      </c>
      <c r="C198" s="35" t="inlineStr">
        <is>
          <t>Handheld</t>
        </is>
      </c>
      <c r="D198" s="359" t="n">
        <v>46.633</v>
      </c>
      <c r="E198" s="66" t="n">
        <v>29464.75</v>
      </c>
      <c r="F198" s="67" t="n">
        <v>466.33</v>
      </c>
      <c r="G198" s="68" t="n">
        <v>709</v>
      </c>
      <c r="H198" s="68" t="n">
        <v>10</v>
      </c>
      <c r="I198" s="68" t="n">
        <v>153</v>
      </c>
      <c r="J198" s="69" t="n">
        <v>4.3</v>
      </c>
      <c r="K198" s="69" t="inlineStr">
        <is>
          <t>https://amazon.com/dp/B0CLDK3M3B</t>
        </is>
      </c>
      <c r="L198" s="114">
        <f>HYPERLINK(Table3660[[#This Row],[Column1]])</f>
        <v/>
      </c>
    </row>
    <row r="199" ht="60" customHeight="1" s="314">
      <c r="A199" s="35" t="inlineStr">
        <is>
          <t>LAUNCH OBD2 Extension Cable 16Pin Male to Female Full Function OBDII Extender, Reinforced Nylon Diagnostic Cord Connector 36CM/1.2FT</t>
        </is>
      </c>
      <c r="B199" s="35" t="inlineStr">
        <is>
          <t>B0FX3Q2MFY</t>
        </is>
      </c>
      <c r="C199" s="35" t="inlineStr">
        <is>
          <t>Cable/Adapter</t>
        </is>
      </c>
      <c r="D199" s="359" t="n">
        <v>11.15425</v>
      </c>
      <c r="E199" s="66" t="n">
        <v>3894.394615384616</v>
      </c>
      <c r="F199" s="67" t="n">
        <v>446.17</v>
      </c>
      <c r="G199" s="68" t="n">
        <v>86</v>
      </c>
      <c r="H199" s="68" t="n">
        <v>40</v>
      </c>
      <c r="I199" s="68" t="n">
        <v>1</v>
      </c>
      <c r="J199" s="69" t="n">
        <v>4</v>
      </c>
      <c r="K199" s="69" t="inlineStr">
        <is>
          <t>https://amazon.com/dp/B0FX3Q2MFY</t>
        </is>
      </c>
      <c r="L199" s="114">
        <f>HYPERLINK(Table3660[[#This Row],[Column1]])</f>
        <v/>
      </c>
    </row>
    <row r="200" ht="45" customHeight="1" s="314">
      <c r="A200" s="35" t="inlineStr">
        <is>
          <t>LAUNCH X431 Motorcycle OBD Diagnostic Connector Kit 2.0 with Motorcycle Diagnostic Software Work with LAUNCH X-431 Diagnostic Scanner</t>
        </is>
      </c>
      <c r="B200" s="35" t="inlineStr">
        <is>
          <t>B0FN7RYXGM</t>
        </is>
      </c>
      <c r="C200" s="35" t="inlineStr">
        <is>
          <t>Cable/Adapter</t>
        </is>
      </c>
      <c r="D200" s="359" t="n">
        <v>437.95</v>
      </c>
      <c r="E200" s="66" t="n">
        <v>3732.16923076923</v>
      </c>
      <c r="F200" s="67" t="n">
        <v>437.95</v>
      </c>
      <c r="G200" s="68" t="n">
        <v>3</v>
      </c>
      <c r="H200" s="68" t="n">
        <v>1</v>
      </c>
      <c r="I200" s="68" t="n"/>
      <c r="J200" s="69" t="n"/>
      <c r="K200" s="69" t="inlineStr">
        <is>
          <t>https://amazon.com/dp/B0FN7RYXGM</t>
        </is>
      </c>
      <c r="L200" s="114">
        <f>HYPERLINK(Table3660[[#This Row],[Column1]])</f>
        <v/>
      </c>
    </row>
    <row r="201" ht="45" customHeight="1" s="314">
      <c r="A201" s="35" t="inlineStr">
        <is>
          <t>Launch X431 PRO Dyno Bidirectional Scan Tool, ECU Coding Online Offline, 38 HOT Services, CANFD DoIP, FCA SGW, 8 Expansion Modules</t>
        </is>
      </c>
      <c r="B201" s="35" t="inlineStr">
        <is>
          <t>B0F3D296G2</t>
        </is>
      </c>
      <c r="C201" s="35" t="inlineStr">
        <is>
          <t>Tablet</t>
        </is>
      </c>
      <c r="D201" s="359" t="n">
        <v>431.46</v>
      </c>
      <c r="E201" s="66" t="n">
        <v>6673.500000000001</v>
      </c>
      <c r="F201" s="67" t="n">
        <v>431.46</v>
      </c>
      <c r="G201" s="68" t="n">
        <v>8</v>
      </c>
      <c r="H201" s="68" t="n">
        <v>1</v>
      </c>
      <c r="I201" s="68" t="n">
        <v>1</v>
      </c>
      <c r="J201" s="69" t="n">
        <v>5</v>
      </c>
      <c r="K201" s="69" t="inlineStr">
        <is>
          <t>https://amazon.com/dp/B0F3D296G2</t>
        </is>
      </c>
      <c r="L201" s="114">
        <f>HYPERLINK(Table3660[[#This Row],[Column1]])</f>
        <v/>
      </c>
    </row>
    <row r="202" ht="45" customHeight="1" s="314">
      <c r="A202" s="35" t="inlineStr">
        <is>
          <t>2026 LAUNCH CRP909E Elite OBD2 Scanner, OE-Level Full System Car Diagnostic Tool, 28+ Reset Service, Injector Code, SAS, ABS Bleeding, Auto VIN, 2 Years Free Update</t>
        </is>
      </c>
      <c r="B202" s="35" t="inlineStr">
        <is>
          <t>B089Y3T3BJ</t>
        </is>
      </c>
      <c r="C202" s="35" t="inlineStr">
        <is>
          <t>Tablet</t>
        </is>
      </c>
      <c r="D202" s="359" t="n">
        <v>398.75</v>
      </c>
      <c r="E202" s="66" t="n">
        <v>5116.675384615383</v>
      </c>
      <c r="F202" s="67" t="n">
        <v>398.75</v>
      </c>
      <c r="G202" s="68" t="n">
        <v>6</v>
      </c>
      <c r="H202" s="68" t="n">
        <v>1</v>
      </c>
      <c r="I202" s="68" t="n">
        <v>95</v>
      </c>
      <c r="J202" s="69" t="n">
        <v>4.2</v>
      </c>
      <c r="K202" s="69" t="inlineStr">
        <is>
          <t>https://amazon.com/dp/B089Y3T3BJ</t>
        </is>
      </c>
      <c r="L202" s="114">
        <f>HYPERLINK(Table3660[[#This Row],[Column1]])</f>
        <v/>
      </c>
    </row>
    <row r="203" ht="30" customHeight="1" s="314">
      <c r="A203" s="35" t="inlineStr">
        <is>
          <t>OBD2 Scanner, LAUNCH Millennium 90 Pro Car Code Reader DIY Full OBDII Scanner Check Engine/ABS/SRS/Transmission Diagnostic Scan Tool, Oil/EPB/BMS/DPF/SAS Reset/ABS Brake Bleed Car Scanner, Free Update</t>
        </is>
      </c>
      <c r="B203" s="35" t="inlineStr">
        <is>
          <t>B08KDLMSM2</t>
        </is>
      </c>
      <c r="C203" s="35" t="inlineStr">
        <is>
          <t>Handheld</t>
        </is>
      </c>
      <c r="D203" s="359" t="n">
        <v>132.08</v>
      </c>
      <c r="E203" s="66" t="n">
        <v>9773.960000000001</v>
      </c>
      <c r="F203" s="67" t="n">
        <v>396.24</v>
      </c>
      <c r="G203" s="68" t="n">
        <v>45</v>
      </c>
      <c r="H203" s="68" t="n">
        <v>3</v>
      </c>
      <c r="I203" s="68" t="n">
        <v>173</v>
      </c>
      <c r="J203" s="69" t="n">
        <v>4.4</v>
      </c>
      <c r="K203" s="69" t="inlineStr">
        <is>
          <t>https://amazon.com/dp/B08KDLMSM2</t>
        </is>
      </c>
      <c r="L203" s="114">
        <f>HYPERLINK(Table3660[[#This Row],[Column1]])</f>
        <v/>
      </c>
    </row>
    <row r="204" ht="45" customHeight="1" s="314">
      <c r="A204" s="35" t="inlineStr">
        <is>
          <t>LAUNCH CRP129I V3.0 OBD2 Scanner, 2026 Lifetime Free Update Scan Tool with 12 Reset, ABS Bleeding/TPMS/Oil/EPB/SAS/BMS/Adblue/Headlamp/Throttle Reset, Injector Coding, Auto VIN, Battery Test</t>
        </is>
      </c>
      <c r="B204" s="35" t="inlineStr">
        <is>
          <t>B0CDRMHDJX</t>
        </is>
      </c>
      <c r="C204" s="35" t="inlineStr">
        <is>
          <t>Tablet</t>
        </is>
      </c>
      <c r="D204" s="359" t="n">
        <v>196.625</v>
      </c>
      <c r="E204" s="66" t="n">
        <v>14442.34</v>
      </c>
      <c r="F204" s="67" t="n">
        <v>393.25</v>
      </c>
      <c r="G204" s="68" t="n">
        <v>58</v>
      </c>
      <c r="H204" s="68" t="n">
        <v>2</v>
      </c>
      <c r="I204" s="68" t="n">
        <v>59</v>
      </c>
      <c r="J204" s="69" t="n">
        <v>4.4</v>
      </c>
      <c r="K204" s="69" t="inlineStr">
        <is>
          <t>https://amazon.com/dp/B0CDRMHDJX</t>
        </is>
      </c>
      <c r="L204" s="114">
        <f>HYPERLINK(Table3660[[#This Row],[Column1]])</f>
        <v/>
      </c>
    </row>
    <row r="205" ht="45" customHeight="1" s="314">
      <c r="A205" s="35" t="inlineStr">
        <is>
          <t>LAUNCH OBD2 Extension Cable, Full 16 Pin Male to Female Extension Cable for Car OBD Diagnostic Extender Cord Connector OBD2 Cable (60CM/23.6Inch)</t>
        </is>
      </c>
      <c r="B205" s="35" t="inlineStr">
        <is>
          <t>B0DKJHML88</t>
        </is>
      </c>
      <c r="C205" s="35" t="inlineStr">
        <is>
          <t>Cable/Adapter</t>
        </is>
      </c>
      <c r="D205" s="359" t="n">
        <v>14.19730769230769</v>
      </c>
      <c r="E205" s="66" t="n">
        <v>4554.12</v>
      </c>
      <c r="F205" s="67" t="n">
        <v>369.13</v>
      </c>
      <c r="G205" s="68" t="n">
        <v>326</v>
      </c>
      <c r="H205" s="68" t="n">
        <v>26</v>
      </c>
      <c r="I205" s="68" t="n">
        <v>10</v>
      </c>
      <c r="J205" s="69" t="n">
        <v>4.9</v>
      </c>
      <c r="K205" s="69" t="inlineStr">
        <is>
          <t>https://amazon.com/dp/B0DKJHML88</t>
        </is>
      </c>
      <c r="L205" s="114">
        <f>HYPERLINK(Table3660[[#This Row],[Column1]])</f>
        <v/>
      </c>
    </row>
    <row r="206" ht="45" customHeight="1" s="314">
      <c r="A206" s="35" t="inlineStr">
        <is>
          <t>LAUNCH X431 CSL12+8 Original OBD2 Adapter Fit for Chrysler 12+8 Programming Cable Connector, FCA Bypass Gateway Protocol OBDII Cable - 14.8 inches/37.5 cm</t>
        </is>
      </c>
      <c r="B206" s="35" t="inlineStr">
        <is>
          <t>B0DQKCKR5J</t>
        </is>
      </c>
      <c r="C206" s="35" t="inlineStr">
        <is>
          <t>Cable/Adapter</t>
        </is>
      </c>
      <c r="D206" s="359" t="n">
        <v>29.87666666666667</v>
      </c>
      <c r="E206" s="66" t="n">
        <v>5323.113076923078</v>
      </c>
      <c r="F206" s="67" t="n">
        <v>358.52</v>
      </c>
      <c r="G206" s="68" t="n">
        <v>156</v>
      </c>
      <c r="H206" s="68" t="n">
        <v>12</v>
      </c>
      <c r="I206" s="68" t="n">
        <v>5</v>
      </c>
      <c r="J206" s="69" t="n">
        <v>3.9</v>
      </c>
      <c r="K206" s="69" t="inlineStr">
        <is>
          <t>https://amazon.com/dp/B0DQKCKR5J</t>
        </is>
      </c>
      <c r="L206" s="114">
        <f>HYPERLINK(Table3660[[#This Row],[Column1]])</f>
        <v/>
      </c>
    </row>
    <row r="207" ht="45" customHeight="1" s="314">
      <c r="A207" s="35" t="inlineStr">
        <is>
          <t>LAUNCH CAN FD Connector Adapter Cable for CRP Series Scan Tool, Compatible with Creader Professional OBD2 Scanners CRP123X/E/I V3.0, CRP129X/E/I V3.0, CRP129X/E/I Plus V3.0, CRP919X/E Lite</t>
        </is>
      </c>
      <c r="B207" s="35" t="inlineStr">
        <is>
          <t>B0GQZH4WNM</t>
        </is>
      </c>
      <c r="C207" s="35" t="inlineStr">
        <is>
          <t>Tablet</t>
        </is>
      </c>
      <c r="D207" s="359" t="n">
        <v>108.44</v>
      </c>
      <c r="E207" s="66" t="n">
        <v>3727.559230769231</v>
      </c>
      <c r="F207" s="67" t="n">
        <v>325.32</v>
      </c>
      <c r="G207" s="68" t="n">
        <v>4</v>
      </c>
      <c r="H207" s="68" t="n">
        <v>3</v>
      </c>
      <c r="I207" s="68" t="n"/>
      <c r="J207" s="69" t="n"/>
      <c r="K207" s="69" t="inlineStr">
        <is>
          <t>https://amazon.com/dp/B0GQZH4WNM</t>
        </is>
      </c>
      <c r="L207" s="114">
        <f>HYPERLINK(Table3660[[#This Row],[Column1]])</f>
        <v/>
      </c>
    </row>
    <row r="208" ht="45" customHeight="1" s="314">
      <c r="A208" s="35" t="inlineStr">
        <is>
          <t>LAUNCH X-431 VSP-100 Endoscope Work with X-431 Tablet 5.5mm Ultra-Thin Digital HD USB Video Inspection Camera Multi-Angle Imaging One-Click Snapshot IP67 Waterproof Borescope Videoscope</t>
        </is>
      </c>
      <c r="B208" s="35" t="inlineStr">
        <is>
          <t>B0FDK1BNPW</t>
        </is>
      </c>
      <c r="C208" s="35" t="inlineStr">
        <is>
          <t>Other</t>
        </is>
      </c>
      <c r="D208" s="359" t="n">
        <v>50.83333333333334</v>
      </c>
      <c r="E208" s="66" t="n">
        <v>2779.895384615385</v>
      </c>
      <c r="F208" s="67" t="n">
        <v>305</v>
      </c>
      <c r="G208" s="68" t="n">
        <v>39</v>
      </c>
      <c r="H208" s="68" t="n">
        <v>6</v>
      </c>
      <c r="I208" s="68" t="n">
        <v>3</v>
      </c>
      <c r="J208" s="69" t="n">
        <v>5</v>
      </c>
      <c r="K208" s="69" t="inlineStr">
        <is>
          <t>https://amazon.com/dp/B0FDK1BNPW</t>
        </is>
      </c>
      <c r="L208" s="114">
        <f>HYPERLINK(Table3660[[#This Row],[Column1]])</f>
        <v/>
      </c>
    </row>
    <row r="209" ht="17" customHeight="1" s="314">
      <c r="A209" s="35" t="inlineStr">
        <is>
          <t>Launch OBD2 Scanner</t>
        </is>
      </c>
      <c r="B209" s="35" t="inlineStr">
        <is>
          <t>B08DV79QMN</t>
        </is>
      </c>
      <c r="C209" s="35" t="inlineStr">
        <is>
          <t>Handheld</t>
        </is>
      </c>
      <c r="D209" s="359" t="n">
        <v>73.2</v>
      </c>
      <c r="E209" s="66" t="n">
        <v>2822.870769230769</v>
      </c>
      <c r="F209" s="67" t="n">
        <v>292.8</v>
      </c>
      <c r="G209" s="68" t="n">
        <v>18</v>
      </c>
      <c r="H209" s="68" t="n">
        <v>4</v>
      </c>
      <c r="I209" s="68" t="n">
        <v>1</v>
      </c>
      <c r="J209" s="69" t="n">
        <v>5</v>
      </c>
      <c r="K209" s="69" t="inlineStr">
        <is>
          <t>https://amazon.com/dp/B08DV79QMN</t>
        </is>
      </c>
      <c r="L209" s="114">
        <f>HYPERLINK(Table3660[[#This Row],[Column1]])</f>
        <v/>
      </c>
    </row>
    <row r="210" ht="60" customHeight="1" s="314">
      <c r="A210" s="35" t="inlineStr">
        <is>
          <t>Launch CRP 123X Plus 2026 OBD2 Scanner Diagnostic Tool, All System Car Scan Tool Lifetime F.Ree Update, Oil Reset, SAS Calibration, Throttle Adaptation, Auto VIN, Battery Test, Upgraded of CRP123X</t>
        </is>
      </c>
      <c r="B210" s="35" t="inlineStr">
        <is>
          <t>B0GS274MRY</t>
        </is>
      </c>
      <c r="C210" s="35" t="inlineStr">
        <is>
          <t>Tablet</t>
        </is>
      </c>
      <c r="D210" s="359" t="n">
        <v>286.66</v>
      </c>
      <c r="E210" s="66" t="n">
        <v>3461.970769230768</v>
      </c>
      <c r="F210" s="67" t="n">
        <v>286.66</v>
      </c>
      <c r="G210" s="68" t="n">
        <v>1</v>
      </c>
      <c r="H210" s="68" t="n">
        <v>1</v>
      </c>
      <c r="I210" s="68" t="n"/>
      <c r="J210" s="69" t="n"/>
      <c r="K210" s="69" t="inlineStr">
        <is>
          <t>https://amazon.com/dp/B0GS274MRY</t>
        </is>
      </c>
      <c r="L210" s="114">
        <f>HYPERLINK(Table3660[[#This Row],[Column1]])</f>
        <v/>
      </c>
    </row>
    <row r="211" ht="45" customHeight="1" s="314">
      <c r="A211" s="35" t="inlineStr">
        <is>
          <t>LAUNCH Non-16 Pin Adapter Kit Work for LAUNCH CRP919E BT/ CRP919X BT X431 [X431 V/PROS, X431 V/V+ PRO S+/3S+/5/Mini, PAD III/V/VII] OE-Standard Connectors for 1996-2002 Vehicles</t>
        </is>
      </c>
      <c r="B211" s="35" t="inlineStr">
        <is>
          <t>B0D6276F4J</t>
        </is>
      </c>
      <c r="C211" s="35" t="inlineStr">
        <is>
          <t>Cable/Adapter</t>
        </is>
      </c>
      <c r="D211" s="359" t="n">
        <v>142.78</v>
      </c>
      <c r="E211" s="66" t="n">
        <v>2792.755384615385</v>
      </c>
      <c r="F211" s="67" t="n">
        <v>285.56</v>
      </c>
      <c r="G211" s="68" t="n">
        <v>13</v>
      </c>
      <c r="H211" s="68" t="n">
        <v>2</v>
      </c>
      <c r="I211" s="68" t="n">
        <v>1</v>
      </c>
      <c r="J211" s="69" t="n">
        <v>5</v>
      </c>
      <c r="K211" s="69" t="inlineStr">
        <is>
          <t>https://amazon.com/dp/B0D6276F4J</t>
        </is>
      </c>
      <c r="L211" s="114">
        <f>HYPERLINK(Table3660[[#This Row],[Column1]])</f>
        <v/>
      </c>
    </row>
    <row r="212" ht="30" customHeight="1" s="314">
      <c r="A212" s="35" t="inlineStr">
        <is>
          <t>NEW 2026 LAUNCH Scanner International Heavy Duty Truck Cummins MAXXFORCE Diagnostic Scan Tool, Actuation Test,Coding,Special Functions, Full System Diagnosis,Lifetime Free Upgrade</t>
        </is>
      </c>
      <c r="B212" s="35" t="inlineStr">
        <is>
          <t>B0DCNN3ZT5</t>
        </is>
      </c>
      <c r="C212" s="35" t="inlineStr">
        <is>
          <t>Tablet</t>
        </is>
      </c>
      <c r="D212" s="359" t="n">
        <v>277.97</v>
      </c>
      <c r="E212" s="66" t="n">
        <v>12209</v>
      </c>
      <c r="F212" s="67" t="n">
        <v>277.97</v>
      </c>
      <c r="G212" s="68" t="n">
        <v>28</v>
      </c>
      <c r="H212" s="68" t="n">
        <v>1</v>
      </c>
      <c r="I212" s="68" t="n">
        <v>2</v>
      </c>
      <c r="J212" s="69" t="n">
        <v>2.5</v>
      </c>
      <c r="K212" s="69" t="inlineStr">
        <is>
          <t>https://amazon.com/dp/B0DCNN3ZT5</t>
        </is>
      </c>
      <c r="L212" s="114">
        <f>HYPERLINK(Table3660[[#This Row],[Column1]])</f>
        <v/>
      </c>
    </row>
    <row r="213" ht="45" customHeight="1" s="314">
      <c r="A213" s="35" t="inlineStr">
        <is>
          <t>LAUNCH Original Main Cable Fit for X431 CRP123i, CRP123e, CRP123x, CRP129i, CRP129e, CRP129x OBD2 Replacement Cable - Black</t>
        </is>
      </c>
      <c r="B213" s="35" t="inlineStr">
        <is>
          <t>B0DQY5KS5C</t>
        </is>
      </c>
      <c r="C213" s="35" t="inlineStr">
        <is>
          <t>Cable/Adapter</t>
        </is>
      </c>
      <c r="D213" s="359" t="n">
        <v>27.04444444444444</v>
      </c>
      <c r="E213" s="66" t="n">
        <v>2242.54</v>
      </c>
      <c r="F213" s="67" t="n">
        <v>243.4</v>
      </c>
      <c r="G213" s="68" t="n">
        <v>81</v>
      </c>
      <c r="H213" s="68" t="n">
        <v>9</v>
      </c>
      <c r="I213" s="68" t="n">
        <v>50</v>
      </c>
      <c r="J213" s="69" t="n">
        <v>4.7</v>
      </c>
      <c r="K213" s="69" t="inlineStr">
        <is>
          <t>https://amazon.com/dp/B0DQY5KS5C</t>
        </is>
      </c>
      <c r="L213" s="114">
        <f>HYPERLINK(Table3660[[#This Row],[Column1]])</f>
        <v/>
      </c>
    </row>
    <row r="214" ht="45" customHeight="1" s="314">
      <c r="A214" s="35" t="inlineStr">
        <is>
          <t>LAUNCH Original Diagnostic Cable with External Power Port DR15 Female to OBD2 16 Pin Famale Work for LAUNCH OBD1 Adapter</t>
        </is>
      </c>
      <c r="B214" s="35" t="inlineStr">
        <is>
          <t>B0DX6XPGQX</t>
        </is>
      </c>
      <c r="C214" s="35" t="inlineStr">
        <is>
          <t>OBD1</t>
        </is>
      </c>
      <c r="D214" s="359" t="n">
        <v>19.88583333333333</v>
      </c>
      <c r="E214" s="66" t="n">
        <v>2461.058461538461</v>
      </c>
      <c r="F214" s="67" t="n">
        <v>238.63</v>
      </c>
      <c r="G214" s="68" t="n">
        <v>13</v>
      </c>
      <c r="H214" s="68" t="n">
        <v>12</v>
      </c>
      <c r="I214" s="68" t="n">
        <v>1</v>
      </c>
      <c r="J214" s="69" t="n">
        <v>5</v>
      </c>
      <c r="K214" s="69" t="inlineStr">
        <is>
          <t>https://amazon.com/dp/B0DX6XPGQX</t>
        </is>
      </c>
      <c r="L214" s="114">
        <f>HYPERLINK(Table3660[[#This Row],[Column1]])</f>
        <v/>
      </c>
    </row>
    <row r="215" ht="45" customHeight="1" s="314">
      <c r="A215" s="35" t="inlineStr">
        <is>
          <t>LAUNCH Elite ABS Bleeding Scan Tool,Engine Transmission ABS SRS OBD2 Scanner Diagnostic Tool,Throttle Reset Code Reader,Lifetime Online Update,4'' Touch Screen,AUTO VIN,Battery Test,Live Data Graph</t>
        </is>
      </c>
      <c r="B215" s="35" t="inlineStr">
        <is>
          <t>B09CYFY2VD</t>
        </is>
      </c>
      <c r="C215" s="35" t="inlineStr">
        <is>
          <t>Handheld</t>
        </is>
      </c>
      <c r="D215" s="359" t="n">
        <v>114.555</v>
      </c>
      <c r="E215" s="66" t="n">
        <v>5481.05</v>
      </c>
      <c r="F215" s="67" t="n">
        <v>229.11</v>
      </c>
      <c r="G215" s="68" t="n">
        <v>52</v>
      </c>
      <c r="H215" s="68" t="n">
        <v>2</v>
      </c>
      <c r="I215" s="68" t="n">
        <v>100</v>
      </c>
      <c r="J215" s="69" t="n">
        <v>3.1</v>
      </c>
      <c r="K215" s="69" t="inlineStr">
        <is>
          <t>https://amazon.com/dp/B09CYFY2VD</t>
        </is>
      </c>
      <c r="L215" s="114">
        <f>HYPERLINK(Table3660[[#This Row],[Column1]])</f>
        <v/>
      </c>
    </row>
    <row r="216" ht="30" customHeight="1" s="314">
      <c r="A216" s="35" t="inlineStr">
        <is>
          <t>LAUNCH 301050231 CRP 123 Premium</t>
        </is>
      </c>
      <c r="B216" s="35" t="inlineStr">
        <is>
          <t>B01N480P72</t>
        </is>
      </c>
      <c r="C216" s="35" t="inlineStr">
        <is>
          <t>Tablet</t>
        </is>
      </c>
      <c r="D216" s="359" t="n">
        <v>210.29</v>
      </c>
      <c r="E216" s="66" t="n">
        <v>1424.98</v>
      </c>
      <c r="F216" s="67" t="n">
        <v>210.29</v>
      </c>
      <c r="G216" s="68" t="n">
        <v>8</v>
      </c>
      <c r="H216" s="68" t="n">
        <v>1</v>
      </c>
      <c r="I216" s="68" t="n">
        <v>221</v>
      </c>
      <c r="J216" s="69" t="n">
        <v>4</v>
      </c>
      <c r="K216" s="69" t="inlineStr">
        <is>
          <t>https://amazon.com/dp/B01N480P72</t>
        </is>
      </c>
      <c r="L216" s="114">
        <f>HYPERLINK(Table3660[[#This Row],[Column1]])</f>
        <v/>
      </c>
    </row>
    <row r="217" ht="45" customHeight="1" s="314">
      <c r="A217" s="35" t="inlineStr">
        <is>
          <t>LAUNCH CRP123E Plus OBD2 Scanner, All System Car Diagnostic Scan Tool with Oil Reset, SAS Calibration, Throttle Adaptation,Battery Test, Auto Vin, FCA Autoauth, Lifetime Free Update</t>
        </is>
      </c>
      <c r="B217" s="35" t="inlineStr">
        <is>
          <t>B0DKHL3V7V</t>
        </is>
      </c>
      <c r="C217" s="35" t="inlineStr">
        <is>
          <t>Tablet</t>
        </is>
      </c>
      <c r="D217" s="359" t="n">
        <v>207.13</v>
      </c>
      <c r="E217" s="66" t="n">
        <v>11336.82692307692</v>
      </c>
      <c r="F217" s="67" t="n">
        <v>207.13</v>
      </c>
      <c r="G217" s="68" t="n">
        <v>46</v>
      </c>
      <c r="H217" s="68" t="n">
        <v>1</v>
      </c>
      <c r="I217" s="68" t="n">
        <v>12</v>
      </c>
      <c r="J217" s="69" t="n">
        <v>3.5</v>
      </c>
      <c r="K217" s="69" t="inlineStr">
        <is>
          <t>https://amazon.com/dp/B0DKHL3V7V</t>
        </is>
      </c>
      <c r="L217" s="114">
        <f>HYPERLINK(Table3660[[#This Row],[Column1]])</f>
        <v/>
      </c>
    </row>
    <row r="218" ht="45" customHeight="1" s="314">
      <c r="A218" s="35" t="inlineStr">
        <is>
          <t>LAUNCH CRP DoIP Connector Adapter Cable with USB-C and 16-Pin Male to DB-15 Female Connector for Creader Professional CRP Series Diagnostic Scanner</t>
        </is>
      </c>
      <c r="B218" s="35" t="inlineStr">
        <is>
          <t>B0GKF648YW</t>
        </is>
      </c>
      <c r="C218" s="35" t="inlineStr">
        <is>
          <t>Cable/Adapter</t>
        </is>
      </c>
      <c r="D218" s="359" t="n">
        <v>99.955</v>
      </c>
      <c r="E218" s="66" t="n">
        <v>2414.297692307693</v>
      </c>
      <c r="F218" s="67" t="n">
        <v>199.91</v>
      </c>
      <c r="G218" s="68" t="n">
        <v>2</v>
      </c>
      <c r="H218" s="68" t="n">
        <v>2</v>
      </c>
      <c r="I218" s="68" t="n"/>
      <c r="J218" s="69" t="n"/>
      <c r="K218" s="69" t="inlineStr">
        <is>
          <t>https://amazon.com/dp/B0GKF648YW</t>
        </is>
      </c>
      <c r="L218" s="114">
        <f>HYPERLINK(Table3660[[#This Row],[Column1]])</f>
        <v/>
      </c>
    </row>
    <row r="219" ht="30" customHeight="1" s="314">
      <c r="A219" s="35" t="inlineStr">
        <is>
          <t>LAUNCH OBD2 Scanner CRP123I V3.0, 2026 Lifetime Free WiFi Update Scan Tool, FCA SGW, CANFD&amp;DoIP, Oil/ABS/SAS/Throttle/Brake/BMS/DPF Service Multi Systems Car Scanner, Battery Test, Auto VIN</t>
        </is>
      </c>
      <c r="B219" s="35" t="inlineStr">
        <is>
          <t>B08B7VWX7P</t>
        </is>
      </c>
      <c r="C219" s="35" t="inlineStr">
        <is>
          <t>Tablet</t>
        </is>
      </c>
      <c r="D219" s="359" t="n">
        <v>199.33</v>
      </c>
      <c r="E219" s="66" t="n">
        <v>2678.84</v>
      </c>
      <c r="F219" s="67" t="n">
        <v>199.33</v>
      </c>
      <c r="G219" s="68" t="n">
        <v>17</v>
      </c>
      <c r="H219" s="68" t="n">
        <v>1</v>
      </c>
      <c r="I219" s="68" t="n">
        <v>495</v>
      </c>
      <c r="J219" s="69" t="n">
        <v>4.2</v>
      </c>
      <c r="K219" s="69" t="inlineStr">
        <is>
          <t>https://amazon.com/dp/B08B7VWX7P</t>
        </is>
      </c>
      <c r="L219" s="114">
        <f>HYPERLINK(Table3660[[#This Row],[Column1]])</f>
        <v/>
      </c>
    </row>
    <row r="220" ht="30" customHeight="1" s="314">
      <c r="A220" s="35" t="inlineStr">
        <is>
          <t>LAUNCH Original Canvas Bag for X431 CRP123, CRP123I, CRP123E, CRP123X, CRP129, CRP129I, CRP129E, CRP129X, Creader VII+, Creader VIII OBD2 Scanner Replacement Carrying Bag</t>
        </is>
      </c>
      <c r="B220" s="35" t="inlineStr">
        <is>
          <t>B0DRFBYKNN</t>
        </is>
      </c>
      <c r="C220" s="35" t="inlineStr">
        <is>
          <t>Other</t>
        </is>
      </c>
      <c r="D220" s="359" t="n">
        <v>20.47111111111111</v>
      </c>
      <c r="E220" s="66" t="n">
        <v>1852.58</v>
      </c>
      <c r="F220" s="67" t="n">
        <v>184.24</v>
      </c>
      <c r="G220" s="68" t="n">
        <v>92</v>
      </c>
      <c r="H220" s="68" t="n">
        <v>9</v>
      </c>
      <c r="I220" s="68" t="n">
        <v>9</v>
      </c>
      <c r="J220" s="69" t="n">
        <v>5</v>
      </c>
      <c r="K220" s="69" t="inlineStr">
        <is>
          <t>https://amazon.com/dp/B0DRFBYKNN</t>
        </is>
      </c>
      <c r="L220" s="114">
        <f>HYPERLINK(Table3660[[#This Row],[Column1]])</f>
        <v/>
      </c>
    </row>
    <row r="221" ht="45" customHeight="1" s="314">
      <c r="A221" s="35" t="inlineStr">
        <is>
          <t>LAUNCH Original Diagnostic Cable for DBSCar VII VCI Connector, DR15 Female to DR15 Female Replacement Cable Work with X431 CRP919EBT, CRP919XBT, PROS V+5.0 Elite, PRO3 ACE, PRO Dyno</t>
        </is>
      </c>
      <c r="B221" s="35" t="inlineStr">
        <is>
          <t>B0D8PGZHF8</t>
        </is>
      </c>
      <c r="C221" s="35" t="inlineStr">
        <is>
          <t>Cable/Adapter</t>
        </is>
      </c>
      <c r="D221" s="359" t="n">
        <v>26.56833333333333</v>
      </c>
      <c r="E221" s="66" t="n">
        <v>1343.47</v>
      </c>
      <c r="F221" s="67" t="n">
        <v>159.41</v>
      </c>
      <c r="G221" s="68" t="n">
        <v>50</v>
      </c>
      <c r="H221" s="68" t="n">
        <v>6</v>
      </c>
      <c r="I221" s="68" t="n">
        <v>2</v>
      </c>
      <c r="J221" s="69" t="n">
        <v>4.5</v>
      </c>
      <c r="K221" s="69" t="inlineStr">
        <is>
          <t>https://amazon.com/dp/B0D8PGZHF8</t>
        </is>
      </c>
      <c r="L221" s="114">
        <f>HYPERLINK(Table3660[[#This Row],[Column1]])</f>
        <v/>
      </c>
    </row>
    <row r="222" ht="17" customHeight="1" s="314">
      <c r="A222" s="35" t="inlineStr">
        <is>
          <t>LAUNCH (301050139 CReader VII Code Reader with Oil Light Reset</t>
        </is>
      </c>
      <c r="B222" s="35" t="inlineStr">
        <is>
          <t>B00GNO6L7S</t>
        </is>
      </c>
      <c r="C222" s="35" t="inlineStr">
        <is>
          <t>Handheld</t>
        </is>
      </c>
      <c r="D222" s="359" t="n">
        <v>74.69</v>
      </c>
      <c r="E222" s="66" t="n">
        <v>3066.55</v>
      </c>
      <c r="F222" s="67" t="n">
        <v>149.38</v>
      </c>
      <c r="G222" s="68" t="n">
        <v>43</v>
      </c>
      <c r="H222" s="68" t="n">
        <v>2</v>
      </c>
      <c r="I222" s="68" t="n">
        <v>53</v>
      </c>
      <c r="J222" s="69" t="n">
        <v>4.1</v>
      </c>
      <c r="K222" s="69" t="inlineStr">
        <is>
          <t>https://amazon.com/dp/B00GNO6L7S</t>
        </is>
      </c>
      <c r="L222" s="114">
        <f>HYPERLINK(Table3660[[#This Row],[Column1]])</f>
        <v/>
      </c>
    </row>
    <row r="223" ht="17" customHeight="1" s="314">
      <c r="A223" s="35" t="inlineStr">
        <is>
          <t>LAUNCH SmartLink OBD2 Scanner Extension Cable with RJ45 to DB9/OBD2 Female Adapter, 23cm Compatible with X431 V+, CRP123, Diagun V for iPhone iPad Android, Bi-Directional Controls &amp; ECU Coding</t>
        </is>
      </c>
      <c r="B223" s="35" t="inlineStr">
        <is>
          <t>B0G49TTMTJ</t>
        </is>
      </c>
      <c r="C223" s="35" t="inlineStr">
        <is>
          <t>Tablet</t>
        </is>
      </c>
      <c r="D223" s="359" t="n">
        <v>56.19</v>
      </c>
      <c r="E223" s="66" t="n">
        <v>1299.439230769231</v>
      </c>
      <c r="F223" s="67" t="n">
        <v>112.38</v>
      </c>
      <c r="G223" s="68" t="n">
        <v>3</v>
      </c>
      <c r="H223" s="68" t="n">
        <v>2</v>
      </c>
      <c r="I223" s="68" t="n"/>
      <c r="J223" s="69" t="n"/>
      <c r="K223" s="69" t="inlineStr">
        <is>
          <t>https://amazon.com/dp/B0G49TTMTJ</t>
        </is>
      </c>
      <c r="L223" s="114">
        <f>HYPERLINK(Table3660[[#This Row],[Column1]])</f>
        <v/>
      </c>
    </row>
    <row r="224" ht="45" customHeight="1" s="314">
      <c r="A224" s="35" t="inlineStr">
        <is>
          <t>Launch Creader 200 OBD2 Scanner 2025 Engine/ABS/SRS/Transmission Car Diagnostic Scan Tool, 4 System Code Reader, Auto Vin, Full OBD2 Function, Lifetime Free Update</t>
        </is>
      </c>
      <c r="B224" s="35" t="inlineStr">
        <is>
          <t>B0F7QLD4PV</t>
        </is>
      </c>
      <c r="C224" s="35" t="inlineStr">
        <is>
          <t>Tablet</t>
        </is>
      </c>
      <c r="D224" s="359" t="n">
        <v>107.9</v>
      </c>
      <c r="E224" s="66" t="n">
        <v>6212.35</v>
      </c>
      <c r="F224" s="67" t="n">
        <v>107.9</v>
      </c>
      <c r="G224" s="68" t="n">
        <v>67</v>
      </c>
      <c r="H224" s="68" t="n">
        <v>1</v>
      </c>
      <c r="I224" s="68" t="n">
        <v>4</v>
      </c>
      <c r="J224" s="69" t="n">
        <v>2.9</v>
      </c>
      <c r="K224" s="69" t="inlineStr">
        <is>
          <t>https://amazon.com/dp/B0F7QLD4PV</t>
        </is>
      </c>
      <c r="L224" s="114">
        <f>HYPERLINK(Table3660[[#This Row],[Column1]])</f>
        <v/>
      </c>
    </row>
    <row r="225" ht="45" customHeight="1" s="314">
      <c r="A225" s="35" t="inlineStr">
        <is>
          <t>Launch OBD2 Scanner CRP123I V3.0 Elite, 2026 Lifetime Free WiFi Update Scan Tool, FCA SGW, CANFD&amp;DoIP, SAS/Throttle/Brake/BMS/D-P-F/Oil/ABS Service Multi Systems Car Scanner, Battery Test, Auto VIN</t>
        </is>
      </c>
      <c r="B225" s="35" t="inlineStr">
        <is>
          <t>B0FPXSL6N1</t>
        </is>
      </c>
      <c r="C225" s="35" t="inlineStr">
        <is>
          <t>Tablet</t>
        </is>
      </c>
      <c r="D225" s="359" t="n">
        <v>105.36</v>
      </c>
      <c r="E225" s="66" t="n">
        <v>1236.917692307692</v>
      </c>
      <c r="F225" s="67" t="n">
        <v>105.36</v>
      </c>
      <c r="G225" s="68" t="n">
        <v>4</v>
      </c>
      <c r="H225" s="68" t="n">
        <v>1</v>
      </c>
      <c r="I225" s="68" t="n"/>
      <c r="J225" s="69" t="n"/>
      <c r="K225" s="69" t="inlineStr">
        <is>
          <t>https://amazon.com/dp/B0FPXSL6N1</t>
        </is>
      </c>
      <c r="L225" s="114">
        <f>HYPERLINK(Table3660[[#This Row],[Column1]])</f>
        <v/>
      </c>
    </row>
    <row r="226" ht="45" customHeight="1" s="314">
      <c r="A226" s="35" t="inlineStr">
        <is>
          <t>LAUNCH OBD2 Extension Cable, Full 16 Pin Male to Female Extension Cable for Car OBD Diagnostic Extender Cord Connector OBD2 Cable (36CM/14.2Inch)</t>
        </is>
      </c>
      <c r="B226" s="35" t="inlineStr">
        <is>
          <t>B0DKP276HJ</t>
        </is>
      </c>
      <c r="C226" s="35" t="inlineStr">
        <is>
          <t>Cable/Adapter</t>
        </is>
      </c>
      <c r="D226" s="359" t="n">
        <v>10.438</v>
      </c>
      <c r="E226" s="66" t="n">
        <v>2675.83</v>
      </c>
      <c r="F226" s="67" t="n">
        <v>104.38</v>
      </c>
      <c r="G226" s="68" t="n">
        <v>243</v>
      </c>
      <c r="H226" s="68" t="n">
        <v>10</v>
      </c>
      <c r="I226" s="68" t="n">
        <v>14</v>
      </c>
      <c r="J226" s="69" t="n">
        <v>4.4</v>
      </c>
      <c r="K226" s="69" t="inlineStr">
        <is>
          <t>https://amazon.com/dp/B0DKP276HJ</t>
        </is>
      </c>
      <c r="L226" s="114">
        <f>HYPERLINK(Table3660[[#This Row],[Column1]])</f>
        <v/>
      </c>
    </row>
    <row r="227" ht="45" customHeight="1" s="314">
      <c r="A227" s="35" t="inlineStr">
        <is>
          <t>Launch Millennium 30 OBD2 Scanner,Car Code Reader with Full OBD2 Functions,Check Engine Light Car Diagnostic Tool,O2 Sensor/EVAP System/Smog Test/Check I/M Readiness Car Scanner,Lifetime Free Update</t>
        </is>
      </c>
      <c r="B227" s="35" t="inlineStr">
        <is>
          <t>B07L5VQJQB</t>
        </is>
      </c>
      <c r="C227" s="35" t="inlineStr">
        <is>
          <t>Handheld</t>
        </is>
      </c>
      <c r="D227" s="359" t="n">
        <v>32.84</v>
      </c>
      <c r="E227" s="66" t="n">
        <v>738.52</v>
      </c>
      <c r="F227" s="67" t="n">
        <v>98.52</v>
      </c>
      <c r="G227" s="68" t="n">
        <v>21</v>
      </c>
      <c r="H227" s="68" t="n">
        <v>3</v>
      </c>
      <c r="I227" s="68" t="n">
        <v>132</v>
      </c>
      <c r="J227" s="69" t="n">
        <v>3.9</v>
      </c>
      <c r="K227" s="69" t="inlineStr">
        <is>
          <t>https://amazon.com/dp/B07L5VQJQB</t>
        </is>
      </c>
      <c r="L227" s="114">
        <f>HYPERLINK(Table3660[[#This Row],[Column1]])</f>
        <v/>
      </c>
    </row>
    <row r="228" ht="30" customHeight="1" s="314">
      <c r="A228" s="35" t="inlineStr">
        <is>
          <t>LAUNCH Original Main Cable Fit for X431 CRP123i, CRP123e, CRP123x, CRP129i, CRP129e, CRP129x OBD2 Replacement Cable - Yellow</t>
        </is>
      </c>
      <c r="B228" s="35" t="inlineStr">
        <is>
          <t>B0BZ4FF45W</t>
        </is>
      </c>
      <c r="C228" s="35" t="inlineStr">
        <is>
          <t>Cable/Adapter</t>
        </is>
      </c>
      <c r="D228" s="359" t="n">
        <v>31.57</v>
      </c>
      <c r="E228" s="66" t="n">
        <v>3349.84</v>
      </c>
      <c r="F228" s="67" t="n">
        <v>94.70999999999999</v>
      </c>
      <c r="G228" s="68" t="n">
        <v>124</v>
      </c>
      <c r="H228" s="68" t="n">
        <v>3</v>
      </c>
      <c r="I228" s="68" t="n">
        <v>50</v>
      </c>
      <c r="J228" s="69" t="n">
        <v>4.7</v>
      </c>
      <c r="K228" s="69" t="inlineStr">
        <is>
          <t>https://amazon.com/dp/B0BZ4FF45W</t>
        </is>
      </c>
      <c r="L228" s="114">
        <f>HYPERLINK(Table3660[[#This Row],[Column1]])</f>
        <v/>
      </c>
    </row>
    <row r="229" ht="45" customHeight="1" s="314">
      <c r="A229" s="35" t="inlineStr">
        <is>
          <t>LAUNCH TECH USA 301050344 Millennium 80 Reset Tool</t>
        </is>
      </c>
      <c r="B229" s="35" t="inlineStr">
        <is>
          <t>B073WKR8TV</t>
        </is>
      </c>
      <c r="C229" s="35" t="inlineStr">
        <is>
          <t>Handheld</t>
        </is>
      </c>
      <c r="D229" s="359" t="n">
        <v>39.955</v>
      </c>
      <c r="E229" s="66" t="n">
        <v>625.23</v>
      </c>
      <c r="F229" s="67" t="n">
        <v>79.91</v>
      </c>
      <c r="G229" s="68" t="n">
        <v>14</v>
      </c>
      <c r="H229" s="68" t="n">
        <v>2</v>
      </c>
      <c r="I229" s="68" t="n">
        <v>3</v>
      </c>
      <c r="J229" s="69" t="n">
        <v>5</v>
      </c>
      <c r="K229" s="69" t="inlineStr">
        <is>
          <t>https://amazon.com/dp/B073WKR8TV</t>
        </is>
      </c>
      <c r="L229" s="114">
        <f>HYPERLINK(Table3660[[#This Row],[Column1]])</f>
        <v/>
      </c>
    </row>
    <row r="230" ht="45" customHeight="1" s="314">
      <c r="A230" s="35" t="inlineStr">
        <is>
          <t>LAUNCH OBD-II OBD2 Extension Cable, Ultra-Long 4ft 120cm 1.2M, Auto Car 16 Pin Male to Female OBD2 Diagnostic Extender Cord Adapter for All OBD2 Scanners(4ft 120cm 1.2M)</t>
        </is>
      </c>
      <c r="B230" s="35" t="inlineStr">
        <is>
          <t>B0DWXHXJG1</t>
        </is>
      </c>
      <c r="C230" s="35" t="inlineStr">
        <is>
          <t>Cable/Adapter</t>
        </is>
      </c>
      <c r="D230" s="359" t="n">
        <v>16.275</v>
      </c>
      <c r="E230" s="66" t="n">
        <v>1974.41</v>
      </c>
      <c r="F230" s="67" t="n">
        <v>65.09999999999999</v>
      </c>
      <c r="G230" s="68" t="n">
        <v>128</v>
      </c>
      <c r="H230" s="68" t="n">
        <v>4</v>
      </c>
      <c r="I230" s="68" t="n">
        <v>7</v>
      </c>
      <c r="J230" s="69" t="n">
        <v>4.8</v>
      </c>
      <c r="K230" s="69" t="inlineStr">
        <is>
          <t>https://amazon.com/dp/B0DWXHXJG1</t>
        </is>
      </c>
      <c r="L230" s="114">
        <f>HYPERLINK(Table3660[[#This Row],[Column1]])</f>
        <v/>
      </c>
    </row>
    <row r="231" ht="30" customHeight="1" s="314">
      <c r="A231" s="35" t="inlineStr">
        <is>
          <t>LAUNCH CR319 OBD2 Scanner, 2026 Upgrade Ver. Engine Fault Code Reader,Support O2 Sensor,Lifetime Free Update,Scanner for All OBDII Protocol Cars Since 1996</t>
        </is>
      </c>
      <c r="B231" s="35" t="inlineStr">
        <is>
          <t>B07N5ZGJ2M</t>
        </is>
      </c>
      <c r="C231" s="35" t="inlineStr">
        <is>
          <t>Handheld</t>
        </is>
      </c>
      <c r="D231" s="359" t="n">
        <v>32.13</v>
      </c>
      <c r="E231" s="66" t="n">
        <v>610.4469230769231</v>
      </c>
      <c r="F231" s="67" t="n">
        <v>32.13</v>
      </c>
      <c r="G231" s="68" t="n">
        <v>24</v>
      </c>
      <c r="H231" s="68" t="n">
        <v>1</v>
      </c>
      <c r="I231" s="68" t="n">
        <v>736</v>
      </c>
      <c r="J231" s="69" t="n">
        <v>4.2</v>
      </c>
      <c r="K231" s="69" t="inlineStr">
        <is>
          <t>https://amazon.com/dp/B07N5ZGJ2M</t>
        </is>
      </c>
      <c r="L231" s="114">
        <f>HYPERLINK(Table3660[[#This Row],[Column1]])</f>
        <v/>
      </c>
    </row>
    <row r="232" ht="17" customHeight="1" s="314">
      <c r="A232" s="35" t="inlineStr">
        <is>
          <t>LAUNCH Original USB to Micro USB Charging Cable Replacement Connector X-431 OBD2 Diagnostic Scanner</t>
        </is>
      </c>
      <c r="B232" s="35" t="inlineStr">
        <is>
          <t>B0DZXHLQ9K</t>
        </is>
      </c>
      <c r="C232" s="35" t="inlineStr">
        <is>
          <t>Cable/Adapter</t>
        </is>
      </c>
      <c r="D232" s="359" t="n">
        <v>6.4725</v>
      </c>
      <c r="E232" s="66" t="n">
        <v>432.3669230769232</v>
      </c>
      <c r="F232" s="67" t="n">
        <v>25.89</v>
      </c>
      <c r="G232" s="68" t="n">
        <v>57</v>
      </c>
      <c r="H232" s="68" t="n">
        <v>4</v>
      </c>
      <c r="I232" s="68" t="n">
        <v>2</v>
      </c>
      <c r="J232" s="69" t="n">
        <v>5</v>
      </c>
      <c r="K232" s="69" t="inlineStr">
        <is>
          <t>https://amazon.com/dp/B0DZXHLQ9K</t>
        </is>
      </c>
      <c r="L232" s="114">
        <f>HYPERLINK(Table3660[[#This Row],[Column1]])</f>
        <v/>
      </c>
    </row>
    <row r="233" ht="45" customHeight="1" s="314">
      <c r="A233" s="35" t="inlineStr">
        <is>
          <t>LAUNCH Original Main Cable for X-431 CRP123i, CRP123e, CRP123x, CRP129i, CRP129e, CRP129x</t>
        </is>
      </c>
      <c r="B233" s="35" t="inlineStr">
        <is>
          <t>B0DZCGJ4D2</t>
        </is>
      </c>
      <c r="C233" s="35" t="inlineStr">
        <is>
          <t>Other</t>
        </is>
      </c>
      <c r="D233" s="359" t="n">
        <v>21.55</v>
      </c>
      <c r="E233" s="66" t="n">
        <v>443.5523076923077</v>
      </c>
      <c r="F233" s="67" t="n">
        <v>21.55</v>
      </c>
      <c r="G233" s="68" t="n">
        <v>17</v>
      </c>
      <c r="H233" s="68" t="n">
        <v>1</v>
      </c>
      <c r="I233" s="68" t="n"/>
      <c r="J233" s="69" t="n"/>
      <c r="K233" s="69" t="inlineStr">
        <is>
          <t>https://amazon.com/dp/B0DZCGJ4D2</t>
        </is>
      </c>
      <c r="L233" s="114">
        <f>HYPERLINK(Table3660[[#This Row],[Column1]])</f>
        <v/>
      </c>
    </row>
    <row r="234" ht="30" customHeight="1" s="314">
      <c r="A234" s="35" t="inlineStr">
        <is>
          <t>LAUNCH Original OBD1 External Power Supply via Battery Clipper Fit for DR15 Female to OBD2 16 Pin Famale Cable with External Power Port</t>
        </is>
      </c>
      <c r="B234" s="35" t="inlineStr">
        <is>
          <t>B0DXNYBDQP</t>
        </is>
      </c>
      <c r="C234" s="35" t="inlineStr">
        <is>
          <t>Other</t>
        </is>
      </c>
      <c r="D234" s="359" t="n">
        <v>20.15</v>
      </c>
      <c r="E234" s="66" t="n">
        <v>272.41</v>
      </c>
      <c r="F234" s="67" t="n">
        <v>20.15</v>
      </c>
      <c r="G234" s="68" t="n">
        <v>15</v>
      </c>
      <c r="H234" s="68" t="n">
        <v>1</v>
      </c>
      <c r="I234" s="68" t="n"/>
      <c r="J234" s="69" t="n"/>
      <c r="K234" s="69" t="inlineStr">
        <is>
          <t>https://amazon.com/dp/B0DXNYBDQP</t>
        </is>
      </c>
      <c r="L234" s="114">
        <f>HYPERLINK(Table3660[[#This Row],[Column1]])</f>
        <v/>
      </c>
    </row>
    <row r="235" ht="45" customHeight="1" s="314">
      <c r="A235" s="35" t="inlineStr">
        <is>
          <t>LAUNCH Original X-431 OBD2 Extension Cable 16-Pin Male to Female OBDII Extend Adapter for Car OBD Diagnostic Extender Cord Connector - 1.2ft/36.5cm</t>
        </is>
      </c>
      <c r="B235" s="35" t="inlineStr">
        <is>
          <t>B0DWRVQT25</t>
        </is>
      </c>
      <c r="C235" s="35" t="inlineStr">
        <is>
          <t>Cable/Adapter</t>
        </is>
      </c>
      <c r="D235" s="359" t="n">
        <v>11.58</v>
      </c>
      <c r="E235" s="66" t="n">
        <v>294.7</v>
      </c>
      <c r="F235" s="67" t="n">
        <v>11.58</v>
      </c>
      <c r="G235" s="68" t="n">
        <v>27</v>
      </c>
      <c r="H235" s="68" t="n">
        <v>1</v>
      </c>
      <c r="I235" s="68" t="n">
        <v>11</v>
      </c>
      <c r="J235" s="69" t="n">
        <v>4.8</v>
      </c>
      <c r="K235" s="69" t="inlineStr">
        <is>
          <t>https://amazon.com/dp/B0DWRVQT25</t>
        </is>
      </c>
      <c r="L235" s="114">
        <f>HYPERLINK(Table3660[[#This Row],[Column1]])</f>
        <v/>
      </c>
    </row>
    <row r="236" ht="45" customHeight="1" s="314">
      <c r="A236" s="35" t="inlineStr">
        <is>
          <t>LAUNCH Original Adapter for Honda DR15 Male to OBD1 3 Pin Male [Note: Can't Work Alone] for X-431 Diagnostic Scanner</t>
        </is>
      </c>
      <c r="B236" s="35" t="inlineStr">
        <is>
          <t>B0DX6T6JG5</t>
        </is>
      </c>
      <c r="C236" s="35" t="inlineStr">
        <is>
          <t>OBD1</t>
        </is>
      </c>
      <c r="D236" s="359" t="n">
        <v>14.99</v>
      </c>
      <c r="E236" s="66" t="n">
        <v>0</v>
      </c>
      <c r="F236" s="67" t="n">
        <v>0</v>
      </c>
      <c r="G236" s="68" t="n">
        <v>0</v>
      </c>
      <c r="H236" s="68" t="n">
        <v>0</v>
      </c>
      <c r="I236" s="68" t="n"/>
      <c r="J236" s="69" t="n"/>
      <c r="K236" s="69" t="inlineStr">
        <is>
          <t>https://amazon.com/dp/B0DX6T6JG5</t>
        </is>
      </c>
      <c r="L236" s="114">
        <f>HYPERLINK(Table3660[[#This Row],[Column1]])</f>
        <v/>
      </c>
    </row>
    <row r="237" ht="30" customHeight="1" s="314">
      <c r="A237" s="35" t="inlineStr">
        <is>
          <t>LAUNCH CRP 129 HD Heavy Duty Truck Scanner, All System Diesel Diagnostic DP-F Regen Tool 7+Resets/165 Live Graph Data Code Reader for Cummins, Detroit, Freightliner, International, Paccar &amp;More</t>
        </is>
      </c>
      <c r="B237" s="35" t="inlineStr">
        <is>
          <t>B0DPPQ8DWT</t>
        </is>
      </c>
      <c r="C237" s="35" t="inlineStr">
        <is>
          <t>Tablet</t>
        </is>
      </c>
      <c r="D237" s="359" t="n">
        <v>499.99</v>
      </c>
      <c r="E237" s="66" t="n">
        <v>1199.95</v>
      </c>
      <c r="F237" s="67" t="n">
        <v>0</v>
      </c>
      <c r="G237" s="68" t="n">
        <v>2</v>
      </c>
      <c r="H237" s="68" t="n">
        <v>0</v>
      </c>
      <c r="I237" s="68" t="n"/>
      <c r="J237" s="69" t="n"/>
      <c r="K237" s="69" t="inlineStr">
        <is>
          <t>https://amazon.com/dp/B0DPPQ8DWT</t>
        </is>
      </c>
      <c r="L237" s="114">
        <f>HYPERLINK(Table3660[[#This Row],[Column1]])</f>
        <v/>
      </c>
    </row>
    <row r="238" ht="45" customHeight="1" s="314">
      <c r="A238" s="35" t="inlineStr">
        <is>
          <t>Heavy Duty Truck Scanner for Cummins, LAUNCH Elite HD-CM All System/Units Active Test Diesel Vehicle Diagnostic Scan Tool,Reset Special Service, 4-in-1 Live Graph Data Car Scan Tool</t>
        </is>
      </c>
      <c r="B238" s="35" t="inlineStr">
        <is>
          <t>B0DQ4JVGCS</t>
        </is>
      </c>
      <c r="C238" s="35" t="inlineStr">
        <is>
          <t>Tablet</t>
        </is>
      </c>
      <c r="D238" s="359" t="n">
        <v>429.99</v>
      </c>
      <c r="E238" s="66" t="n">
        <v>2756.69</v>
      </c>
      <c r="F238" s="67" t="n">
        <v>0</v>
      </c>
      <c r="G238" s="68" t="n">
        <v>6</v>
      </c>
      <c r="H238" s="68" t="n">
        <v>0</v>
      </c>
      <c r="I238" s="68" t="n"/>
      <c r="J238" s="69" t="n"/>
      <c r="K238" s="69" t="inlineStr">
        <is>
          <t>https://amazon.com/dp/B0DQ4JVGCS</t>
        </is>
      </c>
      <c r="L238" s="114">
        <f>HYPERLINK(Table3660[[#This Row],[Column1]])</f>
        <v/>
      </c>
    </row>
    <row r="239" ht="45" customHeight="1" s="314">
      <c r="A239" s="35" t="inlineStr">
        <is>
          <t>LAUNCH CR319 Full OBD2 Functions Scanner Check Engine Code Reader</t>
        </is>
      </c>
      <c r="B239" s="35" t="inlineStr">
        <is>
          <t>B0FY4TMWHK</t>
        </is>
      </c>
      <c r="C239" s="35" t="inlineStr">
        <is>
          <t>Handheld</t>
        </is>
      </c>
      <c r="D239" s="359" t="n">
        <v>61.11</v>
      </c>
      <c r="E239" s="66" t="n">
        <v>0</v>
      </c>
      <c r="F239" s="67" t="n">
        <v>0</v>
      </c>
      <c r="G239" s="68" t="n">
        <v>0</v>
      </c>
      <c r="H239" s="68" t="n">
        <v>0</v>
      </c>
      <c r="I239" s="68" t="n">
        <v>9</v>
      </c>
      <c r="J239" s="69" t="n">
        <v>4.2</v>
      </c>
      <c r="K239" s="69" t="inlineStr">
        <is>
          <t>https://amazon.com/dp/B0FY4TMWHK</t>
        </is>
      </c>
      <c r="L239" s="114">
        <f>HYPERLINK(Table3660[[#This Row],[Column1]])</f>
        <v/>
      </c>
    </row>
    <row r="240" ht="45" customHeight="1" s="314">
      <c r="A240" s="35" t="inlineStr">
        <is>
          <t>Launch Code Reader, All Systems Bi-Directional Professional Automotive Diagnostic Scan Tool</t>
        </is>
      </c>
      <c r="B240" s="35" t="inlineStr">
        <is>
          <t>B09PBJGBY2</t>
        </is>
      </c>
      <c r="C240" s="35" t="inlineStr">
        <is>
          <t>Tablet</t>
        </is>
      </c>
      <c r="D240" s="359" t="n">
        <v>119</v>
      </c>
      <c r="E240" s="66" t="n">
        <v>507</v>
      </c>
      <c r="F240" s="67" t="n">
        <v>0</v>
      </c>
      <c r="G240" s="68" t="n">
        <v>3</v>
      </c>
      <c r="H240" s="68" t="n">
        <v>0</v>
      </c>
      <c r="I240" s="68" t="n">
        <v>3</v>
      </c>
      <c r="J240" s="69" t="n">
        <v>5</v>
      </c>
      <c r="K240" s="69" t="inlineStr">
        <is>
          <t>https://amazon.com/dp/B09PBJGBY2</t>
        </is>
      </c>
      <c r="L240" s="114">
        <f>HYPERLINK(Table3660[[#This Row],[Column1]])</f>
        <v/>
      </c>
    </row>
    <row r="241" ht="45" customHeight="1" s="314">
      <c r="A241" s="35" t="inlineStr">
        <is>
          <t>LAUNCH TECH USA 301050340 Millennium 40</t>
        </is>
      </c>
      <c r="B241" s="35" t="inlineStr">
        <is>
          <t>B073WKRBVS</t>
        </is>
      </c>
      <c r="C241" s="35" t="inlineStr">
        <is>
          <t>Handheld</t>
        </is>
      </c>
      <c r="D241" s="359" t="n">
        <v>42.74</v>
      </c>
      <c r="E241" s="66" t="n">
        <v>0</v>
      </c>
      <c r="F241" s="67" t="n">
        <v>0</v>
      </c>
      <c r="G241" s="68" t="n">
        <v>0</v>
      </c>
      <c r="H241" s="68" t="n">
        <v>0</v>
      </c>
      <c r="I241" s="68" t="n">
        <v>1</v>
      </c>
      <c r="J241" s="69" t="n">
        <v>5</v>
      </c>
      <c r="K241" s="69" t="inlineStr">
        <is>
          <t>https://amazon.com/dp/B073WKRBVS</t>
        </is>
      </c>
      <c r="L241" s="114">
        <f>HYPERLINK(Table3660[[#This Row],[Column1]])</f>
        <v/>
      </c>
    </row>
    <row r="242" ht="45" customHeight="1" s="314">
      <c r="A242" s="35" t="inlineStr">
        <is>
          <t>LAUNCH Scanner X431 PRO Star Bidirectional Scan Tool, 2026 8 Inch Car Scanner with ECU Coding, CANFD &amp; DOIP Crankshaft Relearn - All System Diagnostic Tool, 38+ Reset, Active Test, FCA Autoauth</t>
        </is>
      </c>
      <c r="B242" s="35" t="inlineStr">
        <is>
          <t>B0D978QJ71</t>
        </is>
      </c>
      <c r="C242" s="35" t="inlineStr">
        <is>
          <t>Tablet</t>
        </is>
      </c>
      <c r="D242" s="359" t="n">
        <v>799</v>
      </c>
      <c r="E242" s="66" t="n">
        <v>16047.28</v>
      </c>
      <c r="F242" s="67" t="n">
        <v>0</v>
      </c>
      <c r="G242" s="68" t="n">
        <v>23</v>
      </c>
      <c r="H242" s="68" t="n">
        <v>0</v>
      </c>
      <c r="I242" s="68" t="n">
        <v>19</v>
      </c>
      <c r="J242" s="69" t="n">
        <v>4.6</v>
      </c>
      <c r="K242" s="69" t="inlineStr">
        <is>
          <t>https://amazon.com/dp/B0D978QJ71</t>
        </is>
      </c>
      <c r="L242" s="114">
        <f>HYPERLINK(Table3660[[#This Row],[Column1]])</f>
        <v/>
      </c>
    </row>
    <row r="243" ht="45" customHeight="1" s="314">
      <c r="A243" s="35" t="inlineStr">
        <is>
          <t>LAUNCH Creader Elite HD-in Heavy Duty Truck Scanner for International with 4 System Diagnosis Actuation Test/DP-F Regen/Live Graph Data/Special Service Diesel Diagnostic Tool Lifetime Free Upgrade</t>
        </is>
      </c>
      <c r="B243" s="35" t="inlineStr">
        <is>
          <t>B0DQ4KT4X8</t>
        </is>
      </c>
      <c r="C243" s="35" t="inlineStr">
        <is>
          <t>Tablet</t>
        </is>
      </c>
      <c r="D243" s="359" t="n">
        <v>429</v>
      </c>
      <c r="E243" s="66" t="n">
        <v>0</v>
      </c>
      <c r="F243" s="67" t="n">
        <v>0</v>
      </c>
      <c r="G243" s="68" t="n">
        <v>0</v>
      </c>
      <c r="H243" s="68" t="n">
        <v>0</v>
      </c>
      <c r="I243" s="68" t="n"/>
      <c r="J243" s="69" t="n"/>
      <c r="K243" s="69" t="inlineStr">
        <is>
          <t>https://amazon.com/dp/B0DQ4KT4X8</t>
        </is>
      </c>
      <c r="L243" s="114">
        <f>HYPERLINK(Table3660[[#This Row],[Column1]])</f>
        <v/>
      </c>
    </row>
    <row r="244" ht="45" customHeight="1" s="314">
      <c r="A244" s="35" t="inlineStr">
        <is>
          <t>2026 LAUNCH CRB3001 OBD2 Scanner 12V Car Battery Tester, 2 in 1 Code Reader Scan Tool Automotive Battery Alternator Load Tester,Check Engine Light</t>
        </is>
      </c>
      <c r="B244" s="35" t="inlineStr">
        <is>
          <t>B0B4RYKRR8</t>
        </is>
      </c>
      <c r="C244" s="35" t="inlineStr">
        <is>
          <t>Handheld</t>
        </is>
      </c>
      <c r="D244" s="359" t="n">
        <v>49.99</v>
      </c>
      <c r="E244" s="66" t="n">
        <v>0</v>
      </c>
      <c r="F244" s="67" t="n">
        <v>0</v>
      </c>
      <c r="G244" s="68" t="n">
        <v>0</v>
      </c>
      <c r="H244" s="68" t="n">
        <v>0</v>
      </c>
      <c r="I244" s="68" t="n">
        <v>21</v>
      </c>
      <c r="J244" s="69" t="n">
        <v>3.4</v>
      </c>
      <c r="K244" s="69" t="inlineStr">
        <is>
          <t>https://amazon.com/dp/B0B4RYKRR8</t>
        </is>
      </c>
      <c r="L244" s="114">
        <f>HYPERLINK(Table3660[[#This Row],[Column1]])</f>
        <v/>
      </c>
    </row>
    <row r="245" ht="17" customHeight="1" s="314">
      <c r="A245" s="35" t="inlineStr">
        <is>
          <t>Launch X431 OBD1 Scanner Cable - Original Launch OBD I Diagnostic Cable Adapter for X431 PAD/V/PAD VII/Scanners, Compatible with GM Ford Chrysler Honda Toyota Nissan Vehicles (16 Pin ALDL Connector)</t>
        </is>
      </c>
      <c r="B245" s="35" t="inlineStr">
        <is>
          <t>B0G49SQ7LD</t>
        </is>
      </c>
      <c r="C245" s="35" t="inlineStr">
        <is>
          <t>Cable/Adapter</t>
        </is>
      </c>
      <c r="D245" s="359" t="n">
        <v>20.99</v>
      </c>
      <c r="E245" s="66" t="n">
        <v>137.27</v>
      </c>
      <c r="F245" s="67" t="n">
        <v>0</v>
      </c>
      <c r="G245" s="68" t="n">
        <v>7</v>
      </c>
      <c r="H245" s="68" t="n">
        <v>0</v>
      </c>
      <c r="I245" s="68" t="n"/>
      <c r="J245" s="69" t="n"/>
      <c r="K245" s="69" t="inlineStr">
        <is>
          <t>https://amazon.com/dp/B0G49SQ7LD</t>
        </is>
      </c>
      <c r="L245" s="114">
        <f>HYPERLINK(Table3660[[#This Row],[Column1]])</f>
        <v/>
      </c>
    </row>
    <row r="246" ht="45" customHeight="1" s="314">
      <c r="A246" s="35" t="inlineStr">
        <is>
          <t>LAUNCH X431 V+ 5.0, SmartLink C Heavy Duty Truck Scanner for Commercial/Passenger Vehicles, J2534 D-PDU, ECU Program, ECU Coding, Topology, 60 Reset, Bi-Directional Scan Tool, All System</t>
        </is>
      </c>
      <c r="B246" s="35" t="inlineStr">
        <is>
          <t>B0BGZQ78JB</t>
        </is>
      </c>
      <c r="C246" s="35" t="inlineStr">
        <is>
          <t>Tablet</t>
        </is>
      </c>
      <c r="D246" s="359" t="n">
        <v>1779</v>
      </c>
      <c r="E246" s="66" t="n">
        <v>15076.37</v>
      </c>
      <c r="F246" s="67" t="n">
        <v>0</v>
      </c>
      <c r="G246" s="68" t="n">
        <v>8</v>
      </c>
      <c r="H246" s="68" t="n">
        <v>0</v>
      </c>
      <c r="I246" s="68" t="n">
        <v>5</v>
      </c>
      <c r="J246" s="69" t="n">
        <v>3.8</v>
      </c>
      <c r="K246" s="69" t="inlineStr">
        <is>
          <t>https://amazon.com/dp/B0BGZQ78JB</t>
        </is>
      </c>
      <c r="L246" s="114">
        <f>HYPERLINK(Table3660[[#This Row],[Column1]])</f>
        <v/>
      </c>
    </row>
    <row r="247" ht="45" customHeight="1" s="314">
      <c r="A247" s="35" t="inlineStr">
        <is>
          <t>LAUNCH X431 V+ SmartLink HD Heavy Duty Truck Diagnostic Scanner Diesel Vehicle Construction Machinery Agricultural Bus Scan Tool, J2534 ECU Coding, All System Diagnosis, Active Test</t>
        </is>
      </c>
      <c r="B247" s="35" t="inlineStr">
        <is>
          <t>B09TVYSD9Z</t>
        </is>
      </c>
      <c r="C247" s="35" t="inlineStr">
        <is>
          <t>VCI</t>
        </is>
      </c>
      <c r="D247" s="359" t="n">
        <v>1439</v>
      </c>
      <c r="E247" s="66" t="n">
        <v>935.22</v>
      </c>
      <c r="F247" s="67" t="n">
        <v>0</v>
      </c>
      <c r="G247" s="68" t="n">
        <v>1</v>
      </c>
      <c r="H247" s="68" t="n">
        <v>0</v>
      </c>
      <c r="I247" s="68" t="n">
        <v>3</v>
      </c>
      <c r="J247" s="69" t="n">
        <v>5</v>
      </c>
      <c r="K247" s="69" t="inlineStr">
        <is>
          <t>https://amazon.com/dp/B09TVYSD9Z</t>
        </is>
      </c>
      <c r="L247" s="114">
        <f>HYPERLINK(Table3660[[#This Row],[Column1]])</f>
        <v/>
      </c>
    </row>
    <row r="248" ht="45" customHeight="1" s="314">
      <c r="A248" s="35" t="inlineStr">
        <is>
          <t>LAUNCH X431 CAN FD Adapter Code Reader Cable CANFD Protocols Car Diagnostic OBD2 Scanner for X431 V/V+/ Pad II/PAD III/ PRO3/ PRO3S+/DIAGUN V/PRO Mini, Compatible with GM, BMW</t>
        </is>
      </c>
      <c r="B248" s="35" t="inlineStr">
        <is>
          <t>B0B8D789HP</t>
        </is>
      </c>
      <c r="C248" s="35" t="inlineStr">
        <is>
          <t>Cable/Adapter</t>
        </is>
      </c>
      <c r="D248" s="359" t="n">
        <v>109</v>
      </c>
      <c r="E248" s="66" t="n">
        <v>425.75</v>
      </c>
      <c r="F248" s="67" t="n">
        <v>0</v>
      </c>
      <c r="G248" s="68" t="n">
        <v>4</v>
      </c>
      <c r="H248" s="68" t="n">
        <v>0</v>
      </c>
      <c r="I248" s="68" t="n">
        <v>2</v>
      </c>
      <c r="J248" s="69" t="n">
        <v>5</v>
      </c>
      <c r="K248" s="69" t="inlineStr">
        <is>
          <t>https://amazon.com/dp/B0B8D789HP</t>
        </is>
      </c>
      <c r="L248" s="114">
        <f>HYPERLINK(Table3660[[#This Row],[Column1]])</f>
        <v/>
      </c>
    </row>
    <row r="249" ht="45" customHeight="1" s="314">
      <c r="A249" s="35" t="inlineStr">
        <is>
          <t>LAUNCH BST880D Battery Tester Diagnostic Scan Tool</t>
        </is>
      </c>
      <c r="B249" s="35" t="inlineStr">
        <is>
          <t>B0BT72CBN3</t>
        </is>
      </c>
      <c r="C249" s="35" t="inlineStr">
        <is>
          <t>Handheld</t>
        </is>
      </c>
      <c r="D249" s="359" t="n">
        <v>311.2</v>
      </c>
      <c r="E249" s="66" t="n">
        <v>575.27</v>
      </c>
      <c r="F249" s="67" t="n">
        <v>0</v>
      </c>
      <c r="G249" s="68" t="n">
        <v>2</v>
      </c>
      <c r="H249" s="68" t="n">
        <v>0</v>
      </c>
      <c r="I249" s="68" t="n"/>
      <c r="J249" s="69" t="n"/>
      <c r="K249" s="69" t="inlineStr">
        <is>
          <t>https://amazon.com/dp/B0BT72CBN3</t>
        </is>
      </c>
      <c r="L249" s="114">
        <f>HYPERLINK(Table3660[[#This Row],[Column1]])</f>
        <v/>
      </c>
    </row>
    <row r="250" ht="45" customHeight="1" s="314">
      <c r="A250" s="35" t="inlineStr">
        <is>
          <t>2024 LAUNCH X431 Elite OBD2 Scanner, Full System Bi-Directional Diagnostic Scan Tool, All Reset Service Code Reader, AUTO VIN, Battery Registration, Lifetime Free WiFi Update</t>
        </is>
      </c>
      <c r="B250" s="35" t="inlineStr">
        <is>
          <t>B0CKSBCMH7</t>
        </is>
      </c>
      <c r="C250" s="35" t="inlineStr">
        <is>
          <t>Tablet</t>
        </is>
      </c>
      <c r="D250" s="359" t="n">
        <v>119</v>
      </c>
      <c r="E250" s="66" t="n">
        <v>0</v>
      </c>
      <c r="F250" s="67" t="n">
        <v>0</v>
      </c>
      <c r="G250" s="68" t="n">
        <v>0</v>
      </c>
      <c r="H250" s="68" t="n">
        <v>0</v>
      </c>
      <c r="I250" s="68" t="n">
        <v>485</v>
      </c>
      <c r="J250" s="69" t="n">
        <v>4.3</v>
      </c>
      <c r="K250" s="69" t="inlineStr">
        <is>
          <t>https://amazon.com/dp/B0CKSBCMH7</t>
        </is>
      </c>
      <c r="L250" s="114">
        <f>HYPERLINK(Table3660[[#This Row],[Column1]])</f>
        <v/>
      </c>
    </row>
    <row r="251" ht="45" customHeight="1" s="314">
      <c r="A251" s="35" t="inlineStr">
        <is>
          <t>Launch Roxi-WiFi</t>
        </is>
      </c>
      <c r="B251" s="35" t="inlineStr">
        <is>
          <t>B07RWFRF2L</t>
        </is>
      </c>
      <c r="C251" s="35" t="inlineStr">
        <is>
          <t>Handheld</t>
        </is>
      </c>
      <c r="D251" s="359" t="n">
        <v>699.99</v>
      </c>
      <c r="E251" s="66" t="n">
        <v>0</v>
      </c>
      <c r="F251" s="67" t="n">
        <v>0</v>
      </c>
      <c r="G251" s="68" t="n">
        <v>0</v>
      </c>
      <c r="H251" s="68" t="n">
        <v>0</v>
      </c>
      <c r="I251" s="68" t="n">
        <v>0</v>
      </c>
      <c r="J251" s="69" t="n"/>
      <c r="K251" s="69" t="inlineStr">
        <is>
          <t>https://amazon.com/dp/B07RWFRF2L</t>
        </is>
      </c>
      <c r="L251" s="114">
        <f>HYPERLINK(Table3660[[#This Row],[Column1]])</f>
        <v/>
      </c>
    </row>
    <row r="252" ht="45" customHeight="1" s="314">
      <c r="A252" s="35" t="inlineStr">
        <is>
          <t>LAUNCH X-431 HTD180 Handheld Laser Tire Tread Depth Gauge with Touch Screen, 0.1mm High Accuracy Real-time Data Tire Health Scan Tool Support Wi-Fi and Bluetooth Connection</t>
        </is>
      </c>
      <c r="B252" s="35" t="inlineStr">
        <is>
          <t>B0FGN4MBD2</t>
        </is>
      </c>
      <c r="C252" s="35" t="inlineStr">
        <is>
          <t>Other</t>
        </is>
      </c>
      <c r="D252" s="359" t="n">
        <v>299</v>
      </c>
      <c r="E252" s="66" t="n">
        <v>3297.49</v>
      </c>
      <c r="F252" s="67" t="n">
        <v>0</v>
      </c>
      <c r="G252" s="68" t="n">
        <v>11</v>
      </c>
      <c r="H252" s="68" t="n">
        <v>0</v>
      </c>
      <c r="I252" s="68" t="n"/>
      <c r="J252" s="69" t="n"/>
      <c r="K252" s="69" t="inlineStr">
        <is>
          <t>https://amazon.com/dp/B0FGN4MBD2</t>
        </is>
      </c>
      <c r="L252" s="114">
        <f>HYPERLINK(Table3660[[#This Row],[Column1]])</f>
        <v/>
      </c>
    </row>
    <row r="253" ht="45" customHeight="1" s="314">
      <c r="A253" s="35" t="inlineStr">
        <is>
          <t>2026 LAUNCH Creader Elite for GM Bi-Directional OBD2 Scanner, All Resets Full System Diagnostic Scan Tool, Full OBD2 Code Reader for Buick/Chevrolet/Cadillac/GMC, Lifetime Free Update</t>
        </is>
      </c>
      <c r="B253" s="35" t="inlineStr">
        <is>
          <t>B09XV8VR35</t>
        </is>
      </c>
      <c r="C253" s="35" t="inlineStr">
        <is>
          <t>Handheld</t>
        </is>
      </c>
      <c r="D253" s="359" t="n">
        <v>148.2040243902439</v>
      </c>
      <c r="E253" s="66" t="n">
        <v>115770.05</v>
      </c>
      <c r="F253" s="67" t="n">
        <v>0</v>
      </c>
      <c r="G253" s="68" t="n">
        <v>770</v>
      </c>
      <c r="H253" s="68" t="n">
        <v>0</v>
      </c>
      <c r="I253" s="68" t="n">
        <v>202</v>
      </c>
      <c r="J253" s="69" t="n">
        <v>3.9</v>
      </c>
      <c r="K253" s="69" t="inlineStr">
        <is>
          <t>https://amazon.com/dp/B09XV8VR35</t>
        </is>
      </c>
      <c r="L253" s="114">
        <f>HYPERLINK(Table3660[[#This Row],[Column1]])</f>
        <v/>
      </c>
    </row>
    <row r="254" ht="30" customHeight="1" s="314">
      <c r="A254" s="35" t="inlineStr">
        <is>
          <t>Launch Creader Elite 3.0 Bidirectional Scan Tool fit for Toyota/Lexus, 2026 All Reset Service Code Reader, Full System OBD2 Scanner, ECU Code, AUTO VIN, Battery Registration, Lifetime Free Update</t>
        </is>
      </c>
      <c r="B254" s="35" t="inlineStr">
        <is>
          <t>B0GG9RNRJM</t>
        </is>
      </c>
      <c r="C254" s="35" t="inlineStr">
        <is>
          <t>Tablet</t>
        </is>
      </c>
      <c r="D254" s="359" t="n">
        <v>151.04</v>
      </c>
      <c r="E254" s="66" t="n">
        <v>0</v>
      </c>
      <c r="F254" s="67" t="n">
        <v>0</v>
      </c>
      <c r="G254" s="68" t="n">
        <v>0</v>
      </c>
      <c r="H254" s="68" t="n">
        <v>0</v>
      </c>
      <c r="I254" s="68" t="n"/>
      <c r="J254" s="69" t="n"/>
      <c r="K254" s="69" t="inlineStr">
        <is>
          <t>https://amazon.com/dp/B0GG9RNRJM</t>
        </is>
      </c>
      <c r="L254" s="114">
        <f>HYPERLINK(Table3660[[#This Row],[Column1]])</f>
        <v/>
      </c>
    </row>
    <row r="255" ht="45" customHeight="1" s="314">
      <c r="A255" s="35" t="inlineStr">
        <is>
          <t>Launch CRP129 MT Pro Motorcycle Scanner, OE All System Bidirectional Active Tests, Resets for Harley Honda Yamaha Kawasaki Indian Suzuki Polaris Victory, 38+ Brands, 11 Languages, 2 Years Upgrades</t>
        </is>
      </c>
      <c r="B255" s="35" t="inlineStr">
        <is>
          <t>B0GBWPH47T</t>
        </is>
      </c>
      <c r="C255" s="35" t="inlineStr">
        <is>
          <t>Tablet</t>
        </is>
      </c>
      <c r="D255" s="359" t="n">
        <v>640.96</v>
      </c>
      <c r="E255" s="66" t="n">
        <v>9604.469999999999</v>
      </c>
      <c r="F255" s="67" t="n">
        <v>0</v>
      </c>
      <c r="G255" s="68" t="n">
        <v>17</v>
      </c>
      <c r="H255" s="68" t="n">
        <v>0</v>
      </c>
      <c r="I255" s="68" t="n">
        <v>3</v>
      </c>
      <c r="J255" s="69" t="n">
        <v>3.5</v>
      </c>
      <c r="K255" s="69" t="inlineStr">
        <is>
          <t>https://amazon.com/dp/B0GBWPH47T</t>
        </is>
      </c>
      <c r="L255" s="114">
        <f>HYPERLINK(Table3660[[#This Row],[Column1]])</f>
        <v/>
      </c>
    </row>
    <row r="256" ht="45" customHeight="1" s="314">
      <c r="A256" s="35" t="inlineStr">
        <is>
          <t>LAUNCH CRP909E OBD2 Scanner, 2025 New Full System Car Scanner with 28+Reset Functions, Oil,TPMS,SAS,DPF,ABS Bleeding,Throttle,2 Yrs Free Update</t>
        </is>
      </c>
      <c r="B256" s="35" t="inlineStr">
        <is>
          <t>B09N8W7TYM</t>
        </is>
      </c>
      <c r="C256" s="35" t="inlineStr">
        <is>
          <t>Tablet</t>
        </is>
      </c>
      <c r="D256" s="359" t="n">
        <v>397.48</v>
      </c>
      <c r="E256" s="66" t="n">
        <v>16154.41</v>
      </c>
      <c r="F256" s="67" t="n">
        <v>0</v>
      </c>
      <c r="G256" s="68" t="n">
        <v>46</v>
      </c>
      <c r="H256" s="68" t="n">
        <v>0</v>
      </c>
      <c r="I256" s="68" t="n">
        <v>89</v>
      </c>
      <c r="J256" s="69" t="n">
        <v>4.2</v>
      </c>
      <c r="K256" s="69" t="inlineStr">
        <is>
          <t>https://amazon.com/dp/B09N8W7TYM</t>
        </is>
      </c>
      <c r="L256" s="114">
        <f>HYPERLINK(Table3660[[#This Row],[Column1]])</f>
        <v/>
      </c>
    </row>
    <row r="257" ht="45" customHeight="1" s="314">
      <c r="A257" s="35" t="inlineStr">
        <is>
          <t>LAUNCH Original Adapter for Mercedes-Benz DR15 Male to OBD1 38 Pin Male [Note: Can't Work Alone] for X-431 Diagnostic Scanner</t>
        </is>
      </c>
      <c r="B257" s="35" t="inlineStr">
        <is>
          <t>B0FFLLDNXC</t>
        </is>
      </c>
      <c r="C257" s="35" t="inlineStr">
        <is>
          <t>OBD1</t>
        </is>
      </c>
      <c r="D257" s="359" t="n">
        <v>25.72</v>
      </c>
      <c r="E257" s="66" t="n">
        <v>447.79</v>
      </c>
      <c r="F257" s="67" t="n">
        <v>0</v>
      </c>
      <c r="G257" s="68" t="n">
        <v>23</v>
      </c>
      <c r="H257" s="68" t="n">
        <v>0</v>
      </c>
      <c r="I257" s="68" t="n"/>
      <c r="J257" s="69" t="n"/>
      <c r="K257" s="69" t="inlineStr">
        <is>
          <t>https://amazon.com/dp/B0FFLLDNXC</t>
        </is>
      </c>
      <c r="L257" s="114">
        <f>HYPERLINK(Table3660[[#This Row],[Column1]])</f>
        <v/>
      </c>
    </row>
    <row r="258" ht="60" customHeight="1" s="314">
      <c r="A258" s="35" t="inlineStr">
        <is>
          <t>LAUNCH CRP909E Elite Full System OBD2 Scanner,2026 OE-Level Car Diagnostic Scan Tool,28+ Reset Service,TPMS,SAS,DPF,ABS Bleeding,2 Years Free Update</t>
        </is>
      </c>
      <c r="B258" s="35" t="inlineStr">
        <is>
          <t>B089XW3CGB</t>
        </is>
      </c>
      <c r="C258" s="35" t="inlineStr">
        <is>
          <t>Tablet</t>
        </is>
      </c>
      <c r="D258" s="359" t="n">
        <v>283.49</v>
      </c>
      <c r="E258" s="66" t="n">
        <v>15919.29</v>
      </c>
      <c r="F258" s="67" t="n">
        <v>0</v>
      </c>
      <c r="G258" s="68" t="n">
        <v>51</v>
      </c>
      <c r="H258" s="68" t="n">
        <v>0</v>
      </c>
      <c r="I258" s="68" t="n">
        <v>509</v>
      </c>
      <c r="J258" s="69" t="n">
        <v>4.1</v>
      </c>
      <c r="K258" s="69" t="inlineStr">
        <is>
          <t>https://amazon.com/dp/B089XW3CGB</t>
        </is>
      </c>
      <c r="L258" s="114">
        <f>HYPERLINK(Table3660[[#This Row],[Column1]])</f>
        <v/>
      </c>
    </row>
    <row r="259" ht="45" customHeight="1" s="314">
      <c r="A259" s="35" t="inlineStr">
        <is>
          <t>LAUNCH Creader Elite OBD2 Scanner Fit for Chrysler Dodge Jeep,Full Systems Code Reader with All Free Resets,FCA Autoauth, Active Test,Battery Registration Bi-Directional Diagnostic Scan Tool</t>
        </is>
      </c>
      <c r="B259" s="35" t="inlineStr">
        <is>
          <t>B0C77RGZN7</t>
        </is>
      </c>
      <c r="C259" s="35" t="inlineStr">
        <is>
          <t>Handheld</t>
        </is>
      </c>
      <c r="D259" s="359" t="n">
        <v>133.6725</v>
      </c>
      <c r="E259" s="66" t="n">
        <v>22827.51</v>
      </c>
      <c r="F259" s="67" t="n">
        <v>0</v>
      </c>
      <c r="G259" s="68" t="n">
        <v>158</v>
      </c>
      <c r="H259" s="68" t="n">
        <v>0</v>
      </c>
      <c r="I259" s="68" t="n">
        <v>13</v>
      </c>
      <c r="J259" s="69" t="n">
        <v>3.3</v>
      </c>
      <c r="K259" s="69" t="inlineStr">
        <is>
          <t>https://amazon.com/dp/B0C77RGZN7</t>
        </is>
      </c>
      <c r="L259" s="114">
        <f>HYPERLINK(Table3660[[#This Row],[Column1]])</f>
        <v/>
      </c>
    </row>
    <row r="260" ht="45" customHeight="1" s="314">
      <c r="A260" s="35" t="inlineStr">
        <is>
          <t>Launch CRP123 V2.0 OBD2 Scanner, 2025 Upgrade 4 Systems Scanner with 3 Reset, Oil, SAS, Throttle Reset, Full OBD2 Code Reader, Free Update Lifetime</t>
        </is>
      </c>
      <c r="B260" s="35" t="inlineStr">
        <is>
          <t>B01FDKNBC0</t>
        </is>
      </c>
      <c r="C260" s="35" t="inlineStr">
        <is>
          <t>Tablet</t>
        </is>
      </c>
      <c r="D260" s="359" t="n">
        <v>137.7628571428571</v>
      </c>
      <c r="E260" s="66" t="n">
        <v>9963.92</v>
      </c>
      <c r="F260" s="67" t="n">
        <v>0</v>
      </c>
      <c r="G260" s="68" t="n">
        <v>72</v>
      </c>
      <c r="H260" s="68" t="n">
        <v>0</v>
      </c>
      <c r="I260" s="68" t="n">
        <v>506</v>
      </c>
      <c r="J260" s="69" t="n">
        <v>4.2</v>
      </c>
      <c r="K260" s="69" t="inlineStr">
        <is>
          <t>https://amazon.com/dp/B01FDKNBC0</t>
        </is>
      </c>
      <c r="L260" s="114">
        <f>HYPERLINK(Table3660[[#This Row],[Column1]])</f>
        <v/>
      </c>
    </row>
    <row r="261" ht="45" customHeight="1" s="314">
      <c r="A261" s="35" t="inlineStr">
        <is>
          <t>LAUNCH Elite HD-V Heavy Duty Truck Scanner for Volvo, All System Active Test Diesel Diagnostic Tool, All Calibration/Reset Services Scan Tool for Diesel Vehicle of Volvo, 4-in-1 Live Graph Data</t>
        </is>
      </c>
      <c r="B261" s="35" t="inlineStr">
        <is>
          <t>B0DQ3WWNXC</t>
        </is>
      </c>
      <c r="C261" s="35" t="inlineStr">
        <is>
          <t>Tablet</t>
        </is>
      </c>
      <c r="D261" s="359" t="n">
        <v>429.99</v>
      </c>
      <c r="E261" s="66" t="n">
        <v>0</v>
      </c>
      <c r="F261" s="67" t="n">
        <v>0</v>
      </c>
      <c r="G261" s="68" t="n">
        <v>0</v>
      </c>
      <c r="H261" s="68" t="n">
        <v>0</v>
      </c>
      <c r="I261" s="68" t="n"/>
      <c r="J261" s="69" t="n"/>
      <c r="K261" s="69" t="inlineStr">
        <is>
          <t>https://amazon.com/dp/B0DQ3WWNXC</t>
        </is>
      </c>
      <c r="L261" s="114">
        <f>HYPERLINK(Table3660[[#This Row],[Column1]])</f>
        <v/>
      </c>
    </row>
    <row r="262" ht="17" customHeight="1" s="314">
      <c r="A262" s="35" t="inlineStr">
        <is>
          <t>LAUNCH X431 PADVII Elite, ECU Pr0gramming , HD Trucks Scanner, EVs, MotorCycles Scan, J2534 Pr0gramming Tool, Online Coding, Topology Map, 60+Service, Remote Diagnosis with Smartlink C 2.0</t>
        </is>
      </c>
      <c r="B262" s="35" t="inlineStr">
        <is>
          <t>B0FCMGZV3K</t>
        </is>
      </c>
      <c r="C262" s="35" t="inlineStr">
        <is>
          <t>Tablet</t>
        </is>
      </c>
      <c r="D262" s="359" t="n">
        <v>2796.005</v>
      </c>
      <c r="E262" s="66" t="n">
        <v>39999.48</v>
      </c>
      <c r="F262" s="67" t="n">
        <v>0</v>
      </c>
      <c r="G262" s="68" t="n">
        <v>15</v>
      </c>
      <c r="H262" s="68" t="n">
        <v>0</v>
      </c>
      <c r="I262" s="68" t="n">
        <v>10</v>
      </c>
      <c r="J262" s="69" t="n">
        <v>3.6</v>
      </c>
      <c r="K262" s="69" t="inlineStr">
        <is>
          <t>https://amazon.com/dp/B0FCMGZV3K</t>
        </is>
      </c>
      <c r="L262" s="114">
        <f>HYPERLINK(Table3660[[#This Row],[Column1]])</f>
        <v/>
      </c>
    </row>
    <row r="263" ht="45" customHeight="1" s="314">
      <c r="A263" s="35" t="inlineStr">
        <is>
          <t>LAUNCH Original USB Charging Cable for X431 CRP123i CRP123e CRP123x, CRP129i CRP129e CRP129x, CRP909e CRP909x OBD2 Scanner 5V DC</t>
        </is>
      </c>
      <c r="B263" s="35" t="inlineStr">
        <is>
          <t>B0DZNGCY22</t>
        </is>
      </c>
      <c r="C263" s="35" t="inlineStr">
        <is>
          <t>Cable/Adapter</t>
        </is>
      </c>
      <c r="D263" s="359" t="n">
        <v>12.99</v>
      </c>
      <c r="E263" s="66" t="n">
        <v>241.83</v>
      </c>
      <c r="F263" s="67" t="n">
        <v>0</v>
      </c>
      <c r="G263" s="68" t="n">
        <v>19</v>
      </c>
      <c r="H263" s="68" t="n">
        <v>0</v>
      </c>
      <c r="I263" s="68" t="n">
        <v>3</v>
      </c>
      <c r="J263" s="69" t="n">
        <v>5</v>
      </c>
      <c r="K263" s="69" t="inlineStr">
        <is>
          <t>https://amazon.com/dp/B0DZNGCY22</t>
        </is>
      </c>
      <c r="L263" s="114">
        <f>HYPERLINK(Table3660[[#This Row],[Column1]])</f>
        <v/>
      </c>
    </row>
    <row r="264" ht="45" customHeight="1" s="314">
      <c r="A264" s="35" t="inlineStr">
        <is>
          <t>LAUNCH CR319 OBD2 Scanner, Check Engine Code Reader, OBD2 Full Functions</t>
        </is>
      </c>
      <c r="B264" s="35" t="inlineStr">
        <is>
          <t>B07Y5G811Q</t>
        </is>
      </c>
      <c r="C264" s="35" t="inlineStr">
        <is>
          <t>Handheld</t>
        </is>
      </c>
      <c r="D264" s="359" t="n">
        <v>19.99</v>
      </c>
      <c r="E264" s="66" t="n">
        <v>25.79</v>
      </c>
      <c r="F264" s="67" t="n">
        <v>0</v>
      </c>
      <c r="G264" s="68" t="n">
        <v>1</v>
      </c>
      <c r="H264" s="68" t="n">
        <v>0</v>
      </c>
      <c r="I264" s="68" t="n">
        <v>6</v>
      </c>
      <c r="J264" s="69" t="n">
        <v>4.4</v>
      </c>
      <c r="K264" s="69" t="inlineStr">
        <is>
          <t>https://amazon.com/dp/B07Y5G811Q</t>
        </is>
      </c>
      <c r="L264" s="114">
        <f>HYPERLINK(Table3660[[#This Row],[Column1]])</f>
        <v/>
      </c>
    </row>
    <row r="265" ht="45" customHeight="1" s="314">
      <c r="A265" s="35" t="inlineStr">
        <is>
          <t>LAUNCH Full System Heavy Duty Truck Scanner, Creader Elite HD International Semi Bidirectional Diesel Diagnostic Scan Tool with DPF Regen, ECU Coding, Actuation Test, 70+ Reset</t>
        </is>
      </c>
      <c r="B265" s="35" t="inlineStr">
        <is>
          <t>B0DHZRS4L2</t>
        </is>
      </c>
      <c r="C265" s="35" t="inlineStr">
        <is>
          <t>Tablet</t>
        </is>
      </c>
      <c r="D265" s="359" t="n">
        <v>399.99</v>
      </c>
      <c r="E265" s="66" t="n">
        <v>822.3</v>
      </c>
      <c r="F265" s="67" t="n">
        <v>0</v>
      </c>
      <c r="G265" s="68" t="n">
        <v>2</v>
      </c>
      <c r="H265" s="68" t="n">
        <v>0</v>
      </c>
      <c r="I265" s="68" t="n">
        <v>1</v>
      </c>
      <c r="J265" s="69" t="n">
        <v>3</v>
      </c>
      <c r="K265" s="69" t="inlineStr">
        <is>
          <t>https://amazon.com/dp/B0DHZRS4L2</t>
        </is>
      </c>
      <c r="L265" s="114">
        <f>HYPERLINK(Table3660[[#This Row],[Column1]])</f>
        <v/>
      </c>
    </row>
    <row r="266" ht="60" customHeight="1" s="314">
      <c r="A266" s="35" t="inlineStr">
        <is>
          <t>LAUNCH X431 CRP919X OBD2 Scanner,ECU Coding, bidirectional scan Tool(4000+ Active Tests), CANFD, DOIP, and FCA SGW. 35+ Services, Android 10.0,Full-System Diagnostics</t>
        </is>
      </c>
      <c r="B266" s="35" t="inlineStr">
        <is>
          <t>B0F8NQK491</t>
        </is>
      </c>
      <c r="C266" s="35" t="inlineStr">
        <is>
          <t>Tablet</t>
        </is>
      </c>
      <c r="D266" s="359" t="n">
        <v>888.28</v>
      </c>
      <c r="E266" s="66" t="n">
        <v>1944.8</v>
      </c>
      <c r="F266" s="67" t="n">
        <v>0</v>
      </c>
      <c r="G266" s="68" t="n">
        <v>4</v>
      </c>
      <c r="H266" s="68" t="n">
        <v>0</v>
      </c>
      <c r="I266" s="68" t="n">
        <v>10</v>
      </c>
      <c r="J266" s="69" t="n">
        <v>4.3</v>
      </c>
      <c r="K266" s="69" t="inlineStr">
        <is>
          <t>https://amazon.com/dp/B0F8NQK491</t>
        </is>
      </c>
      <c r="L266" s="114">
        <f>HYPERLINK(Table3660[[#This Row],[Column1]])</f>
        <v/>
      </c>
    </row>
    <row r="267" ht="45" customHeight="1" s="314">
      <c r="A267" s="35" t="inlineStr">
        <is>
          <t>Launch Millennium Max Bi-Directional Scan Tool, Full Systems Car Diagnostic Scanner, 29+ Reset Functions, ECU Coding, DoIP &amp; CAN FD Supported, Code Assist, FCA Autoauth, 1 Year Free Update</t>
        </is>
      </c>
      <c r="B267" s="35" t="inlineStr">
        <is>
          <t>B0BT71N6HQ</t>
        </is>
      </c>
      <c r="C267" s="35" t="inlineStr">
        <is>
          <t>Tablet</t>
        </is>
      </c>
      <c r="D267" s="359" t="n">
        <v>521.37</v>
      </c>
      <c r="E267" s="66" t="n">
        <v>530.24</v>
      </c>
      <c r="F267" s="67" t="n">
        <v>0</v>
      </c>
      <c r="G267" s="68" t="n">
        <v>1</v>
      </c>
      <c r="H267" s="68" t="n">
        <v>0</v>
      </c>
      <c r="I267" s="68" t="n">
        <v>2</v>
      </c>
      <c r="J267" s="69" t="n">
        <v>1.6</v>
      </c>
      <c r="K267" s="69" t="inlineStr">
        <is>
          <t>https://amazon.com/dp/B0BT71N6HQ</t>
        </is>
      </c>
      <c r="L267" s="114">
        <f>HYPERLINK(Table3660[[#This Row],[Column1]])</f>
        <v/>
      </c>
    </row>
    <row r="268" ht="45" customHeight="1" s="314">
      <c r="A268" s="35" t="inlineStr">
        <is>
          <t>2024 LAUNCH Creader Elite Bidirectional Scan Tool fit for VW Audi Skoda Seat, Online Coding OBD2 Scanner, Full System All Reset Diagnostic for V.A.G After 1996, Battery Register, Lifetime Update</t>
        </is>
      </c>
      <c r="B268" s="35" t="inlineStr">
        <is>
          <t>B09XV5W3HD</t>
        </is>
      </c>
      <c r="C268" s="35" t="inlineStr">
        <is>
          <t>Handheld</t>
        </is>
      </c>
      <c r="D268" s="359" t="n">
        <v>315.88</v>
      </c>
      <c r="E268" s="66" t="n">
        <v>0</v>
      </c>
      <c r="F268" s="67" t="n">
        <v>0</v>
      </c>
      <c r="G268" s="68" t="n">
        <v>0</v>
      </c>
      <c r="H268" s="68" t="n">
        <v>0</v>
      </c>
      <c r="I268" s="68" t="n">
        <v>175</v>
      </c>
      <c r="J268" s="69" t="n">
        <v>4.1</v>
      </c>
      <c r="K268" s="69" t="inlineStr">
        <is>
          <t>https://amazon.com/dp/B09XV5W3HD</t>
        </is>
      </c>
      <c r="L268" s="114">
        <f>HYPERLINK(Table3660[[#This Row],[Column1]])</f>
        <v/>
      </c>
    </row>
    <row r="269" ht="45" customHeight="1" s="314">
      <c r="A269" s="35" t="inlineStr">
        <is>
          <t>LAUNCH Creader Elite HD Cummins Detroit MAXXFORCE Caterpillar HD-Volvo International Isuzu Hino Heavy Duty Truck Diesel Diagnostic Scaner,Actuation Test,Coding,Special Functions,Lifetime Free Upgrade</t>
        </is>
      </c>
      <c r="B269" s="35" t="inlineStr">
        <is>
          <t>B0DCNCJ5MM</t>
        </is>
      </c>
      <c r="C269" s="35" t="inlineStr">
        <is>
          <t>Tablet</t>
        </is>
      </c>
      <c r="D269" s="359" t="n">
        <v>429</v>
      </c>
      <c r="E269" s="66" t="n">
        <v>24030.77</v>
      </c>
      <c r="F269" s="67" t="n">
        <v>0</v>
      </c>
      <c r="G269" s="68" t="n">
        <v>55</v>
      </c>
      <c r="H269" s="68" t="n">
        <v>0</v>
      </c>
      <c r="I269" s="68" t="n">
        <v>2</v>
      </c>
      <c r="J269" s="69" t="n">
        <v>5</v>
      </c>
      <c r="K269" s="69" t="inlineStr">
        <is>
          <t>https://amazon.com/dp/B0DCNCJ5MM</t>
        </is>
      </c>
      <c r="L269" s="114">
        <f>HYPERLINK(Table3660[[#This Row],[Column1]])</f>
        <v/>
      </c>
    </row>
    <row r="270" ht="45" customHeight="1" s="314">
      <c r="A270" s="35" t="inlineStr">
        <is>
          <t>LAUNCH Creader Elite HD-Volvo International Isuzu Hino Heavy Duty Truck Cummins Detroit MAXXFORCE Diagnostic Scanner, Diagnosis,Actuation Test,Coding, Special Functions, Lifetime Free Upgrade</t>
        </is>
      </c>
      <c r="B270" s="35" t="inlineStr">
        <is>
          <t>B0DD7T894N</t>
        </is>
      </c>
      <c r="C270" s="35" t="inlineStr">
        <is>
          <t>Tablet</t>
        </is>
      </c>
      <c r="D270" s="359" t="n">
        <v>429</v>
      </c>
      <c r="E270" s="66" t="n">
        <v>20871.51</v>
      </c>
      <c r="F270" s="67" t="n">
        <v>0</v>
      </c>
      <c r="G270" s="68" t="n">
        <v>49</v>
      </c>
      <c r="H270" s="68" t="n">
        <v>0</v>
      </c>
      <c r="I270" s="68" t="n">
        <v>2</v>
      </c>
      <c r="J270" s="69" t="n">
        <v>5</v>
      </c>
      <c r="K270" s="69" t="inlineStr">
        <is>
          <t>https://amazon.com/dp/B0DD7T894N</t>
        </is>
      </c>
      <c r="L270" s="114">
        <f>HYPERLINK(Table3660[[#This Row],[Column1]])</f>
        <v/>
      </c>
    </row>
    <row r="271" ht="45" customHeight="1" s="314">
      <c r="A271" s="35" t="inlineStr">
        <is>
          <t>Launch Millennium 90 Pro OBD2 Scanner, DIY Full OBD Function Car Code Reader, Check Engine/ABS/SRS/Transmission Diagnostic Scan Tool, Oil/EPB/BMS/DPF/SAS Reset/ABS Bleeding Car Scanner, Free Update</t>
        </is>
      </c>
      <c r="B271" s="35" t="inlineStr">
        <is>
          <t>B09G332FWP</t>
        </is>
      </c>
      <c r="C271" s="35" t="inlineStr">
        <is>
          <t>Handheld</t>
        </is>
      </c>
      <c r="D271" s="359" t="n">
        <v>139.99</v>
      </c>
      <c r="E271" s="66" t="n">
        <v>5829.36</v>
      </c>
      <c r="F271" s="67" t="n">
        <v>0</v>
      </c>
      <c r="G271" s="68" t="n">
        <v>46</v>
      </c>
      <c r="H271" s="68" t="n">
        <v>0</v>
      </c>
      <c r="I271" s="68" t="n">
        <v>33</v>
      </c>
      <c r="J271" s="69" t="n">
        <v>4.4</v>
      </c>
      <c r="K271" s="69" t="inlineStr">
        <is>
          <t>https://amazon.com/dp/B09G332FWP</t>
        </is>
      </c>
      <c r="L271" s="114">
        <f>HYPERLINK(Table3660[[#This Row],[Column1]])</f>
        <v/>
      </c>
    </row>
    <row r="272" ht="45" customHeight="1" s="314">
      <c r="A272" s="35" t="inlineStr">
        <is>
          <t>LAUNCH Creader Elite HD Cummins Detroit MAXXFORCE Heavy Duty Truck Diesel Diagnostic Scanner Machinery Vessel Scan Tool, Actuation Test, Special Functions,System Diagnosis, Lifetime Free Upgrade</t>
        </is>
      </c>
      <c r="B272" s="35" t="inlineStr">
        <is>
          <t>B0D7HSGQGZ</t>
        </is>
      </c>
      <c r="C272" s="35" t="inlineStr">
        <is>
          <t>Tablet</t>
        </is>
      </c>
      <c r="D272" s="359" t="n">
        <v>429</v>
      </c>
      <c r="E272" s="66" t="n">
        <v>0</v>
      </c>
      <c r="F272" s="67" t="n">
        <v>0</v>
      </c>
      <c r="G272" s="68" t="n">
        <v>0</v>
      </c>
      <c r="H272" s="68" t="n">
        <v>0</v>
      </c>
      <c r="I272" s="68" t="n">
        <v>1</v>
      </c>
      <c r="J272" s="69" t="n">
        <v>5</v>
      </c>
      <c r="K272" s="69" t="inlineStr">
        <is>
          <t>https://amazon.com/dp/B0D7HSGQGZ</t>
        </is>
      </c>
      <c r="L272" s="114">
        <f>HYPERLINK(Table3660[[#This Row],[Column1]])</f>
        <v/>
      </c>
    </row>
    <row r="273" ht="45" customHeight="1" s="314">
      <c r="A273" s="35" t="inlineStr">
        <is>
          <t>LAUNCH CRP 123X OR LAUNCH X431 1MM0 Elite</t>
        </is>
      </c>
      <c r="B273" s="35" t="inlineStr">
        <is>
          <t>B0FCXZ7FGB</t>
        </is>
      </c>
      <c r="C273" s="35" t="inlineStr">
        <is>
          <t>Tablet</t>
        </is>
      </c>
      <c r="D273" s="359" t="n">
        <v>1299</v>
      </c>
      <c r="E273" s="66" t="n">
        <v>0</v>
      </c>
      <c r="F273" s="67" t="n">
        <v>0</v>
      </c>
      <c r="G273" s="68" t="n">
        <v>0</v>
      </c>
      <c r="H273" s="68" t="n">
        <v>0</v>
      </c>
      <c r="I273" s="68" t="n">
        <v>186</v>
      </c>
      <c r="J273" s="69" t="n">
        <v>4.3</v>
      </c>
      <c r="K273" s="69" t="inlineStr">
        <is>
          <t>https://amazon.com/dp/B0FCXZ7FGB</t>
        </is>
      </c>
      <c r="L273" s="114">
        <f>HYPERLINK(Table3660[[#This Row],[Column1]])</f>
        <v/>
      </c>
    </row>
    <row r="274" ht="45" customHeight="1" s="314">
      <c r="A274" s="35" t="inlineStr">
        <is>
          <t>2026 LAUNCH X431 Pro Dyno All-in-one Diagnostic scan Tool for All Cars, ECU Coding Bi-Directional Control 38+ Services Full System OBD2 Scanner, CANFD DOIP, AutoAuth FCA SGW, 2 Years Free Update</t>
        </is>
      </c>
      <c r="B274" s="35" t="inlineStr">
        <is>
          <t>B0CGHC72MX</t>
        </is>
      </c>
      <c r="C274" s="35" t="inlineStr">
        <is>
          <t>Tablet</t>
        </is>
      </c>
      <c r="D274" s="359" t="n">
        <v>749</v>
      </c>
      <c r="E274" s="66" t="n">
        <v>32846.21</v>
      </c>
      <c r="F274" s="67" t="n">
        <v>0</v>
      </c>
      <c r="G274" s="68" t="n">
        <v>39</v>
      </c>
      <c r="H274" s="68" t="n">
        <v>0</v>
      </c>
      <c r="I274" s="68" t="n">
        <v>76</v>
      </c>
      <c r="J274" s="69" t="n">
        <v>4.4</v>
      </c>
      <c r="K274" s="69" t="inlineStr">
        <is>
          <t>https://amazon.com/dp/B0CGHC72MX</t>
        </is>
      </c>
      <c r="L274" s="114">
        <f>HYPERLINK(Table3660[[#This Row],[Column1]])</f>
        <v/>
      </c>
    </row>
    <row r="275" ht="45" customHeight="1" s="314">
      <c r="A275" s="35" t="inlineStr">
        <is>
          <t>LAUNCH X431 PRO3 ACE 2026 Upgraded Bidirectional Scan Tool, DBSCar VII Connector, OEM Topology Map, HD Trucks Scan, 55+ Service, Online Code, All System, CAN FD &amp; DoIP, FCA SGW</t>
        </is>
      </c>
      <c r="B275" s="35" t="inlineStr">
        <is>
          <t>B0DFB9W42Z</t>
        </is>
      </c>
      <c r="C275" s="35" t="inlineStr">
        <is>
          <t>Tablet</t>
        </is>
      </c>
      <c r="D275" s="359" t="n">
        <v>1099</v>
      </c>
      <c r="E275" s="66" t="n">
        <v>17764.86</v>
      </c>
      <c r="F275" s="67" t="n">
        <v>0</v>
      </c>
      <c r="G275" s="68" t="n">
        <v>15</v>
      </c>
      <c r="H275" s="68" t="n">
        <v>0</v>
      </c>
      <c r="I275" s="68" t="n">
        <v>4</v>
      </c>
      <c r="J275" s="69" t="n">
        <v>5</v>
      </c>
      <c r="K275" s="69" t="inlineStr">
        <is>
          <t>https://amazon.com/dp/B0DFB9W42Z</t>
        </is>
      </c>
      <c r="L275" s="114">
        <f>HYPERLINK(Table3660[[#This Row],[Column1]])</f>
        <v/>
      </c>
    </row>
    <row r="276" ht="30" customHeight="1" s="314">
      <c r="A276" s="35" t="inlineStr">
        <is>
          <t>LAUNCH OBD2 Scanner Diagnostic Scan Tool, Millennium OBD Check Engine Code Reader, One-Click to Check I/M Readiness, Battery Voltage Test, DTC Lookup, Lifetime Update, for All Vehicles After 1996</t>
        </is>
      </c>
      <c r="B276" s="35" t="inlineStr">
        <is>
          <t>B08QGNRKZZ</t>
        </is>
      </c>
      <c r="C276" s="35" t="inlineStr">
        <is>
          <t>Handheld</t>
        </is>
      </c>
      <c r="D276" s="359" t="n">
        <v>68.90000000000001</v>
      </c>
      <c r="E276" s="66" t="n">
        <v>991.1200000000001</v>
      </c>
      <c r="F276" s="67" t="n">
        <v>0</v>
      </c>
      <c r="G276" s="68" t="n">
        <v>24</v>
      </c>
      <c r="H276" s="68" t="n">
        <v>0</v>
      </c>
      <c r="I276" s="68" t="n">
        <v>4</v>
      </c>
      <c r="J276" s="69" t="n">
        <v>5</v>
      </c>
      <c r="K276" s="69" t="inlineStr">
        <is>
          <t>https://amazon.com/dp/B08QGNRKZZ</t>
        </is>
      </c>
      <c r="L276" s="114">
        <f>HYPERLINK(Table3660[[#This Row],[Column1]])</f>
        <v/>
      </c>
    </row>
    <row r="277" ht="45" customHeight="1" s="314">
      <c r="A277" s="35" t="inlineStr">
        <is>
          <t>LAUNCH X431 OBD2 Scanner V+ SmartLink HD All System Heavy Duty Trcuk Diagnostic Scan Tool Diesel Bidirectional Code Reader for Commercial Vehicle with ABS SRS DPF Regen</t>
        </is>
      </c>
      <c r="B277" s="35" t="inlineStr">
        <is>
          <t>B0CX5963CY</t>
        </is>
      </c>
      <c r="C277" s="35" t="inlineStr">
        <is>
          <t>Tablet</t>
        </is>
      </c>
      <c r="D277" s="359" t="n">
        <v>1499</v>
      </c>
      <c r="E277" s="66" t="n">
        <v>23560.38</v>
      </c>
      <c r="F277" s="67" t="n">
        <v>0</v>
      </c>
      <c r="G277" s="68" t="n">
        <v>20</v>
      </c>
      <c r="H277" s="68" t="n">
        <v>0</v>
      </c>
      <c r="I277" s="68" t="n"/>
      <c r="J277" s="69" t="n"/>
      <c r="K277" s="69" t="inlineStr">
        <is>
          <t>https://amazon.com/dp/B0CX5963CY</t>
        </is>
      </c>
      <c r="L277" s="114">
        <f>HYPERLINK(Table3660[[#This Row],[Column1]])</f>
        <v/>
      </c>
    </row>
    <row r="278" ht="45" customHeight="1" s="314">
      <c r="A278" s="35" t="inlineStr">
        <is>
          <t>LAUNCH X431 Creader 5011 V2 TPMS Scan Tool，Tire Pressure Monitoring TPMS Sensor (315+433MHz) Read/Activate/Relearn Scanner,OBD2 Code Reader &amp; 12 Hot Reset, Lifetime Free Update</t>
        </is>
      </c>
      <c r="B278" s="35" t="inlineStr">
        <is>
          <t>B0DQ12V9NH</t>
        </is>
      </c>
      <c r="C278" s="35" t="inlineStr">
        <is>
          <t>Handheld</t>
        </is>
      </c>
      <c r="D278" s="359" t="n">
        <v>209</v>
      </c>
      <c r="E278" s="66" t="n">
        <v>6148.18</v>
      </c>
      <c r="F278" s="67" t="n">
        <v>0</v>
      </c>
      <c r="G278" s="68" t="n">
        <v>26</v>
      </c>
      <c r="H278" s="68" t="n">
        <v>0</v>
      </c>
      <c r="I278" s="68" t="n">
        <v>3</v>
      </c>
      <c r="J278" s="69" t="n">
        <v>5</v>
      </c>
      <c r="K278" s="69" t="inlineStr">
        <is>
          <t>https://amazon.com/dp/B0DQ12V9NH</t>
        </is>
      </c>
      <c r="L278" s="114">
        <f>HYPERLINK(Table3660[[#This Row],[Column1]])</f>
        <v/>
      </c>
    </row>
    <row r="279" ht="30" customHeight="1" s="314">
      <c r="A279" s="35" t="inlineStr">
        <is>
          <t>LAUNCH X431 CRP919 New Energy Vehicle Scanner, 2026 EV Scan Tool with All System, ECU Code, Bidirectional Control, 43 Service, CANFD and DOIP, 2 Years Free Update</t>
        </is>
      </c>
      <c r="B279" s="35" t="inlineStr">
        <is>
          <t>B0DP4KWH9R</t>
        </is>
      </c>
      <c r="C279" s="35" t="inlineStr">
        <is>
          <t>Tablet</t>
        </is>
      </c>
      <c r="D279" s="359" t="n">
        <v>549</v>
      </c>
      <c r="E279" s="66" t="n">
        <v>16922.97</v>
      </c>
      <c r="F279" s="67" t="n">
        <v>0</v>
      </c>
      <c r="G279" s="68" t="n">
        <v>35</v>
      </c>
      <c r="H279" s="68" t="n">
        <v>0</v>
      </c>
      <c r="I279" s="68" t="n">
        <v>7</v>
      </c>
      <c r="J279" s="69" t="n">
        <v>2.7</v>
      </c>
      <c r="K279" s="69" t="inlineStr">
        <is>
          <t>https://amazon.com/dp/B0DP4KWH9R</t>
        </is>
      </c>
      <c r="L279" s="114">
        <f>HYPERLINK(Table3660[[#This Row],[Column1]])</f>
        <v/>
      </c>
    </row>
    <row r="280" ht="45" customHeight="1" s="314">
      <c r="A280" s="35" t="inlineStr">
        <is>
          <t>LAUNCH X431 PAD V Elite,2026 Scan Tool, ECU Online Code Scan Tool,Topology Map,Bi-Directional Control Scanner,60+ Services,CANFD/DOIP, HD Truck,2 Yrs Free Update</t>
        </is>
      </c>
      <c r="B280" s="35" t="inlineStr">
        <is>
          <t>B0CT8LN72G</t>
        </is>
      </c>
      <c r="C280" s="35" t="inlineStr">
        <is>
          <t>Tablet</t>
        </is>
      </c>
      <c r="D280" s="359" t="n">
        <v>1899</v>
      </c>
      <c r="E280" s="66" t="n">
        <v>11603.08</v>
      </c>
      <c r="F280" s="67" t="n">
        <v>0</v>
      </c>
      <c r="G280" s="68" t="n">
        <v>7</v>
      </c>
      <c r="H280" s="68" t="n">
        <v>0</v>
      </c>
      <c r="I280" s="68" t="n">
        <v>3</v>
      </c>
      <c r="J280" s="69" t="n">
        <v>5</v>
      </c>
      <c r="K280" s="69" t="inlineStr">
        <is>
          <t>https://amazon.com/dp/B0CT8LN72G</t>
        </is>
      </c>
      <c r="L280" s="114">
        <f>HYPERLINK(Table3660[[#This Row],[Column1]])</f>
        <v/>
      </c>
    </row>
    <row r="281" ht="45" customHeight="1" s="314">
      <c r="A281" s="35" t="inlineStr">
        <is>
          <t>LAUNCH X431 PRO Star [2025 Lastest Version] Bi-Directional Diagnostic Scanner, 37+ Services, ECU Coding, Full System OBD2 Scan Tool with CANFD, DoIP, FCA AutoAuth, Quick Guided, 2 Years Free Update</t>
        </is>
      </c>
      <c r="B281" s="35" t="inlineStr">
        <is>
          <t>B0D7W36PVD</t>
        </is>
      </c>
      <c r="C281" s="35" t="inlineStr">
        <is>
          <t>Tablet</t>
        </is>
      </c>
      <c r="D281" s="359" t="n">
        <v>645</v>
      </c>
      <c r="E281" s="66" t="n">
        <v>7750.51</v>
      </c>
      <c r="F281" s="67" t="n">
        <v>0</v>
      </c>
      <c r="G281" s="68" t="n">
        <v>13</v>
      </c>
      <c r="H281" s="68" t="n">
        <v>0</v>
      </c>
      <c r="I281" s="68" t="n">
        <v>7</v>
      </c>
      <c r="J281" s="69" t="n">
        <v>4.7</v>
      </c>
      <c r="K281" s="69" t="inlineStr">
        <is>
          <t>https://amazon.com/dp/B0D7W36PVD</t>
        </is>
      </c>
      <c r="L281" s="114">
        <f>HYPERLINK(Table3660[[#This Row],[Column1]])</f>
        <v/>
      </c>
    </row>
    <row r="282" ht="45" customHeight="1" s="314">
      <c r="A282" s="35" t="inlineStr">
        <is>
          <t>LAUNCH Creader Elite V3.0 for Land Rover Jaguar OBD2 Scanner, Bi-Directional Full Systems Diagnostic Scan Tool, All Reset Services, Active Test, CAN-FD &amp; DOIP, Height Calibration, Lifetime Free Update</t>
        </is>
      </c>
      <c r="B282" s="35" t="inlineStr">
        <is>
          <t>B0GGPBVP63</t>
        </is>
      </c>
      <c r="C282" s="35" t="inlineStr">
        <is>
          <t>Tablet</t>
        </is>
      </c>
      <c r="D282" s="359" t="n">
        <v>209</v>
      </c>
      <c r="E282" s="66" t="n">
        <v>0</v>
      </c>
      <c r="F282" s="67" t="n">
        <v>0</v>
      </c>
      <c r="G282" s="68" t="n">
        <v>0</v>
      </c>
      <c r="H282" s="68" t="n">
        <v>0</v>
      </c>
      <c r="I282" s="68" t="n"/>
      <c r="J282" s="69" t="n"/>
      <c r="K282" s="69" t="inlineStr">
        <is>
          <t>https://amazon.com/dp/B0GGPBVP63</t>
        </is>
      </c>
      <c r="L282" s="114">
        <f>HYPERLINK(Table3660[[#This Row],[Column1]])</f>
        <v/>
      </c>
    </row>
    <row r="283" ht="45" customHeight="1" s="314">
      <c r="A283" s="35" t="inlineStr">
        <is>
          <t>LAUNCH X431 PAD V Elite ECU Coding Scan Tool,Topology Map,Full System Diagnostic Scanner,Full Bi-Directional Control &amp; 60+ Reset Functions,Heavy Duty Truck,CAN FD,2 Yrs Update</t>
        </is>
      </c>
      <c r="B283" s="35" t="inlineStr">
        <is>
          <t>B092LYKYF5</t>
        </is>
      </c>
      <c r="C283" s="35" t="inlineStr">
        <is>
          <t>Tablet</t>
        </is>
      </c>
      <c r="D283" s="359" t="n">
        <v>1899</v>
      </c>
      <c r="E283" s="66" t="n">
        <v>23861.84</v>
      </c>
      <c r="F283" s="67" t="n">
        <v>0</v>
      </c>
      <c r="G283" s="68" t="n">
        <v>13</v>
      </c>
      <c r="H283" s="68" t="n">
        <v>0</v>
      </c>
      <c r="I283" s="68" t="n">
        <v>54</v>
      </c>
      <c r="J283" s="69" t="n">
        <v>3.8</v>
      </c>
      <c r="K283" s="69" t="inlineStr">
        <is>
          <t>https://amazon.com/dp/B092LYKYF5</t>
        </is>
      </c>
      <c r="L283" s="114">
        <f>HYPERLINK(Table3660[[#This Row],[Column1]])</f>
        <v/>
      </c>
    </row>
    <row r="284" ht="17" customHeight="1" s="314">
      <c r="A284" s="35" t="inlineStr">
        <is>
          <t>LAUNCH Creader Elite HD CRE CUMMIS Full System Heavy Duty Truck Scanner Semi Bidirectional Diesel Diagnostic Scan Tool with DPF Regen, 40+ Reset for Cummins</t>
        </is>
      </c>
      <c r="B284" s="35" t="inlineStr">
        <is>
          <t>B0DHCD4XK4</t>
        </is>
      </c>
      <c r="C284" s="35" t="inlineStr">
        <is>
          <t>Tablet</t>
        </is>
      </c>
      <c r="D284" s="359" t="n">
        <v>429</v>
      </c>
      <c r="E284" s="66" t="n">
        <v>8480.93</v>
      </c>
      <c r="F284" s="67" t="n">
        <v>0</v>
      </c>
      <c r="G284" s="68" t="n">
        <v>19</v>
      </c>
      <c r="H284" s="68" t="n">
        <v>0</v>
      </c>
      <c r="I284" s="68" t="n">
        <v>8</v>
      </c>
      <c r="J284" s="69" t="n">
        <v>4.8</v>
      </c>
      <c r="K284" s="69" t="inlineStr">
        <is>
          <t>https://amazon.com/dp/B0DHCD4XK4</t>
        </is>
      </c>
      <c r="L284" s="114">
        <f>HYPERLINK(Table3660[[#This Row],[Column1]])</f>
        <v/>
      </c>
    </row>
    <row r="285" ht="30" customHeight="1" s="314">
      <c r="A285" s="35" t="inlineStr">
        <is>
          <t>LAUNCH CRP919 New Energy Vehicle Scanner, EV Scan Tool with All System, ECU Coding, Bidirectional Control, 43 Service, CANFD and DOIP, 2 Yers Free Update</t>
        </is>
      </c>
      <c r="B285" s="35" t="inlineStr">
        <is>
          <t>B0F21GPYPT</t>
        </is>
      </c>
      <c r="C285" s="35" t="inlineStr">
        <is>
          <t>Tablet</t>
        </is>
      </c>
      <c r="D285" s="359" t="n">
        <v>549</v>
      </c>
      <c r="E285" s="66" t="n">
        <v>1610.16</v>
      </c>
      <c r="F285" s="67" t="n">
        <v>0</v>
      </c>
      <c r="G285" s="68" t="n">
        <v>4</v>
      </c>
      <c r="H285" s="68" t="n">
        <v>0</v>
      </c>
      <c r="I285" s="68" t="n"/>
      <c r="J285" s="69" t="n"/>
      <c r="K285" s="69" t="inlineStr">
        <is>
          <t>https://amazon.com/dp/B0F21GPYPT</t>
        </is>
      </c>
      <c r="L285" s="114">
        <f>HYPERLINK(Table3660[[#This Row],[Column1]])</f>
        <v/>
      </c>
    </row>
    <row r="286" ht="17" customHeight="1" s="314">
      <c r="A286" s="35" t="inlineStr">
        <is>
          <t>LAUNCH OBD2 Scanner CRP919X Lite, Active Tests &amp; 32+ Reset Services Bidirectional Scan Tool, 2-Year Free Update, OE-Level Full System Scan Tool, ABS Bleeding, BMS/Oil Reset, Auto VIN</t>
        </is>
      </c>
      <c r="B286" s="35" t="inlineStr">
        <is>
          <t>B08BFW6R3N</t>
        </is>
      </c>
      <c r="C286" s="35" t="inlineStr">
        <is>
          <t>Tablet</t>
        </is>
      </c>
      <c r="D286" s="359" t="n">
        <v>405</v>
      </c>
      <c r="E286" s="66" t="n">
        <v>19002.99</v>
      </c>
      <c r="F286" s="67" t="n">
        <v>0</v>
      </c>
      <c r="G286" s="68" t="n">
        <v>53</v>
      </c>
      <c r="H286" s="68" t="n">
        <v>0</v>
      </c>
      <c r="I286" s="68" t="n">
        <v>412</v>
      </c>
      <c r="J286" s="69" t="n">
        <v>4.2</v>
      </c>
      <c r="K286" s="69" t="inlineStr">
        <is>
          <t>https://amazon.com/dp/B08BFW6R3N</t>
        </is>
      </c>
      <c r="L286" s="114">
        <f>HYPERLINK(Table3660[[#This Row],[Column1]])</f>
        <v/>
      </c>
    </row>
    <row r="287" ht="45" customHeight="1" s="314">
      <c r="A287" s="35" t="inlineStr">
        <is>
          <t>LAUNCH X431 SmartLink C V2.0 HD Lite Heavy Duty Diagnostic Module,Diesel Scan Tool for 24V HD Trucks &amp; Commercial Vehicle,CANFD&amp;DOIP,Compatible with 8-inch Tablet X431 PRO V5.0/PROS 5.0/PRO TT/Dyno</t>
        </is>
      </c>
      <c r="B287" s="35" t="inlineStr">
        <is>
          <t>B0FKG56Q8C</t>
        </is>
      </c>
      <c r="C287" s="35" t="inlineStr">
        <is>
          <t>Tablet</t>
        </is>
      </c>
      <c r="D287" s="359" t="n">
        <v>699</v>
      </c>
      <c r="E287" s="66" t="n">
        <v>6220.46</v>
      </c>
      <c r="F287" s="67" t="n">
        <v>0</v>
      </c>
      <c r="G287" s="68" t="n">
        <v>7</v>
      </c>
      <c r="H287" s="68" t="n">
        <v>0</v>
      </c>
      <c r="I287" s="68" t="n">
        <v>1</v>
      </c>
      <c r="J287" s="69" t="n">
        <v>1</v>
      </c>
      <c r="K287" s="69" t="inlineStr">
        <is>
          <t>https://amazon.com/dp/B0FKG56Q8C</t>
        </is>
      </c>
      <c r="L287" s="114">
        <f>HYPERLINK(Table3660[[#This Row],[Column1]])</f>
        <v/>
      </c>
    </row>
    <row r="288" ht="45" customHeight="1" s="314">
      <c r="A288" s="35" t="inlineStr">
        <is>
          <t>LAUNCH X431 V+ SmartLink HD Heavy Duty Truck Diagnostic Scanner Diesel Commercial Vehicle Construction Machinery Agricultural Bus Scan Tool, J2534 ECU Coding, All System Diagnosis, Active Test</t>
        </is>
      </c>
      <c r="B288" s="35" t="inlineStr">
        <is>
          <t>B0CF1VLD5R</t>
        </is>
      </c>
      <c r="C288" s="35" t="inlineStr">
        <is>
          <t>Tablet</t>
        </is>
      </c>
      <c r="D288" s="359" t="n">
        <v>1439</v>
      </c>
      <c r="E288" s="66" t="n">
        <v>0</v>
      </c>
      <c r="F288" s="67" t="n">
        <v>0</v>
      </c>
      <c r="G288" s="68" t="n">
        <v>0</v>
      </c>
      <c r="H288" s="68" t="n">
        <v>0</v>
      </c>
      <c r="I288" s="68" t="n">
        <v>2</v>
      </c>
      <c r="J288" s="69" t="n">
        <v>5</v>
      </c>
      <c r="K288" s="69" t="inlineStr">
        <is>
          <t>https://amazon.com/dp/B0CF1VLD5R</t>
        </is>
      </c>
      <c r="L288" s="114">
        <f>HYPERLINK(Table3660[[#This Row],[Column1]])</f>
        <v/>
      </c>
    </row>
    <row r="289" ht="17" customHeight="1" s="314">
      <c r="A289" s="35" t="inlineStr">
        <is>
          <t>Launch X431 PRO3 V+ 5.0, 2026 Upgrade Bluetooth Bi-Directional Scan Tool, OEM Topology Mapping, HD Trucks Diagnosis, Online Coding, 55+ Services, CAN FD AutoAuth FCA SGW, 2-Year Free Update</t>
        </is>
      </c>
      <c r="B289" s="35" t="inlineStr">
        <is>
          <t>B0F1SJ938Y</t>
        </is>
      </c>
      <c r="C289" s="35" t="inlineStr">
        <is>
          <t>Tablet</t>
        </is>
      </c>
      <c r="D289" s="359" t="n">
        <v>1169</v>
      </c>
      <c r="E289" s="66" t="n">
        <v>12263.95</v>
      </c>
      <c r="F289" s="67" t="n">
        <v>0</v>
      </c>
      <c r="G289" s="68" t="n">
        <v>12</v>
      </c>
      <c r="H289" s="68" t="n">
        <v>0</v>
      </c>
      <c r="I289" s="68" t="n">
        <v>3</v>
      </c>
      <c r="J289" s="69" t="n">
        <v>5</v>
      </c>
      <c r="K289" s="69" t="inlineStr">
        <is>
          <t>https://amazon.com/dp/B0F1SJ938Y</t>
        </is>
      </c>
      <c r="L289" s="114">
        <f>HYPERLINK(Table3660[[#This Row],[Column1]])</f>
        <v/>
      </c>
    </row>
    <row r="290" ht="60" customHeight="1" s="314">
      <c r="A290" s="35" t="inlineStr">
        <is>
          <t>LAUNCH X431 PRO Star 2026 Elite Bi-Directional Scan Tool, Full System Diagnostic Scanner with ECU Coding, 38+ Reset Services, CANFD &amp; DOIP, FCA AutoAuth, 2-Year Free Updates, 1996+ OBD2 Vehicles</t>
        </is>
      </c>
      <c r="B290" s="35" t="inlineStr">
        <is>
          <t>B0FQ9MGM32</t>
        </is>
      </c>
      <c r="C290" s="35" t="inlineStr">
        <is>
          <t>Tablet</t>
        </is>
      </c>
      <c r="D290" s="359" t="n">
        <v>526.99</v>
      </c>
      <c r="E290" s="66" t="n">
        <v>2542.06</v>
      </c>
      <c r="F290" s="67" t="n">
        <v>0</v>
      </c>
      <c r="G290" s="68" t="n">
        <v>5</v>
      </c>
      <c r="H290" s="68" t="n">
        <v>0</v>
      </c>
      <c r="I290" s="68" t="n"/>
      <c r="J290" s="69" t="n"/>
      <c r="K290" s="69" t="inlineStr">
        <is>
          <t>https://amazon.com/dp/B0FQ9MGM32</t>
        </is>
      </c>
      <c r="L290" s="114">
        <f>HYPERLINK(Table3660[[#This Row],[Column1]])</f>
        <v/>
      </c>
    </row>
    <row r="291" ht="17" customHeight="1" s="314">
      <c r="A291" s="35" t="inlineStr">
        <is>
          <t>LAUNCH CRP123E Plus OBD2 Scanner, All System Car Diagnostic Scan Tool with Oil Reset, SAS Calibration, Throttle Adaptation,Support FCA,Lifetime Free Update</t>
        </is>
      </c>
      <c r="B291" s="35" t="inlineStr">
        <is>
          <t>B0G3P6W7YX</t>
        </is>
      </c>
      <c r="C291" s="35" t="inlineStr">
        <is>
          <t>Tablet</t>
        </is>
      </c>
      <c r="D291" s="359" t="n">
        <v>199</v>
      </c>
      <c r="E291" s="66" t="n">
        <v>259</v>
      </c>
      <c r="F291" s="67" t="n">
        <v>0</v>
      </c>
      <c r="G291" s="68" t="n">
        <v>1</v>
      </c>
      <c r="H291" s="68" t="n">
        <v>0</v>
      </c>
      <c r="I291" s="68" t="n">
        <v>8</v>
      </c>
      <c r="J291" s="69" t="n">
        <v>4.4</v>
      </c>
      <c r="K291" s="69" t="inlineStr">
        <is>
          <t>https://amazon.com/dp/B0G3P6W7YX</t>
        </is>
      </c>
      <c r="L291" s="114">
        <f>HYPERLINK(TABLE291)</f>
        <v/>
      </c>
    </row>
    <row r="292">
      <c r="A292" s="35" t="inlineStr">
        <is>
          <t>LAUNCH CR301 Two Button Scan Tool</t>
        </is>
      </c>
      <c r="B292" s="35" t="inlineStr">
        <is>
          <t>B07CTYQPF6</t>
        </is>
      </c>
      <c r="C292" s="35" t="inlineStr">
        <is>
          <t>Handheld</t>
        </is>
      </c>
      <c r="D292" s="359" t="n">
        <v>22.92</v>
      </c>
      <c r="E292" s="66" t="n">
        <v>91.69</v>
      </c>
      <c r="F292" s="67" t="n">
        <v>0</v>
      </c>
      <c r="G292" s="68" t="n">
        <v>4</v>
      </c>
      <c r="H292" s="68" t="n">
        <v>0</v>
      </c>
      <c r="I292" s="68" t="n">
        <v>11</v>
      </c>
      <c r="J292" s="69" t="n">
        <v>4.5</v>
      </c>
      <c r="K292" s="69" t="inlineStr">
        <is>
          <t>https://amazon.com/dp/B07CTYQPF6</t>
        </is>
      </c>
      <c r="L292" s="114">
        <f>HYPERLINK(TABLE292)</f>
        <v/>
      </c>
    </row>
    <row r="293">
      <c r="A293" s="35" t="inlineStr">
        <is>
          <t>LAUNCH X431 Plus, with X-PROG3 Tool, All-System Diagnostics, Bi-Directional Scan Tool, 39+ Services, ECU Code Scanner, V.A.G Guided, CAN FD&amp;DOIP</t>
        </is>
      </c>
      <c r="B293" s="35" t="inlineStr">
        <is>
          <t>B0DHCN8WKP</t>
        </is>
      </c>
      <c r="C293" s="35" t="inlineStr">
        <is>
          <t>Tablet</t>
        </is>
      </c>
      <c r="D293" s="359" t="n">
        <v>1499</v>
      </c>
      <c r="E293" s="66" t="n">
        <v>15609.17</v>
      </c>
      <c r="F293" s="67" t="n">
        <v>0</v>
      </c>
      <c r="G293" s="68" t="n">
        <v>12</v>
      </c>
      <c r="H293" s="68" t="n">
        <v>0</v>
      </c>
      <c r="I293" s="68" t="n">
        <v>1</v>
      </c>
      <c r="J293" s="69" t="n">
        <v>3</v>
      </c>
      <c r="K293" s="69" t="inlineStr">
        <is>
          <t>https://amazon.com/dp/B0DHCN8WKP</t>
        </is>
      </c>
      <c r="L293" s="114">
        <f>HYPERLINK(TABLE293)</f>
        <v/>
      </c>
    </row>
    <row r="294">
      <c r="A294" s="35" t="inlineStr">
        <is>
          <t>Launch DBScar VII OBD2 Diagnostic Cable with Adapter, J2534 Reprogramming &amp; ECU Coding Enhanced Compatibility Scanner Tool Cable</t>
        </is>
      </c>
    </row>
    <row r="295" ht="17" customHeight="1" s="314">
      <c r="A295" s="35" t="inlineStr">
        <is>
          <t>Launch Tech USA Millennium TSAP Plus Activation and Diagnostic Tool for TPMS System</t>
        </is>
      </c>
      <c r="B295" s="35" t="inlineStr">
        <is>
          <t>B07V7Y6C1N</t>
        </is>
      </c>
      <c r="C295" s="35" t="inlineStr">
        <is>
          <t>Handheld</t>
        </is>
      </c>
      <c r="D295" s="359" t="n">
        <v>276.44</v>
      </c>
      <c r="E295" s="66" t="n">
        <v>0</v>
      </c>
      <c r="F295" s="67" t="n">
        <v>0</v>
      </c>
      <c r="G295" s="68" t="n">
        <v>0</v>
      </c>
      <c r="H295" s="68" t="n">
        <v>0</v>
      </c>
      <c r="I295" s="68" t="n">
        <v>1</v>
      </c>
      <c r="J295" s="69" t="n">
        <v>5</v>
      </c>
      <c r="K295" s="69" t="inlineStr">
        <is>
          <t>https://amazon.com/dp/B07V7Y6C1N</t>
        </is>
      </c>
      <c r="L295" s="114">
        <f>HYPERLINK(TABLE295)</f>
        <v/>
      </c>
    </row>
    <row r="296" ht="45" customHeight="1" s="314">
      <c r="A296" s="41" t="inlineStr">
        <is>
          <t>Total</t>
        </is>
      </c>
      <c r="B296" s="41" t="n"/>
      <c r="C296" s="365" t="n"/>
      <c r="D296" s="365" t="n"/>
      <c r="E296" s="122">
        <f>SUM(E9:E295)</f>
        <v/>
      </c>
      <c r="F296" s="122">
        <f>SUM(F9:F295)</f>
        <v/>
      </c>
      <c r="G296" s="123" t="n"/>
      <c r="H296" s="123" t="n"/>
      <c r="I296" s="123" t="n"/>
      <c r="J296" s="128" t="n"/>
      <c r="K296" s="41" t="n"/>
      <c r="L296" s="40" t="n"/>
    </row>
    <row r="297" ht="45" customHeight="1" s="314">
      <c r="A297" s="35" t="n"/>
      <c r="B297" s="35" t="n"/>
      <c r="C297" s="359" t="n"/>
      <c r="D297" s="66" t="n"/>
      <c r="E297" s="66" t="n"/>
      <c r="F297" s="68" t="n"/>
      <c r="G297" s="68" t="n"/>
      <c r="H297" s="68" t="n"/>
      <c r="I297" s="69" t="n"/>
      <c r="J297" s="35" t="n"/>
    </row>
    <row r="298" ht="60" customHeight="1" s="314">
      <c r="A298" s="35" t="n"/>
      <c r="B298" s="35" t="n"/>
      <c r="C298" s="359" t="n"/>
      <c r="D298" s="66" t="n"/>
      <c r="E298" s="66" t="n"/>
      <c r="F298" s="68" t="n"/>
      <c r="G298" s="68" t="n"/>
      <c r="H298" s="68" t="n"/>
      <c r="I298" s="69" t="n"/>
      <c r="J298" s="35" t="n"/>
    </row>
    <row r="299" ht="45" customHeight="1" s="314">
      <c r="A299" s="307" t="inlineStr">
        <is>
          <t>Rank by Units</t>
        </is>
      </c>
    </row>
    <row r="300" ht="45" customHeight="1" s="314">
      <c r="A300" s="46" t="inlineStr">
        <is>
          <t>Product Name</t>
        </is>
      </c>
      <c r="B300" s="47" t="inlineStr">
        <is>
          <t>ASIN</t>
        </is>
      </c>
      <c r="C300" s="47" t="inlineStr">
        <is>
          <t>Type</t>
        </is>
      </c>
      <c r="D300" s="345" t="inlineStr">
        <is>
          <t>Avg Price</t>
        </is>
      </c>
      <c r="E300" s="49" t="inlineStr">
        <is>
          <t>Estimated 12mo Revenue</t>
        </is>
      </c>
      <c r="F300" s="47" t="inlineStr">
        <is>
          <t>Monthly Rev</t>
        </is>
      </c>
      <c r="G300" s="51" t="inlineStr">
        <is>
          <t>Estimated 12mo Units</t>
        </is>
      </c>
      <c r="H300" s="54" t="inlineStr">
        <is>
          <t>Monthly Units</t>
        </is>
      </c>
      <c r="I300" s="51" t="inlineStr">
        <is>
          <t># of Reviews</t>
        </is>
      </c>
      <c r="J300" s="52" t="inlineStr">
        <is>
          <t xml:space="preserve">Tool Rating </t>
        </is>
      </c>
      <c r="K300" s="52" t="inlineStr">
        <is>
          <t>Column1</t>
        </is>
      </c>
      <c r="L300" s="346" t="inlineStr">
        <is>
          <t>Link</t>
        </is>
      </c>
    </row>
    <row r="301" ht="60" customHeight="1" s="314">
      <c r="A301" s="35" t="inlineStr">
        <is>
          <t>Launch OBD2 Scanner CRP123X V3.0 Elite, 2026 Lifetime Free WiFi Update Scan Tool, FCA SGW, CANFD&amp;DoIP, SAS/Throttle/Brake/BMS/D-P-F/Oil/ABS Service Multi Systems Car Scanner, Battery Test, Auto VIN</t>
        </is>
      </c>
      <c r="B301" s="35" t="inlineStr">
        <is>
          <t>B07RLF8FBC</t>
        </is>
      </c>
      <c r="C301" s="35" t="inlineStr">
        <is>
          <t>Tablet</t>
        </is>
      </c>
      <c r="D301" s="359" t="n">
        <v>175.4881313868613</v>
      </c>
      <c r="E301" s="66" t="n">
        <v>1866898.47</v>
      </c>
      <c r="F301" s="66" t="n">
        <v>120209.37</v>
      </c>
      <c r="G301" s="68" t="n">
        <v>11367</v>
      </c>
      <c r="H301" s="70" t="n">
        <v>685</v>
      </c>
      <c r="I301" s="68" t="n">
        <v>3475</v>
      </c>
      <c r="J301" s="69" t="n">
        <v>4.4</v>
      </c>
      <c r="K301" s="69" t="inlineStr">
        <is>
          <t>https://amazon.com/dp/B07RLF8FBC</t>
        </is>
      </c>
      <c r="L301" s="114">
        <f>HYPERLINK(Table3559[[#This Row],[Column1]])</f>
        <v/>
      </c>
    </row>
    <row r="302" ht="45" customHeight="1" s="314">
      <c r="A302" s="35" t="inlineStr">
        <is>
          <t>LAUNCH CRP123 V2.0 OBD2 Scanner-2026 New Model Engine/ABS/SRS/Transmission Diagnostic Scan Tool SRS Airbag Code Reader,3 Reset Oil Service/Throttle Relearn/SAS Reset,Lifetime Free Update</t>
        </is>
      </c>
      <c r="B302" s="35" t="inlineStr">
        <is>
          <t>B073GW5MTS</t>
        </is>
      </c>
      <c r="C302" s="35" t="inlineStr">
        <is>
          <t>Tablet</t>
        </is>
      </c>
      <c r="D302" s="359" t="n">
        <v>123.3720119521912</v>
      </c>
      <c r="E302" s="66" t="n">
        <v>649778.4400000001</v>
      </c>
      <c r="F302" s="66" t="n">
        <v>61932.75</v>
      </c>
      <c r="G302" s="68" t="n">
        <v>5178</v>
      </c>
      <c r="H302" s="70" t="n">
        <v>502</v>
      </c>
      <c r="I302" s="68" t="n">
        <v>4044</v>
      </c>
      <c r="J302" s="69" t="n">
        <v>4.3</v>
      </c>
      <c r="K302" s="69" t="inlineStr">
        <is>
          <t>https://amazon.com/dp/B073GW5MTS</t>
        </is>
      </c>
      <c r="L302" s="114">
        <f>HYPERLINK(Table3559[[#This Row],[Column1]])</f>
        <v/>
      </c>
    </row>
    <row r="303" ht="45" customHeight="1" s="314">
      <c r="A303" s="35" t="inlineStr">
        <is>
          <t>LAUNCH OBD2 Scanner CRP123I V3.0 Elite, 2026 Lifetime Free WiFi Update Scan Tool, FCA SGW, CANFD&amp;DoIP, SAS/Throttle/Brake/BMS/DPF/Oil/ABS Service Multi Systems Car Scanner, Battery Test, Auto VIN</t>
        </is>
      </c>
      <c r="B303" s="35" t="inlineStr">
        <is>
          <t>B07QW18S12</t>
        </is>
      </c>
      <c r="C303" s="35" t="inlineStr">
        <is>
          <t>Tablet</t>
        </is>
      </c>
      <c r="D303" s="359" t="n">
        <v>158.969527027027</v>
      </c>
      <c r="E303" s="66" t="n">
        <v>883939.4592307692</v>
      </c>
      <c r="F303" s="66" t="n">
        <v>70582.47</v>
      </c>
      <c r="G303" s="68" t="n">
        <v>4933</v>
      </c>
      <c r="H303" s="70" t="n">
        <v>444</v>
      </c>
      <c r="I303" s="68" t="n">
        <v>3343</v>
      </c>
      <c r="J303" s="69" t="n">
        <v>4.4</v>
      </c>
      <c r="K303" s="69" t="inlineStr">
        <is>
          <t>https://amazon.com/dp/B07QW18S12</t>
        </is>
      </c>
      <c r="L303" s="114">
        <f>HYPERLINK(Table3559[[#This Row],[Column1]])</f>
        <v/>
      </c>
    </row>
    <row r="304" ht="45" customHeight="1" s="314">
      <c r="A304" s="35" t="inlineStr">
        <is>
          <t>LAUNCH Creader Elite Bi-Directional OBD2 Scanner for Toyota Lexus, 2026 Full System Diagnostic Scan Tool, All Reset Service Code Reader, Battery Registration,AUTO VIN,Lifetime Free Update</t>
        </is>
      </c>
      <c r="B304" s="35" t="inlineStr">
        <is>
          <t>B0D176ZCXQ</t>
        </is>
      </c>
      <c r="C304" s="35" t="inlineStr">
        <is>
          <t>Handheld</t>
        </is>
      </c>
      <c r="D304" s="359" t="n">
        <v>144.6528205128205</v>
      </c>
      <c r="E304" s="66" t="n">
        <v>277266.21</v>
      </c>
      <c r="F304" s="66" t="n">
        <v>50773.14</v>
      </c>
      <c r="G304" s="68" t="n">
        <v>1980</v>
      </c>
      <c r="H304" s="70" t="n">
        <v>351</v>
      </c>
      <c r="I304" s="68" t="n">
        <v>357</v>
      </c>
      <c r="J304" s="69" t="n">
        <v>4.3</v>
      </c>
      <c r="K304" s="69" t="inlineStr">
        <is>
          <t>https://amazon.com/dp/B0D176ZCXQ</t>
        </is>
      </c>
      <c r="L304" s="114">
        <f>HYPERLINK(Table3559[[#This Row],[Column1]])</f>
        <v/>
      </c>
    </row>
    <row r="305" ht="45" customHeight="1" s="314">
      <c r="A305" s="35" t="inlineStr">
        <is>
          <t>Launch CR529 OBD2 Scanner Diagnostic Tool, Full OBD2 Scanner for Car, Free Lifetime Upd. Check-Egine-Light Code Reader, 5 Years. Backup, Clear Codes, One Click I/M, for DIYers with Cars After 1996</t>
        </is>
      </c>
      <c r="B305" s="35" t="inlineStr">
        <is>
          <t>B082MCG82X</t>
        </is>
      </c>
      <c r="C305" s="35" t="inlineStr">
        <is>
          <t>Handheld</t>
        </is>
      </c>
      <c r="D305" s="359" t="n">
        <v>38.82355987055016</v>
      </c>
      <c r="E305" s="66" t="n">
        <v>204808.69</v>
      </c>
      <c r="F305" s="66" t="n">
        <v>11996.48</v>
      </c>
      <c r="G305" s="68" t="n">
        <v>5112</v>
      </c>
      <c r="H305" s="70" t="n">
        <v>309</v>
      </c>
      <c r="I305" s="68" t="n">
        <v>4214</v>
      </c>
      <c r="J305" s="69" t="n">
        <v>4.4</v>
      </c>
      <c r="K305" s="69" t="inlineStr">
        <is>
          <t>https://amazon.com/dp/B082MCG82X</t>
        </is>
      </c>
      <c r="L305" s="114">
        <f>HYPERLINK(Table3559[[#This Row],[Column1]])</f>
        <v/>
      </c>
    </row>
    <row r="306" ht="45" customHeight="1" s="314">
      <c r="A306" s="35" t="inlineStr">
        <is>
          <t>LAUNCH X431 CRP919XBT OBD2 Scanner, 2026 Wireless Bidirectional Scan Tool with ECU Coding, 35+ Services, All Systems Diagnostic, FCA AutoAuth, 2Yrs Free Update, V.A.G Guide, CANFD, Upgraded of CRP919X</t>
        </is>
      </c>
      <c r="B306" s="35" t="inlineStr">
        <is>
          <t>B0CJDTPDPB</t>
        </is>
      </c>
      <c r="C306" s="35" t="inlineStr">
        <is>
          <t>Tablet</t>
        </is>
      </c>
      <c r="D306" s="359" t="n">
        <v>502.6669836065574</v>
      </c>
      <c r="E306" s="66" t="n">
        <v>1280623.858461539</v>
      </c>
      <c r="F306" s="66" t="n">
        <v>153313.43</v>
      </c>
      <c r="G306" s="68" t="n">
        <v>1981</v>
      </c>
      <c r="H306" s="70" t="n">
        <v>305</v>
      </c>
      <c r="I306" s="68" t="n">
        <v>381</v>
      </c>
      <c r="J306" s="69" t="n">
        <v>4.4</v>
      </c>
      <c r="K306" s="69" t="inlineStr">
        <is>
          <t>https://amazon.com/dp/B0CJDTPDPB</t>
        </is>
      </c>
      <c r="L306" s="114">
        <f>HYPERLINK(Table3559[[#This Row],[Column1]])</f>
        <v/>
      </c>
    </row>
    <row r="307" ht="45" customHeight="1" s="314">
      <c r="A307" s="35" t="inlineStr">
        <is>
          <t>2026 LAUNCH Creader Elite V3.0 fit for Toyota Lexus Bi-Directional Scan Tool, Full System OBD2 Scanner, All Reset Service Code Reader, AUTOVIN, ECU Code, Battery Registration, Lifetime Free Update</t>
        </is>
      </c>
      <c r="B307" s="35" t="inlineStr">
        <is>
          <t>B0D626T9HK</t>
        </is>
      </c>
      <c r="C307" s="35" t="inlineStr">
        <is>
          <t>Tablet</t>
        </is>
      </c>
      <c r="D307" s="359" t="n">
        <v>194.0606474820144</v>
      </c>
      <c r="E307" s="66" t="n">
        <v>538897.6476923076</v>
      </c>
      <c r="F307" s="66" t="n">
        <v>53948.86</v>
      </c>
      <c r="G307" s="68" t="n">
        <v>2877</v>
      </c>
      <c r="H307" s="70" t="n">
        <v>278</v>
      </c>
      <c r="I307" s="68" t="n">
        <v>640</v>
      </c>
      <c r="J307" s="69" t="n">
        <v>3.9</v>
      </c>
      <c r="K307" s="69" t="inlineStr">
        <is>
          <t>https://amazon.com/dp/B0D626T9HK</t>
        </is>
      </c>
      <c r="L307" s="114">
        <f>HYPERLINK(Table3559[[#This Row],[Column1]])</f>
        <v/>
      </c>
    </row>
    <row r="308" ht="45" customHeight="1" s="314">
      <c r="A308" s="35" t="inlineStr">
        <is>
          <t>2026 LAUNCH Creader Elite V2.0 fit for GM Bi-Directional Scan Tool, All Reset Full System Diagnostic Scanner, AUTOVIN, Full OBD2 Code Reader for Buick/Chevrolet/Cadillac/GMC, Lifetime Free Update</t>
        </is>
      </c>
      <c r="B308" s="35" t="inlineStr">
        <is>
          <t>B0CRT4GJMX</t>
        </is>
      </c>
      <c r="C308" s="35" t="inlineStr">
        <is>
          <t>Tablet</t>
        </is>
      </c>
      <c r="D308" s="359" t="n">
        <v>186.7348148148148</v>
      </c>
      <c r="E308" s="66" t="n">
        <v>506064.15</v>
      </c>
      <c r="F308" s="66" t="n">
        <v>40334.72</v>
      </c>
      <c r="G308" s="68" t="n">
        <v>2892</v>
      </c>
      <c r="H308" s="70" t="n">
        <v>216</v>
      </c>
      <c r="I308" s="68" t="n">
        <v>253</v>
      </c>
      <c r="J308" s="69" t="n">
        <v>4.1</v>
      </c>
      <c r="K308" s="69" t="inlineStr">
        <is>
          <t>https://amazon.com/dp/B0CRT4GJMX</t>
        </is>
      </c>
      <c r="L308" s="114">
        <f>HYPERLINK(Table3559[[#This Row],[Column1]])</f>
        <v/>
      </c>
    </row>
    <row r="309" ht="30" customHeight="1" s="314">
      <c r="A309" s="35" t="inlineStr">
        <is>
          <t>Launch X431 PROS Elite 2026 New Bidirectional Scan Tool, 38+ Services, ECU Coding, All-in-One Full System Diagnostic Scanner, Support CANFD&amp;DoIP, FCA AutoAuth, V.A.G Guided, 2 Years Free Update</t>
        </is>
      </c>
      <c r="B309" s="35" t="inlineStr">
        <is>
          <t>B092YL7M8P</t>
        </is>
      </c>
      <c r="C309" s="35" t="inlineStr">
        <is>
          <t>Tablet</t>
        </is>
      </c>
      <c r="D309" s="359" t="n">
        <v>629.9384186046512</v>
      </c>
      <c r="E309" s="66" t="n">
        <v>1068912.49</v>
      </c>
      <c r="F309" s="66" t="n">
        <v>135436.76</v>
      </c>
      <c r="G309" s="68" t="n">
        <v>1714</v>
      </c>
      <c r="H309" s="70" t="n">
        <v>215</v>
      </c>
      <c r="I309" s="68" t="n">
        <v>386</v>
      </c>
      <c r="J309" s="69" t="n">
        <v>4.5</v>
      </c>
      <c r="K309" s="69" t="inlineStr">
        <is>
          <t>https://amazon.com/dp/B092YL7M8P</t>
        </is>
      </c>
      <c r="L309" s="114">
        <f>HYPERLINK(Table3559[[#This Row],[Column1]])</f>
        <v/>
      </c>
    </row>
    <row r="310" ht="45" customHeight="1" s="314">
      <c r="A310" s="35" t="inlineStr">
        <is>
          <t>LAUNCH Creader 3001 OBD2 Scanner, Engine Fault Code Reader Mode 6 CAN Diagnostic Scan Tool for All OBDII Protocol Cars Since 1996, Lifetime Free Update</t>
        </is>
      </c>
      <c r="B310" s="35" t="inlineStr">
        <is>
          <t>B07D1KH9SC</t>
        </is>
      </c>
      <c r="C310" s="35" t="inlineStr">
        <is>
          <t>Handheld</t>
        </is>
      </c>
      <c r="D310" s="359" t="n">
        <v>17.36197044334975</v>
      </c>
      <c r="E310" s="66" t="n">
        <v>63149.46000000001</v>
      </c>
      <c r="F310" s="66" t="n">
        <v>3524.48</v>
      </c>
      <c r="G310" s="68" t="n">
        <v>2873</v>
      </c>
      <c r="H310" s="70" t="n">
        <v>203</v>
      </c>
      <c r="I310" s="68" t="n">
        <v>5861</v>
      </c>
      <c r="J310" s="69" t="n">
        <v>4.5</v>
      </c>
      <c r="K310" s="69" t="inlineStr">
        <is>
          <t>https://amazon.com/dp/B07D1KH9SC</t>
        </is>
      </c>
      <c r="L310" s="114">
        <f>HYPERLINK(Table3559[[#This Row],[Column1]])</f>
        <v/>
      </c>
    </row>
    <row r="311" ht="45" customHeight="1" s="314">
      <c r="A311" s="35" t="inlineStr">
        <is>
          <t>LAUNCH Original USB Charging Cable Replacement X-431 CRP123i, CRP123e, CRP123x, CRP129i, CRP129e, CRP129x, CRP909E, CRP909X OBD2 Scanner 5V DC</t>
        </is>
      </c>
      <c r="B311" s="35" t="inlineStr">
        <is>
          <t>B0CSFNYXJJ</t>
        </is>
      </c>
      <c r="C311" s="35" t="inlineStr">
        <is>
          <t>Cable/Adapter</t>
        </is>
      </c>
      <c r="D311" s="359" t="n">
        <v>11.97830687830688</v>
      </c>
      <c r="E311" s="66" t="n">
        <v>27655.12</v>
      </c>
      <c r="F311" s="66" t="n">
        <v>2263.9</v>
      </c>
      <c r="G311" s="68" t="n">
        <v>2365</v>
      </c>
      <c r="H311" s="70" t="n">
        <v>189</v>
      </c>
      <c r="I311" s="68" t="n">
        <v>148</v>
      </c>
      <c r="J311" s="69" t="n">
        <v>4.7</v>
      </c>
      <c r="K311" s="69" t="inlineStr">
        <is>
          <t>https://amazon.com/dp/B0CSFNYXJJ</t>
        </is>
      </c>
      <c r="L311" s="114">
        <f>HYPERLINK(Table3559[[#This Row],[Column1]])</f>
        <v/>
      </c>
    </row>
    <row r="312" ht="45" customHeight="1" s="314">
      <c r="A312" s="35" t="inlineStr">
        <is>
          <t>LAUNCH X431 CRP919E OBD2 Scanner, 2026 Bidirectional Scan Tool as CRP919EBT, CANFD/DoIP/FCA SGW, ECU Code, 35+ Service, Active Tests, All-in-One Full System Diagnosis, BST360 &amp; i-TPMS, 2 Year Update</t>
        </is>
      </c>
      <c r="B312" s="35" t="inlineStr">
        <is>
          <t>B0DKHKQBDW</t>
        </is>
      </c>
      <c r="C312" s="35" t="inlineStr">
        <is>
          <t>Tablet</t>
        </is>
      </c>
      <c r="D312" s="359" t="n">
        <v>446.4362337662337</v>
      </c>
      <c r="E312" s="66" t="n">
        <v>637297.4199999999</v>
      </c>
      <c r="F312" s="66" t="n">
        <v>68751.17999999999</v>
      </c>
      <c r="G312" s="68" t="n">
        <v>1448</v>
      </c>
      <c r="H312" s="70" t="n">
        <v>154</v>
      </c>
      <c r="I312" s="68" t="n">
        <v>174</v>
      </c>
      <c r="J312" s="69" t="n">
        <v>4.3</v>
      </c>
      <c r="K312" s="69" t="inlineStr">
        <is>
          <t>https://amazon.com/dp/B0DKHKQBDW</t>
        </is>
      </c>
      <c r="L312" s="114">
        <f>HYPERLINK(Table3559[[#This Row],[Column1]])</f>
        <v/>
      </c>
    </row>
    <row r="313" ht="60" customHeight="1" s="314">
      <c r="A313" s="35" t="inlineStr">
        <is>
          <t>2026 LAUNCH Creader Elite V3.0 for Honda Acura OBD2 Scanner, Full Systems Bi-Directional Scan Tool, All Reset Services, Full OBD2 Code Reader, AUTOVIN, Battery Registration, Lifetime Free Update</t>
        </is>
      </c>
      <c r="B313" s="35" t="inlineStr">
        <is>
          <t>B0D626W3Y4</t>
        </is>
      </c>
      <c r="C313" s="35" t="inlineStr">
        <is>
          <t>Tablet</t>
        </is>
      </c>
      <c r="D313" s="359" t="n">
        <v>192.5002684563758</v>
      </c>
      <c r="E313" s="66" t="n">
        <v>196304.38</v>
      </c>
      <c r="F313" s="66" t="n">
        <v>28682.54</v>
      </c>
      <c r="G313" s="68" t="n">
        <v>1137</v>
      </c>
      <c r="H313" s="70" t="n">
        <v>149</v>
      </c>
      <c r="I313" s="68" t="n">
        <v>641</v>
      </c>
      <c r="J313" s="69" t="n">
        <v>3.9</v>
      </c>
      <c r="K313" s="69" t="inlineStr">
        <is>
          <t>https://amazon.com/dp/B0D626W3Y4</t>
        </is>
      </c>
      <c r="L313" s="114">
        <f>HYPERLINK(Table3559[[#This Row],[Column1]])</f>
        <v/>
      </c>
    </row>
    <row r="314" ht="60" customHeight="1" s="314">
      <c r="A314" s="35" t="inlineStr">
        <is>
          <t>2026 LAUNCH Creader Elite for Mercedes-Benz MB Sprinter Maybach Full System OBD2 Scanner, Bidirectional Diagnostic Scan Tool, All Service Code Reader,ECU Code, AutoVin, Lifetime Free Update</t>
        </is>
      </c>
      <c r="B314" s="35" t="inlineStr">
        <is>
          <t>B09XWVNBB6</t>
        </is>
      </c>
      <c r="C314" s="35" t="inlineStr">
        <is>
          <t>Handheld</t>
        </is>
      </c>
      <c r="D314" s="359" t="n">
        <v>166.6150793650794</v>
      </c>
      <c r="E314" s="66" t="n">
        <v>212241.94</v>
      </c>
      <c r="F314" s="66" t="n">
        <v>20993.5</v>
      </c>
      <c r="G314" s="68" t="n">
        <v>1492</v>
      </c>
      <c r="H314" s="70" t="n">
        <v>126</v>
      </c>
      <c r="I314" s="68" t="n">
        <v>550</v>
      </c>
      <c r="J314" s="69" t="n">
        <v>4</v>
      </c>
      <c r="K314" s="69" t="inlineStr">
        <is>
          <t>https://amazon.com/dp/B09XWVNBB6</t>
        </is>
      </c>
      <c r="L314" s="114">
        <f>HYPERLINK(Table3559[[#This Row],[Column1]])</f>
        <v/>
      </c>
    </row>
    <row r="315" ht="45" customHeight="1" s="314">
      <c r="A315" s="35" t="inlineStr">
        <is>
          <t>Launch X431 PRO3 V+ Elite, 2026 SmartlinkC 2.0 Bidirectional Scan Tool with J2534 Portocol, HD Trucks Scanner, 10.1 inch, Topology Map, 60+Service, Online Code, CANFD/DoIP/D-PDU, FCA, 2 Yrs Update</t>
        </is>
      </c>
      <c r="B315" s="35" t="inlineStr">
        <is>
          <t>B0DTTTJWYH</t>
        </is>
      </c>
      <c r="C315" s="35" t="inlineStr">
        <is>
          <t>Tablet</t>
        </is>
      </c>
      <c r="D315" s="359" t="n">
        <v>1343.731951219512</v>
      </c>
      <c r="E315" s="66" t="n">
        <v>862064.9300000001</v>
      </c>
      <c r="F315" s="66" t="n">
        <v>165279.03</v>
      </c>
      <c r="G315" s="68" t="n">
        <v>645</v>
      </c>
      <c r="H315" s="70" t="n">
        <v>123</v>
      </c>
      <c r="I315" s="68" t="n">
        <v>96</v>
      </c>
      <c r="J315" s="69" t="n">
        <v>4.6</v>
      </c>
      <c r="K315" s="69" t="inlineStr">
        <is>
          <t>https://amazon.com/dp/B0DTTTJWYH</t>
        </is>
      </c>
      <c r="L315" s="114">
        <f>HYPERLINK(Table3559[[#This Row],[Column1]])</f>
        <v/>
      </c>
    </row>
    <row r="316" ht="45" customHeight="1" s="314">
      <c r="A316" s="35" t="inlineStr">
        <is>
          <t>LAUNCH X431 PRO3S+ Elite, 2026 All-in-One Bidirectional Scan Tool with J2534 Protocols, HD Trucks Scanner, Topology Map, 60+Service, ECU Code Full Function Scanner, CANFD/DoIP/D-PDU/FCA, 2 Yrs Update</t>
        </is>
      </c>
      <c r="B316" s="35" t="inlineStr">
        <is>
          <t>B0D7VS8SHS</t>
        </is>
      </c>
      <c r="C316" s="35" t="inlineStr">
        <is>
          <t>Tablet</t>
        </is>
      </c>
      <c r="D316" s="359" t="n">
        <v>1260.146721311475</v>
      </c>
      <c r="E316" s="66" t="n">
        <v>2197220.45</v>
      </c>
      <c r="F316" s="66" t="n">
        <v>153737.9</v>
      </c>
      <c r="G316" s="68" t="n">
        <v>1724</v>
      </c>
      <c r="H316" s="70" t="n">
        <v>122</v>
      </c>
      <c r="I316" s="68" t="n">
        <v>157</v>
      </c>
      <c r="J316" s="69" t="n">
        <v>4.3</v>
      </c>
      <c r="K316" s="69" t="inlineStr">
        <is>
          <t>https://amazon.com/dp/B0D7VS8SHS</t>
        </is>
      </c>
      <c r="L316" s="114">
        <f>HYPERLINK(Table3559[[#This Row],[Column1]])</f>
        <v/>
      </c>
    </row>
    <row r="317" ht="45" customHeight="1" s="314">
      <c r="A317" s="35" t="inlineStr">
        <is>
          <t>LAUNCH Original Main Cable for LAUNCH CRP123, CRP129, Creader VII+, Creader VIII OBD2 OBD-II Diagnostic Scanner Replacement Cable</t>
        </is>
      </c>
      <c r="B317" s="35" t="inlineStr">
        <is>
          <t>B0B7K3VFJ3</t>
        </is>
      </c>
      <c r="C317" s="35" t="inlineStr">
        <is>
          <t>Cable/Adapter</t>
        </is>
      </c>
      <c r="D317" s="359" t="n">
        <v>26.00629310344828</v>
      </c>
      <c r="E317" s="66" t="n">
        <v>34930.6</v>
      </c>
      <c r="F317" s="66" t="n">
        <v>3016.73</v>
      </c>
      <c r="G317" s="68" t="n">
        <v>1351</v>
      </c>
      <c r="H317" s="70" t="n">
        <v>116</v>
      </c>
      <c r="I317" s="68" t="n">
        <v>168</v>
      </c>
      <c r="J317" s="69" t="n">
        <v>4.6</v>
      </c>
      <c r="K317" s="69" t="inlineStr">
        <is>
          <t>https://amazon.com/dp/B0B7K3VFJ3</t>
        </is>
      </c>
      <c r="L317" s="114">
        <f>HYPERLINK(Table3559[[#This Row],[Column1]])</f>
        <v/>
      </c>
    </row>
    <row r="318" ht="45" customHeight="1" s="314">
      <c r="A318" s="35" t="inlineStr">
        <is>
          <t>LAUNCH X431 CRP919EBT 2026 Wireless Bidirectional Scan Tool, All-in-One Full System OBD2 Scanner, ECU Coding, 35+ Services, CANFD&amp;DOIP, FCA AutoAuth, VAG Guide, 2Yrs Free Update, Upgraded of CRP919E</t>
        </is>
      </c>
      <c r="B318" s="35" t="inlineStr">
        <is>
          <t>B0C6TC2ZF3</t>
        </is>
      </c>
      <c r="C318" s="35" t="inlineStr">
        <is>
          <t>Tablet</t>
        </is>
      </c>
      <c r="D318" s="359" t="n">
        <v>497.8381578947369</v>
      </c>
      <c r="E318" s="66" t="n">
        <v>1033924.47</v>
      </c>
      <c r="F318" s="66" t="n">
        <v>56753.55</v>
      </c>
      <c r="G318" s="68" t="n">
        <v>2136</v>
      </c>
      <c r="H318" s="70" t="n">
        <v>114</v>
      </c>
      <c r="I318" s="68" t="n">
        <v>262</v>
      </c>
      <c r="J318" s="69" t="n">
        <v>4.5</v>
      </c>
      <c r="K318" s="69" t="inlineStr">
        <is>
          <t>https://amazon.com/dp/B0C6TC2ZF3</t>
        </is>
      </c>
      <c r="L318" s="114">
        <f>HYPERLINK(Table3559[[#This Row],[Column1]])</f>
        <v/>
      </c>
    </row>
    <row r="319" ht="45" customHeight="1" s="314">
      <c r="A319" s="35" t="inlineStr">
        <is>
          <t>2026 LAUNCH Creader Elite V2.0 fit for Mercedes-Benz MB Sprinter Maybach Bi-Directional Scan Tool, OBD2 Scanner, Full System Diagnostic, All Reset Service, ECU Code, Auto Vin, Lifetime Free Update</t>
        </is>
      </c>
      <c r="B319" s="35" t="inlineStr">
        <is>
          <t>B0CMG7Q7YP</t>
        </is>
      </c>
      <c r="C319" s="35" t="inlineStr">
        <is>
          <t>Tablet</t>
        </is>
      </c>
      <c r="D319" s="359" t="n">
        <v>191.3456756756757</v>
      </c>
      <c r="E319" s="66" t="n">
        <v>262237.54</v>
      </c>
      <c r="F319" s="66" t="n">
        <v>21239.37</v>
      </c>
      <c r="G319" s="68" t="n">
        <v>1538</v>
      </c>
      <c r="H319" s="70" t="n">
        <v>111</v>
      </c>
      <c r="I319" s="68" t="n">
        <v>640</v>
      </c>
      <c r="J319" s="69" t="n">
        <v>3.9</v>
      </c>
      <c r="K319" s="69" t="inlineStr">
        <is>
          <t>https://amazon.com/dp/B0CMG7Q7YP</t>
        </is>
      </c>
      <c r="L319" s="114">
        <f>HYPERLINK(Table3559[[#This Row],[Column1]])</f>
        <v/>
      </c>
    </row>
    <row r="320" ht="60" customHeight="1" s="314">
      <c r="A320" s="35" t="inlineStr">
        <is>
          <t>Launch CRP129HD Heavy Duty Truck Scanner with DPF Regen, Speed Limit Adjust Reset, Full System Diesel Semi Truck Diagnostic Tool &amp; Code Reader for Cummins Detroit Allison International Paccar</t>
        </is>
      </c>
      <c r="B320" s="35" t="inlineStr">
        <is>
          <t>B07Y1VNQPG</t>
        </is>
      </c>
      <c r="C320" s="35" t="inlineStr">
        <is>
          <t>Tablet</t>
        </is>
      </c>
      <c r="D320" s="359" t="n">
        <v>481.9239805825243</v>
      </c>
      <c r="E320" s="66" t="n">
        <v>432460.67</v>
      </c>
      <c r="F320" s="66" t="n">
        <v>49638.17</v>
      </c>
      <c r="G320" s="68" t="n">
        <v>850</v>
      </c>
      <c r="H320" s="70" t="n">
        <v>103</v>
      </c>
      <c r="I320" s="68" t="n">
        <v>1554</v>
      </c>
      <c r="J320" s="69" t="n">
        <v>4.4</v>
      </c>
      <c r="K320" s="69" t="inlineStr">
        <is>
          <t>https://amazon.com/dp/B07Y1VNQPG</t>
        </is>
      </c>
      <c r="L320" s="114">
        <f>HYPERLINK(Table3559[[#This Row],[Column1]])</f>
        <v/>
      </c>
    </row>
    <row r="321" ht="45" customHeight="1" s="314">
      <c r="A321" s="35" t="inlineStr">
        <is>
          <t>LAUNCH Creader Elite V2.0 for BMW OBD2 Scanner, Full System Diagnostic Bi-Directional Scan Tool, ECU Code, All Services, Active Tests, Battery Registration Tool for BMW Mini RR, Lifetime Free Update</t>
        </is>
      </c>
      <c r="B321" s="35" t="inlineStr">
        <is>
          <t>B0F4QHR93X</t>
        </is>
      </c>
      <c r="C321" s="35" t="inlineStr">
        <is>
          <t>Tablet</t>
        </is>
      </c>
      <c r="D321" s="359" t="n">
        <v>199.6461386138614</v>
      </c>
      <c r="E321" s="66" t="n">
        <v>109586.5261538461</v>
      </c>
      <c r="F321" s="66" t="n">
        <v>20164.26</v>
      </c>
      <c r="G321" s="68" t="n">
        <v>387</v>
      </c>
      <c r="H321" s="70" t="n">
        <v>101</v>
      </c>
      <c r="I321" s="68" t="n">
        <v>17</v>
      </c>
      <c r="J321" s="69" t="n">
        <v>4.1</v>
      </c>
      <c r="K321" s="69" t="inlineStr">
        <is>
          <t>https://amazon.com/dp/B0F4QHR93X</t>
        </is>
      </c>
      <c r="L321" s="114">
        <f>HYPERLINK(Table3559[[#This Row],[Column1]])</f>
        <v/>
      </c>
    </row>
    <row r="322" ht="45" customHeight="1" s="314">
      <c r="A322" s="35" t="inlineStr">
        <is>
          <t>OBD2 Scanner LAUNCH CRP129X V3.0 Elite Scan Tool, Upgrade of CRP123X, 12 Reset Services, ABS/SRS/Transmission/Check Engine Car Code Reader, Lifetime Free Update, FCA AutoAuth &amp; Auto VIN, CANFD &amp; DoIP</t>
        </is>
      </c>
      <c r="B322" s="35" t="inlineStr">
        <is>
          <t>B07RMYN7ZL</t>
        </is>
      </c>
      <c r="C322" s="35" t="inlineStr">
        <is>
          <t>Tablet</t>
        </is>
      </c>
      <c r="D322" s="359" t="n">
        <v>264.0227272727273</v>
      </c>
      <c r="E322" s="66" t="n">
        <v>401399.91</v>
      </c>
      <c r="F322" s="66" t="n">
        <v>26138.25</v>
      </c>
      <c r="G322" s="68" t="n">
        <v>1675</v>
      </c>
      <c r="H322" s="70" t="n">
        <v>99</v>
      </c>
      <c r="I322" s="68" t="n">
        <v>1978</v>
      </c>
      <c r="J322" s="69" t="n">
        <v>4.4</v>
      </c>
      <c r="K322" s="69" t="inlineStr">
        <is>
          <t>https://amazon.com/dp/B07RMYN7ZL</t>
        </is>
      </c>
      <c r="L322" s="114">
        <f>HYPERLINK(Table3559[[#This Row],[Column1]])</f>
        <v/>
      </c>
    </row>
    <row r="323" ht="60" customHeight="1" s="314">
      <c r="A323" s="35" t="inlineStr">
        <is>
          <t>Launch Creader Elite for BMW OBD2 Scanner, 2025 Full Systems Diagnostic Bi-Directional Scan Tool, All Reset Service, ECU Code, Battery Registration Tool for BMW Mini Rolls-Royce,Lifetime Free Update</t>
        </is>
      </c>
      <c r="B323" s="35" t="inlineStr">
        <is>
          <t>B0DKHL1H22</t>
        </is>
      </c>
      <c r="C323" s="35" t="inlineStr">
        <is>
          <t>Handheld</t>
        </is>
      </c>
      <c r="D323" s="359" t="n">
        <v>169.7656701030928</v>
      </c>
      <c r="E323" s="66" t="n">
        <v>260082.87</v>
      </c>
      <c r="F323" s="66" t="n">
        <v>16467.27</v>
      </c>
      <c r="G323" s="68" t="n">
        <v>1571</v>
      </c>
      <c r="H323" s="70" t="n">
        <v>97</v>
      </c>
      <c r="I323" s="68" t="n">
        <v>76</v>
      </c>
      <c r="J323" s="69" t="n">
        <v>4</v>
      </c>
      <c r="K323" s="69" t="inlineStr">
        <is>
          <t>https://amazon.com/dp/B0DKHL1H22</t>
        </is>
      </c>
      <c r="L323" s="114">
        <f>HYPERLINK(Table3559[[#This Row],[Column1]])</f>
        <v/>
      </c>
    </row>
    <row r="324" ht="45" customHeight="1" s="314">
      <c r="A324" s="35" t="inlineStr">
        <is>
          <t>LAUNCH OBD2 Extension Cable Full 16Pin Male to Female OBDII Extend Cable for Car OBD Diagnostic Extender Cord Connector Reinforced Nylon Material (36CM/1.2FT)</t>
        </is>
      </c>
      <c r="B324" s="35" t="inlineStr">
        <is>
          <t>B09TKZ5RF4</t>
        </is>
      </c>
      <c r="C324" s="35" t="inlineStr">
        <is>
          <t>Cable/Adapter</t>
        </is>
      </c>
      <c r="D324" s="359" t="n">
        <v>12.01233333333333</v>
      </c>
      <c r="E324" s="66" t="n">
        <v>12585.31</v>
      </c>
      <c r="F324" s="66" t="n">
        <v>1081.11</v>
      </c>
      <c r="G324" s="68" t="n">
        <v>1050</v>
      </c>
      <c r="H324" s="70" t="n">
        <v>90</v>
      </c>
      <c r="I324" s="68" t="n">
        <v>190</v>
      </c>
      <c r="J324" s="69" t="n">
        <v>4.6</v>
      </c>
      <c r="K324" s="69" t="inlineStr">
        <is>
          <t>https://amazon.com/dp/B09TKZ5RF4</t>
        </is>
      </c>
      <c r="L324" s="114">
        <f>HYPERLINK(Table3559[[#This Row],[Column1]])</f>
        <v/>
      </c>
    </row>
    <row r="325" ht="45" customHeight="1" s="314">
      <c r="A325" s="35" t="inlineStr">
        <is>
          <t>LAUNCH CRP123 V2.0 Plus [2026 New Model] All System Scan Tool with 3 Reset Oil Service/Throttle Relearn/SAS Reset,OBD2 Scanner Diagnostic Tool,Lifetime Free Update</t>
        </is>
      </c>
      <c r="B325" s="35" t="inlineStr">
        <is>
          <t>B0CL2B9TQG</t>
        </is>
      </c>
      <c r="C325" s="35" t="inlineStr">
        <is>
          <t>Tablet</t>
        </is>
      </c>
      <c r="D325" s="359" t="n">
        <v>107.4648314606742</v>
      </c>
      <c r="E325" s="66" t="n">
        <v>47191.67</v>
      </c>
      <c r="F325" s="66" t="n">
        <v>9564.370000000001</v>
      </c>
      <c r="G325" s="68" t="n">
        <v>395</v>
      </c>
      <c r="H325" s="70" t="n">
        <v>89</v>
      </c>
      <c r="I325" s="68" t="n">
        <v>232</v>
      </c>
      <c r="J325" s="69" t="n">
        <v>4.2</v>
      </c>
      <c r="K325" s="69" t="inlineStr">
        <is>
          <t>https://amazon.com/dp/B0CL2B9TQG</t>
        </is>
      </c>
      <c r="L325" s="114">
        <f>HYPERLINK(Table3559[[#This Row],[Column1]])</f>
        <v/>
      </c>
    </row>
    <row r="326" ht="60" customHeight="1" s="314">
      <c r="A326" s="35" t="inlineStr">
        <is>
          <t>LAUNCH CRP129E V2.0 Elite OBD2 Scanner Diagnostic Tool, 12 Reset Scan Tool, FCA AutoAuth, ABS SRS Transmission Engine Code Reader, Oil/Brake/SAS/DPF/TPMS/BMS Reset, Lifetime Free Update, Auto VIN</t>
        </is>
      </c>
      <c r="B326" s="35" t="inlineStr">
        <is>
          <t>B0DKH5871C</t>
        </is>
      </c>
      <c r="C326" s="35" t="inlineStr">
        <is>
          <t>Tablet</t>
        </is>
      </c>
      <c r="D326" s="359" t="n">
        <v>223.8860674157303</v>
      </c>
      <c r="E326" s="66" t="n">
        <v>231820.11</v>
      </c>
      <c r="F326" s="66" t="n">
        <v>19925.86</v>
      </c>
      <c r="G326" s="68" t="n">
        <v>993</v>
      </c>
      <c r="H326" s="70" t="n">
        <v>89</v>
      </c>
      <c r="I326" s="68" t="n">
        <v>72</v>
      </c>
      <c r="J326" s="69" t="n">
        <v>4.4</v>
      </c>
      <c r="K326" s="69" t="inlineStr">
        <is>
          <t>https://amazon.com/dp/B0DKH5871C</t>
        </is>
      </c>
      <c r="L326" s="114">
        <f>HYPERLINK(Table3559[[#This Row],[Column1]])</f>
        <v/>
      </c>
    </row>
    <row r="327" ht="45" customHeight="1" s="314">
      <c r="A327" s="35" t="inlineStr">
        <is>
          <t>LAUNCH Creader 3001 OBD2 Scanner-2025 Upgrade Ver. Engine Fault Code Reader,Support O2 Sensor,Lifetime Free Update,Scanner for All OBDII Protocol Cars Since 1996</t>
        </is>
      </c>
      <c r="B327" s="35" t="inlineStr">
        <is>
          <t>B07CH4D68Q</t>
        </is>
      </c>
      <c r="C327" s="35" t="inlineStr">
        <is>
          <t>Handheld</t>
        </is>
      </c>
      <c r="D327" s="359" t="n">
        <v>17.49011363636364</v>
      </c>
      <c r="E327" s="66" t="n">
        <v>27965.43</v>
      </c>
      <c r="F327" s="66" t="n">
        <v>1539.13</v>
      </c>
      <c r="G327" s="68" t="n">
        <v>1506</v>
      </c>
      <c r="H327" s="70" t="n">
        <v>88</v>
      </c>
      <c r="I327" s="68" t="n">
        <v>1258</v>
      </c>
      <c r="J327" s="69" t="n">
        <v>4.4</v>
      </c>
      <c r="K327" s="69" t="inlineStr">
        <is>
          <t>https://amazon.com/dp/B07CH4D68Q</t>
        </is>
      </c>
      <c r="L327" s="114">
        <f>HYPERLINK(Table3559[[#This Row],[Column1]])</f>
        <v/>
      </c>
    </row>
    <row r="328" ht="60" customHeight="1" s="314">
      <c r="A328" s="35" t="inlineStr">
        <is>
          <t>2026 LAUNCH Creader Elite OBD2 Scanner for Honda Acura, Full System Bi-Directional Diagnostic Scan Tool, Full Reset Code Reader, AUTO VIN, Battery Registration, Lifetime Free Update</t>
        </is>
      </c>
      <c r="B328" s="35" t="inlineStr">
        <is>
          <t>B0C7W2V589</t>
        </is>
      </c>
      <c r="C328" s="35" t="inlineStr">
        <is>
          <t>Handheld</t>
        </is>
      </c>
      <c r="D328" s="359" t="n">
        <v>133.1489655172414</v>
      </c>
      <c r="E328" s="66" t="n">
        <v>154737.2</v>
      </c>
      <c r="F328" s="66" t="n">
        <v>11583.96</v>
      </c>
      <c r="G328" s="68" t="n">
        <v>1098</v>
      </c>
      <c r="H328" s="70" t="n">
        <v>87</v>
      </c>
      <c r="I328" s="68" t="n">
        <v>357</v>
      </c>
      <c r="J328" s="69" t="n">
        <v>4.3</v>
      </c>
      <c r="K328" s="69" t="inlineStr">
        <is>
          <t>https://amazon.com/dp/B0C7W2V589</t>
        </is>
      </c>
      <c r="L328" s="114">
        <f>HYPERLINK(Table3559[[#This Row],[Column1]])</f>
        <v/>
      </c>
    </row>
    <row r="329" ht="30" customHeight="1" s="314">
      <c r="A329" s="35" t="inlineStr">
        <is>
          <t>LAUNCH X431 PRO V 5.0,2026 New Gen. OEM Bluetooth Bidirectional Scan Tool w/Canfd Doip,Same as Pro3s+ 5.0,Online Code &amp; 38+ Reset for All Cars,2 Yrs Free Update</t>
        </is>
      </c>
      <c r="B329" s="35" t="inlineStr">
        <is>
          <t>B01GRN4BRQ</t>
        </is>
      </c>
      <c r="C329" s="35" t="inlineStr">
        <is>
          <t>Tablet</t>
        </is>
      </c>
      <c r="D329" s="359" t="n">
        <v>791.61</v>
      </c>
      <c r="E329" s="66" t="n">
        <v>928559.4800000001</v>
      </c>
      <c r="F329" s="66" t="n">
        <v>64912.02</v>
      </c>
      <c r="G329" s="68" t="n">
        <v>1209</v>
      </c>
      <c r="H329" s="70" t="n">
        <v>82</v>
      </c>
      <c r="I329" s="68" t="n">
        <v>1044</v>
      </c>
      <c r="J329" s="69" t="n">
        <v>4.3</v>
      </c>
      <c r="K329" s="69" t="inlineStr">
        <is>
          <t>https://amazon.com/dp/B01GRN4BRQ</t>
        </is>
      </c>
      <c r="L329" s="114">
        <f>HYPERLINK(Table3559[[#This Row],[Column1]])</f>
        <v/>
      </c>
    </row>
    <row r="330" ht="30" customHeight="1" s="314">
      <c r="A330" s="35" t="inlineStr">
        <is>
          <t>LAUNCH Creader Elite V3.0 for BMW OBD2 Scanner, 2026 Full Systems Bi-Directional Scan Tool, All Reset Services, ECU Code, CAN-FD &amp; DOIP, Battery Registration Tool for BMW Mini RR, Lifetime Free Update</t>
        </is>
      </c>
      <c r="B330" s="35" t="inlineStr">
        <is>
          <t>B0DKHL6YHJ</t>
        </is>
      </c>
      <c r="C330" s="35" t="inlineStr">
        <is>
          <t>Tablet</t>
        </is>
      </c>
      <c r="D330" s="359" t="n">
        <v>197.2075308641975</v>
      </c>
      <c r="E330" s="66" t="n">
        <v>174643.35</v>
      </c>
      <c r="F330" s="66" t="n">
        <v>15973.81</v>
      </c>
      <c r="G330" s="68" t="n">
        <v>952</v>
      </c>
      <c r="H330" s="70" t="n">
        <v>81</v>
      </c>
      <c r="I330" s="68" t="n">
        <v>100</v>
      </c>
      <c r="J330" s="69" t="n">
        <v>4.3</v>
      </c>
      <c r="K330" s="69" t="inlineStr">
        <is>
          <t>https://amazon.com/dp/B0DKHL6YHJ</t>
        </is>
      </c>
      <c r="L330" s="114">
        <f>HYPERLINK(Table3559[[#This Row],[Column1]])</f>
        <v/>
      </c>
    </row>
    <row r="331" ht="45" customHeight="1" s="314">
      <c r="A331" s="35" t="inlineStr">
        <is>
          <t>LAUNCH X431 PRO3S+ Smartlink HD Heavy Duty Truck Scanner,2026 Diesel&amp;Gasoline Bidirectional Diagnostic Scan Tool with J2534 Protocols,Topology Map,60+Service,ECU Code,CANFD &amp;DOIP,2 Yrs Free Update</t>
        </is>
      </c>
      <c r="B331" s="35" t="inlineStr">
        <is>
          <t>B08V59JNYP</t>
        </is>
      </c>
      <c r="C331" s="35" t="inlineStr">
        <is>
          <t>Tablet</t>
        </is>
      </c>
      <c r="D331" s="359" t="n">
        <v>1909.047012987013</v>
      </c>
      <c r="E331" s="66" t="n">
        <v>1847936.39</v>
      </c>
      <c r="F331" s="66" t="n">
        <v>146996.62</v>
      </c>
      <c r="G331" s="68" t="n">
        <v>996</v>
      </c>
      <c r="H331" s="70" t="n">
        <v>77</v>
      </c>
      <c r="I331" s="68" t="n">
        <v>180</v>
      </c>
      <c r="J331" s="69" t="n">
        <v>4.2</v>
      </c>
      <c r="K331" s="69" t="inlineStr">
        <is>
          <t>https://amazon.com/dp/B08V59JNYP</t>
        </is>
      </c>
      <c r="L331" s="114">
        <f>HYPERLINK(Table3559[[#This Row],[Column1]])</f>
        <v/>
      </c>
    </row>
    <row r="332" ht="45" customHeight="1" s="314">
      <c r="A332" s="35" t="inlineStr">
        <is>
          <t>2026 Upgraded LAUNCH OBD2 Scanner CRP123E V2.0 Elite, Diagnostics Tool for Engine, ABS, SRS, AT, with 7 Resets, Oil/Throttle/SAS/BMS/EPB/DPF/ABS Bleeding, Battery Test, FCA SGW, Lifetime Updates</t>
        </is>
      </c>
      <c r="B332" s="35" t="inlineStr">
        <is>
          <t>B07QZBY49X</t>
        </is>
      </c>
      <c r="C332" s="35" t="inlineStr">
        <is>
          <t>Tablet</t>
        </is>
      </c>
      <c r="D332" s="359" t="n">
        <v>179.0327631578947</v>
      </c>
      <c r="E332" s="66" t="n">
        <v>180669.48</v>
      </c>
      <c r="F332" s="66" t="n">
        <v>13606.49</v>
      </c>
      <c r="G332" s="68" t="n">
        <v>1123</v>
      </c>
      <c r="H332" s="70" t="n">
        <v>76</v>
      </c>
      <c r="I332" s="68" t="n">
        <v>534</v>
      </c>
      <c r="J332" s="69" t="n">
        <v>4.4</v>
      </c>
      <c r="K332" s="69" t="inlineStr">
        <is>
          <t>https://amazon.com/dp/B07QZBY49X</t>
        </is>
      </c>
      <c r="L332" s="114">
        <f>HYPERLINK(Table3559[[#This Row],[Column1]])</f>
        <v/>
      </c>
    </row>
    <row r="333" ht="45" customHeight="1" s="314">
      <c r="A333" s="35" t="inlineStr">
        <is>
          <t>Launch CRP129I V3.0 OBD2 Scanner Diagnostic Tool, 2026 New Code Reader for Cars and Trucks, ABS SRS Transmission Engine Code Reader, 12 Reset, Oil/EPB/SAS/TPMS/Injector Code, Lifetime Free Update</t>
        </is>
      </c>
      <c r="B333" s="35" t="inlineStr">
        <is>
          <t>B07QRYR288</t>
        </is>
      </c>
      <c r="C333" s="35" t="inlineStr">
        <is>
          <t>Tablet</t>
        </is>
      </c>
      <c r="D333" s="359" t="n">
        <v>213.13</v>
      </c>
      <c r="E333" s="66" t="n">
        <v>176061.27</v>
      </c>
      <c r="F333" s="66" t="n">
        <v>15558.49</v>
      </c>
      <c r="G333" s="68" t="n">
        <v>812</v>
      </c>
      <c r="H333" s="70" t="n">
        <v>73</v>
      </c>
      <c r="I333" s="68" t="n">
        <v>950</v>
      </c>
      <c r="J333" s="69" t="n">
        <v>4.4</v>
      </c>
      <c r="K333" s="69" t="inlineStr">
        <is>
          <t>https://amazon.com/dp/B07QRYR288</t>
        </is>
      </c>
      <c r="L333" s="114">
        <f>HYPERLINK(Table3559[[#This Row],[Column1]])</f>
        <v/>
      </c>
    </row>
    <row r="334" ht="45" customHeight="1" s="314">
      <c r="A334" s="35" t="inlineStr">
        <is>
          <t>Launch X431 CRP919XBT Wireless Bidirectional Scan Tool with ECU Code, CANFD&amp;DoIP, 2026 All System OBD2 Diagnostic Scanner, FCA AutoAuth, VAG Guided, 35+ Resets, 2 Yrs Free Update, Upgraded of CRP919X</t>
        </is>
      </c>
      <c r="B334" s="35" t="inlineStr">
        <is>
          <t>B0C5D1YM1F</t>
        </is>
      </c>
      <c r="C334" s="35" t="inlineStr">
        <is>
          <t>Tablet</t>
        </is>
      </c>
      <c r="D334" s="359" t="n">
        <v>505.906338028169</v>
      </c>
      <c r="E334" s="66" t="n">
        <v>401114.89</v>
      </c>
      <c r="F334" s="66" t="n">
        <v>35919.35</v>
      </c>
      <c r="G334" s="68" t="n">
        <v>828</v>
      </c>
      <c r="H334" s="70" t="n">
        <v>71</v>
      </c>
      <c r="I334" s="68" t="n">
        <v>553</v>
      </c>
      <c r="J334" s="69" t="n">
        <v>4.3</v>
      </c>
      <c r="K334" s="69" t="inlineStr">
        <is>
          <t>https://amazon.com/dp/B0C5D1YM1F</t>
        </is>
      </c>
      <c r="L334" s="114">
        <f>HYPERLINK(Table3559[[#This Row],[Column1]])</f>
        <v/>
      </c>
    </row>
    <row r="335" ht="45" customHeight="1" s="314">
      <c r="A335" s="35" t="inlineStr">
        <is>
          <t>LAUNCH X431 PRO Elite 2026 New Bidirectional Scan Tool, 38+ Reset, ECU Coding, All-in-One Full System Diagnostic Scanner, CANFD&amp;DoIP, FCA AutoAuth, VAG Guide,Same as Pro3s+ 5.0,2 Years Free Update</t>
        </is>
      </c>
      <c r="B335" s="35" t="inlineStr">
        <is>
          <t>B0C6TGKYLF</t>
        </is>
      </c>
      <c r="C335" s="35" t="inlineStr">
        <is>
          <t>Tablet</t>
        </is>
      </c>
      <c r="D335" s="359" t="n">
        <v>635.9860869565217</v>
      </c>
      <c r="E335" s="66" t="n">
        <v>532813.33</v>
      </c>
      <c r="F335" s="66" t="n">
        <v>43883.04</v>
      </c>
      <c r="G335" s="68" t="n">
        <v>853</v>
      </c>
      <c r="H335" s="70" t="n">
        <v>69</v>
      </c>
      <c r="I335" s="68" t="n">
        <v>248</v>
      </c>
      <c r="J335" s="69" t="n">
        <v>4.3</v>
      </c>
      <c r="K335" s="69" t="inlineStr">
        <is>
          <t>https://amazon.com/dp/B0C6TGKYLF</t>
        </is>
      </c>
      <c r="L335" s="114">
        <f>HYPERLINK(Table3559[[#This Row],[Column1]])</f>
        <v/>
      </c>
    </row>
    <row r="336" ht="45" customHeight="1" s="314">
      <c r="A336" s="35" t="inlineStr">
        <is>
          <t>LAUNCH Scanner CRP129X V2.0 (Upgrade of CRP123X/CRP129X), 12 Reset Scan Tool,Lifetime Free Update,FCA SGW Car Scanner,ABS SRS Transmission,Check Engine Code Reader,AutoVIN,Battery Test, 5 Years Backup</t>
        </is>
      </c>
      <c r="B336" s="35" t="inlineStr">
        <is>
          <t>B07RK9GCK3</t>
        </is>
      </c>
      <c r="C336" s="35" t="inlineStr">
        <is>
          <t>Tablet</t>
        </is>
      </c>
      <c r="D336" s="359" t="n">
        <v>236.1228985507246</v>
      </c>
      <c r="E336" s="66" t="n">
        <v>348187.01</v>
      </c>
      <c r="F336" s="66" t="n">
        <v>16292.48</v>
      </c>
      <c r="G336" s="68" t="n">
        <v>1508</v>
      </c>
      <c r="H336" s="70" t="n">
        <v>69</v>
      </c>
      <c r="I336" s="68" t="n">
        <v>2365</v>
      </c>
      <c r="J336" s="69" t="n">
        <v>4.3</v>
      </c>
      <c r="K336" s="69" t="inlineStr">
        <is>
          <t>https://amazon.com/dp/B07RK9GCK3</t>
        </is>
      </c>
      <c r="L336" s="114">
        <f>HYPERLINK(Table3559[[#This Row],[Column1]])</f>
        <v/>
      </c>
    </row>
    <row r="337" ht="45" customHeight="1" s="314">
      <c r="A337" s="35" t="inlineStr">
        <is>
          <t>LAUNCH Remote Key Frequency Tester 315/433/868/902MHz Infrared Signal Detection, Key Fob Signal Tester</t>
        </is>
      </c>
      <c r="B337" s="35" t="inlineStr">
        <is>
          <t>B0CX8181JG</t>
        </is>
      </c>
      <c r="C337" s="35" t="inlineStr">
        <is>
          <t>Key</t>
        </is>
      </c>
      <c r="D337" s="359" t="n">
        <v>39.83285714285714</v>
      </c>
      <c r="E337" s="66" t="n">
        <v>33352.59</v>
      </c>
      <c r="F337" s="66" t="n">
        <v>2509.47</v>
      </c>
      <c r="G337" s="68" t="n">
        <v>837</v>
      </c>
      <c r="H337" s="70" t="n">
        <v>63</v>
      </c>
      <c r="I337" s="68" t="n">
        <v>97</v>
      </c>
      <c r="J337" s="69" t="n">
        <v>4.5</v>
      </c>
      <c r="K337" s="69" t="inlineStr">
        <is>
          <t>https://amazon.com/dp/B0CX8181JG</t>
        </is>
      </c>
      <c r="L337" s="114">
        <f>HYPERLINK(Table3559[[#This Row],[Column1]])</f>
        <v/>
      </c>
    </row>
    <row r="338" ht="45" customHeight="1" s="314">
      <c r="A338" s="35" t="inlineStr">
        <is>
          <t>Launch OBD2 Scanner CR319 Check Engine Code Reader with Full OBD2 Functions</t>
        </is>
      </c>
      <c r="B338" s="35" t="inlineStr">
        <is>
          <t>B07QLTYKDW</t>
        </is>
      </c>
      <c r="C338" s="35" t="inlineStr">
        <is>
          <t>Handheld</t>
        </is>
      </c>
      <c r="D338" s="359" t="n">
        <v>27.17949152542373</v>
      </c>
      <c r="E338" s="66" t="n">
        <v>21283.1</v>
      </c>
      <c r="F338" s="66" t="n">
        <v>1603.59</v>
      </c>
      <c r="G338" s="68" t="n">
        <v>822</v>
      </c>
      <c r="H338" s="70" t="n">
        <v>59</v>
      </c>
      <c r="I338" s="68" t="n">
        <v>3846</v>
      </c>
      <c r="J338" s="69" t="n">
        <v>4.5</v>
      </c>
      <c r="K338" s="69" t="inlineStr">
        <is>
          <t>https://amazon.com/dp/B07QLTYKDW</t>
        </is>
      </c>
      <c r="L338" s="114">
        <f>HYPERLINK(Table3559[[#This Row],[Column1]])</f>
        <v/>
      </c>
    </row>
    <row r="339" ht="45" customHeight="1" s="314">
      <c r="A339" s="35" t="inlineStr">
        <is>
          <t>Launch X431 CRP919X OBD2 Scanner, 2026 US Ver. ECU Coding Car Scanner, Bidirectional Scan Tool, CANFD/DOIP, FCA Autoauth, 35+ Service,10.0 OS As X431, 4000+ Active Test,OE All System Diagnostic Tool</t>
        </is>
      </c>
      <c r="B339" s="35" t="inlineStr">
        <is>
          <t>B0DTPTB8MS</t>
        </is>
      </c>
      <c r="C339" s="35" t="inlineStr">
        <is>
          <t>Tablet</t>
        </is>
      </c>
      <c r="D339" s="359" t="n">
        <v>447.0414285714286</v>
      </c>
      <c r="E339" s="66" t="n">
        <v>360909.36</v>
      </c>
      <c r="F339" s="66" t="n">
        <v>25034.32</v>
      </c>
      <c r="G339" s="68" t="n">
        <v>842</v>
      </c>
      <c r="H339" s="70" t="n">
        <v>56</v>
      </c>
      <c r="I339" s="68" t="n">
        <v>71</v>
      </c>
      <c r="J339" s="69" t="n">
        <v>4.5</v>
      </c>
      <c r="K339" s="69" t="inlineStr">
        <is>
          <t>https://amazon.com/dp/B0DTPTB8MS</t>
        </is>
      </c>
      <c r="L339" s="114">
        <f>HYPERLINK(Table3559[[#This Row],[Column1]])</f>
        <v/>
      </c>
    </row>
    <row r="340" ht="45" customHeight="1" s="314">
      <c r="A340" s="35" t="inlineStr">
        <is>
          <t>LAUNCH CRP129X OBD2 Scanner, 2026 Elite Lifetime Free Update Scan Tool, 8 Reset, Injector Coding, ABS/SRS/TCM/Engine System Diagnostic Scanner, Auto Vin, Car Scanner Diagnostic for All Cars</t>
        </is>
      </c>
      <c r="B340" s="35" t="inlineStr">
        <is>
          <t>B08HGV8B9F</t>
        </is>
      </c>
      <c r="C340" s="35" t="inlineStr">
        <is>
          <t>Tablet</t>
        </is>
      </c>
      <c r="D340" s="359" t="n">
        <v>183.4962962962963</v>
      </c>
      <c r="E340" s="66" t="n">
        <v>99153.50461538465</v>
      </c>
      <c r="F340" s="66" t="n">
        <v>9908.799999999999</v>
      </c>
      <c r="G340" s="68" t="n">
        <v>437</v>
      </c>
      <c r="H340" s="70" t="n">
        <v>54</v>
      </c>
      <c r="I340" s="68" t="n">
        <v>247</v>
      </c>
      <c r="J340" s="69" t="n">
        <v>4.2</v>
      </c>
      <c r="K340" s="69" t="inlineStr">
        <is>
          <t>https://amazon.com/dp/B08HGV8B9F</t>
        </is>
      </c>
      <c r="L340" s="114">
        <f>HYPERLINK(Table3559[[#This Row],[Column1]])</f>
        <v/>
      </c>
    </row>
    <row r="341" ht="60" customHeight="1" s="314">
      <c r="A341" s="35" t="inlineStr">
        <is>
          <t>LAUNCH Creader Elite OBD2 Scanner Diagnostic Tool Fit for Audi Volkswagen Skoda Seat,Full System All Reset Bi-Directional Code Reader for VAG Vehicles,Active Test, ECU Code,Lifetime Update</t>
        </is>
      </c>
      <c r="B341" s="35" t="inlineStr">
        <is>
          <t>B0DY7S79PV</t>
        </is>
      </c>
      <c r="C341" s="35" t="inlineStr">
        <is>
          <t>Handheld</t>
        </is>
      </c>
      <c r="D341" s="359" t="n">
        <v>138.5340740740741</v>
      </c>
      <c r="E341" s="66" t="n">
        <v>43400.6</v>
      </c>
      <c r="F341" s="66" t="n">
        <v>7480.84</v>
      </c>
      <c r="G341" s="68" t="n">
        <v>314</v>
      </c>
      <c r="H341" s="70" t="n">
        <v>54</v>
      </c>
      <c r="I341" s="68" t="n">
        <v>522</v>
      </c>
      <c r="J341" s="69" t="n">
        <v>4.1</v>
      </c>
      <c r="K341" s="69" t="inlineStr">
        <is>
          <t>https://amazon.com/dp/B0DY7S79PV</t>
        </is>
      </c>
      <c r="L341" s="114">
        <f>HYPERLINK(Table3559[[#This Row],[Column1]])</f>
        <v/>
      </c>
    </row>
    <row r="342" ht="60" customHeight="1" s="314">
      <c r="A342" s="35" t="inlineStr">
        <is>
          <t>LAUNCH Creader 300 OBD2 Scanner,Engine Fault Code Reader,Support Read Data Stream,Scanner for All OBDII Protocol Cars Since 1996, 2026 Upgraded Ver. of CR3001</t>
        </is>
      </c>
      <c r="B342" s="35" t="inlineStr">
        <is>
          <t>B0DSVH6KQ2</t>
        </is>
      </c>
      <c r="C342" s="35" t="inlineStr">
        <is>
          <t>Handheld</t>
        </is>
      </c>
      <c r="D342" s="359" t="n">
        <v>23.71909090909091</v>
      </c>
      <c r="E342" s="66" t="n">
        <v>10650.72</v>
      </c>
      <c r="F342" s="66" t="n">
        <v>1043.64</v>
      </c>
      <c r="G342" s="68" t="n">
        <v>546</v>
      </c>
      <c r="H342" s="70" t="n">
        <v>44</v>
      </c>
      <c r="I342" s="68" t="n">
        <v>70</v>
      </c>
      <c r="J342" s="69" t="n">
        <v>4.4</v>
      </c>
      <c r="K342" s="69" t="inlineStr">
        <is>
          <t>https://amazon.com/dp/B0DSVH6KQ2</t>
        </is>
      </c>
      <c r="L342" s="114">
        <f>HYPERLINK(Table3559[[#This Row],[Column1]])</f>
        <v/>
      </c>
    </row>
    <row r="343" ht="45" customHeight="1" s="314">
      <c r="A343" s="35" t="inlineStr">
        <is>
          <t>Launch OBD2 Scanner CRP123X Elite V2.0, 2025 Lifetime Free Update Diagnostic Scan Tool Car Engine Code Reader with Oil/Brake/SAS/BMS/D.P.F/ABS Bleeding/Throttle Reset, Auto VIN</t>
        </is>
      </c>
      <c r="B343" s="35" t="inlineStr">
        <is>
          <t>B07RLF2XNM</t>
        </is>
      </c>
      <c r="C343" s="35" t="inlineStr">
        <is>
          <t>Tablet</t>
        </is>
      </c>
      <c r="D343" s="359" t="n">
        <v>179.7684090909091</v>
      </c>
      <c r="E343" s="66" t="n">
        <v>160030.04</v>
      </c>
      <c r="F343" s="66" t="n">
        <v>7909.81</v>
      </c>
      <c r="G343" s="68" t="n">
        <v>952</v>
      </c>
      <c r="H343" s="70" t="n">
        <v>44</v>
      </c>
      <c r="I343" s="68" t="n">
        <v>1658</v>
      </c>
      <c r="J343" s="69" t="n">
        <v>4.5</v>
      </c>
      <c r="K343" s="69" t="inlineStr">
        <is>
          <t>https://amazon.com/dp/B07RLF2XNM</t>
        </is>
      </c>
      <c r="L343" s="114">
        <f>HYPERLINK(Table3559[[#This Row],[Column1]])</f>
        <v/>
      </c>
    </row>
    <row r="344" ht="45" customHeight="1" s="314">
      <c r="A344" s="35" t="inlineStr">
        <is>
          <t>LAUNCH X431 CRP919EBT OBD2 Scanner, Advanced Wireless Bluetooth Bidirectional Scan Tool, ECU Code, CANFD/DOIP, FCA AutoAuth, 35+ Resets, VAG Guided, All Systems for all Vehicles, Upgraded of CRP919E</t>
        </is>
      </c>
      <c r="B344" s="35" t="inlineStr">
        <is>
          <t>B0DKFFP66V</t>
        </is>
      </c>
      <c r="C344" s="35" t="inlineStr">
        <is>
          <t>Tablet</t>
        </is>
      </c>
      <c r="D344" s="359" t="n">
        <v>526.5897674418604</v>
      </c>
      <c r="E344" s="66" t="n">
        <v>464914.77</v>
      </c>
      <c r="F344" s="66" t="n">
        <v>22643.36</v>
      </c>
      <c r="G344" s="68" t="n">
        <v>956</v>
      </c>
      <c r="H344" s="70" t="n">
        <v>43</v>
      </c>
      <c r="I344" s="68" t="n">
        <v>146</v>
      </c>
      <c r="J344" s="69" t="n">
        <v>4.6</v>
      </c>
      <c r="K344" s="69" t="inlineStr">
        <is>
          <t>https://amazon.com/dp/B0DKFFP66V</t>
        </is>
      </c>
      <c r="L344" s="114">
        <f>HYPERLINK(Table3559[[#This Row],[Column1]])</f>
        <v/>
      </c>
    </row>
    <row r="345" ht="45" customHeight="1" s="314">
      <c r="A345" s="35" t="inlineStr">
        <is>
          <t>LAUNCH Original Adapter for DBSCar VII and SmartLink C VCI Connector, DR15 Male to OBD2 16 Pin Male Replacement Connector Work with X431 CRP919EBT, PRO3 ACE, PRO 3S+, PRO 5, PAD VII, PAD V</t>
        </is>
      </c>
      <c r="B345" s="35" t="inlineStr">
        <is>
          <t>B0D8PPVD5D</t>
        </is>
      </c>
      <c r="C345" s="35" t="inlineStr">
        <is>
          <t>Cable/Adapter</t>
        </is>
      </c>
      <c r="D345" s="359" t="n">
        <v>23.19690476190476</v>
      </c>
      <c r="E345" s="66" t="n">
        <v>8268.82</v>
      </c>
      <c r="F345" s="66" t="n">
        <v>974.27</v>
      </c>
      <c r="G345" s="68" t="n">
        <v>359</v>
      </c>
      <c r="H345" s="70" t="n">
        <v>42</v>
      </c>
      <c r="I345" s="68" t="n">
        <v>27</v>
      </c>
      <c r="J345" s="69" t="n">
        <v>4.5</v>
      </c>
      <c r="K345" s="69" t="inlineStr">
        <is>
          <t>https://amazon.com/dp/B0D8PPVD5D</t>
        </is>
      </c>
      <c r="L345" s="114">
        <f>HYPERLINK(Table3559[[#This Row],[Column1]])</f>
        <v/>
      </c>
    </row>
    <row r="346" ht="45" customHeight="1" s="314">
      <c r="A346" s="35" t="inlineStr">
        <is>
          <t>Launch X431 Creader Elite 2.0 FGC OBD2 Scanner, Bi-Directional Scan Tool for Ford/GM/Chrysler Series, ECU Coding, Lifetime FR-EE Update, All System Diagnostic, 100+ Services, Full OBD2 Code Reader</t>
        </is>
      </c>
      <c r="B346" s="35" t="inlineStr">
        <is>
          <t>B0CNRN359J</t>
        </is>
      </c>
      <c r="C346" s="35" t="inlineStr">
        <is>
          <t>Tablet</t>
        </is>
      </c>
      <c r="D346" s="359" t="n">
        <v>253.0165853658537</v>
      </c>
      <c r="E346" s="66" t="n">
        <v>178413.29</v>
      </c>
      <c r="F346" s="66" t="n">
        <v>10373.68</v>
      </c>
      <c r="G346" s="68" t="n">
        <v>788</v>
      </c>
      <c r="H346" s="70" t="n">
        <v>41</v>
      </c>
      <c r="I346" s="68" t="n">
        <v>200</v>
      </c>
      <c r="J346" s="69" t="n">
        <v>4.1</v>
      </c>
      <c r="K346" s="69" t="inlineStr">
        <is>
          <t>https://amazon.com/dp/B0CNRN359J</t>
        </is>
      </c>
      <c r="L346" s="114">
        <f>HYPERLINK(Table3559[[#This Row],[Column1]])</f>
        <v/>
      </c>
    </row>
    <row r="347" ht="45" customHeight="1" s="314">
      <c r="A347" s="35" t="inlineStr">
        <is>
          <t>Launch Creader Elite 2.0 Bidirectional Scan Tool fit for Toyota/Lexus, 2026 Full System OBD2 Scanner, All Reset Service Code Reader, ECU Code, AUTO VIN, Battery Registration, Lifetime Free Update</t>
        </is>
      </c>
      <c r="B347" s="35" t="inlineStr">
        <is>
          <t>B0FNC5ZTMY</t>
        </is>
      </c>
      <c r="C347" s="35" t="inlineStr">
        <is>
          <t>Tablet</t>
        </is>
      </c>
      <c r="D347" s="359" t="n">
        <v>191.0756097560976</v>
      </c>
      <c r="E347" s="66" t="n">
        <v>86660.68846153849</v>
      </c>
      <c r="F347" s="66" t="n">
        <v>7834.1</v>
      </c>
      <c r="G347" s="68" t="n">
        <v>194</v>
      </c>
      <c r="H347" s="70" t="n">
        <v>41</v>
      </c>
      <c r="I347" s="68" t="n">
        <v>67</v>
      </c>
      <c r="J347" s="69" t="n">
        <v>4.3</v>
      </c>
      <c r="K347" s="69" t="inlineStr">
        <is>
          <t>https://amazon.com/dp/B0FNC5ZTMY</t>
        </is>
      </c>
      <c r="L347" s="114">
        <f>HYPERLINK(Table3559[[#This Row],[Column1]])</f>
        <v/>
      </c>
    </row>
    <row r="348" ht="45" customHeight="1" s="314">
      <c r="A348" s="35" t="inlineStr">
        <is>
          <t>LAUNCH OBD2 Extension Cable 16Pin Male to Female Full Function OBDII Extender, Reinforced Nylon Diagnostic Cord Connector 36CM/1.2FT</t>
        </is>
      </c>
      <c r="B348" s="35" t="inlineStr">
        <is>
          <t>B0FX3Q2MFY</t>
        </is>
      </c>
      <c r="C348" s="35" t="inlineStr">
        <is>
          <t>Cable/Adapter</t>
        </is>
      </c>
      <c r="D348" s="359" t="n">
        <v>11.15425</v>
      </c>
      <c r="E348" s="66" t="n">
        <v>3894.394615384616</v>
      </c>
      <c r="F348" s="66" t="n">
        <v>446.17</v>
      </c>
      <c r="G348" s="68" t="n">
        <v>86</v>
      </c>
      <c r="H348" s="70" t="n">
        <v>40</v>
      </c>
      <c r="I348" s="68" t="n">
        <v>1</v>
      </c>
      <c r="J348" s="69" t="n">
        <v>4</v>
      </c>
      <c r="K348" s="69" t="inlineStr">
        <is>
          <t>https://amazon.com/dp/B0FX3Q2MFY</t>
        </is>
      </c>
      <c r="L348" s="114">
        <f>HYPERLINK(Table3559[[#This Row],[Column1]])</f>
        <v/>
      </c>
    </row>
    <row r="349" ht="45" customHeight="1" s="314">
      <c r="A349" s="35" t="inlineStr">
        <is>
          <t>Launch X431 PROS V 5.0 2026 Newly Bidirectional Scan Tool Bluetooth Launch Scanner with DBSCar VII Connector 38+ Reset for All Cars Online ECU Code CANFD FCA AutoAuth VAG Guide 2 Yrs F-Ree Update</t>
        </is>
      </c>
      <c r="B349" s="35" t="inlineStr">
        <is>
          <t>B0CLS8B1BK</t>
        </is>
      </c>
      <c r="C349" s="35" t="inlineStr">
        <is>
          <t>Tablet</t>
        </is>
      </c>
      <c r="D349" s="359" t="n">
        <v>839.754358974359</v>
      </c>
      <c r="E349" s="66" t="n">
        <v>1007256.67</v>
      </c>
      <c r="F349" s="66" t="n">
        <v>32750.42</v>
      </c>
      <c r="G349" s="68" t="n">
        <v>1328</v>
      </c>
      <c r="H349" s="70" t="n">
        <v>39</v>
      </c>
      <c r="I349" s="68" t="n">
        <v>251</v>
      </c>
      <c r="J349" s="69" t="n">
        <v>4.4</v>
      </c>
      <c r="K349" s="69" t="inlineStr">
        <is>
          <t>https://amazon.com/dp/B0CLS8B1BK</t>
        </is>
      </c>
      <c r="L349" s="114">
        <f>HYPERLINK(Table3559[[#This Row],[Column1]])</f>
        <v/>
      </c>
    </row>
    <row r="350" ht="45" customHeight="1" s="314">
      <c r="A350" s="35" t="inlineStr">
        <is>
          <t>Launch X431 PRO3 (V+) V5.0 2026 Upgraded Bidirectional Scan Tool, OEM Topology Map, Scan HD Trucks, AutoAuth for FCA SGW, ECU Coding, 55+ Services, All System Diagnose, 2-Year Free Update, CAN FD</t>
        </is>
      </c>
      <c r="B350" s="35" t="inlineStr">
        <is>
          <t>B0CYLYFJW9</t>
        </is>
      </c>
      <c r="C350" s="35" t="inlineStr">
        <is>
          <t>Tablet</t>
        </is>
      </c>
      <c r="D350" s="359" t="n">
        <v>1072.371621621622</v>
      </c>
      <c r="E350" s="66" t="n">
        <v>612406.14</v>
      </c>
      <c r="F350" s="66" t="n">
        <v>39677.75</v>
      </c>
      <c r="G350" s="68" t="n">
        <v>592</v>
      </c>
      <c r="H350" s="70" t="n">
        <v>37</v>
      </c>
      <c r="I350" s="68" t="n">
        <v>142</v>
      </c>
      <c r="J350" s="69" t="n">
        <v>4.2</v>
      </c>
      <c r="K350" s="69" t="inlineStr">
        <is>
          <t>https://amazon.com/dp/B0CYLYFJW9</t>
        </is>
      </c>
      <c r="L350" s="114">
        <f>HYPERLINK(Table3559[[#This Row],[Column1]])</f>
        <v/>
      </c>
    </row>
    <row r="351" ht="45" customHeight="1" s="314">
      <c r="A351" s="35" t="inlineStr">
        <is>
          <t>LAUNCH Creader 3001 OBD2 Scanner, Engine Fault Code Reader, Mode 6 &amp; CAN Diagnostic Scan Tool, Works with All 1996+ OBDII Protocol Vehicles, Lifetime Free Update</t>
        </is>
      </c>
      <c r="B351" s="35" t="inlineStr">
        <is>
          <t>B09B2C4TBV</t>
        </is>
      </c>
      <c r="C351" s="35" t="inlineStr">
        <is>
          <t>Handheld</t>
        </is>
      </c>
      <c r="D351" s="359" t="n">
        <v>17.10864864864865</v>
      </c>
      <c r="E351" s="66" t="n">
        <v>6389.919230769231</v>
      </c>
      <c r="F351" s="66" t="n">
        <v>633.02</v>
      </c>
      <c r="G351" s="68" t="n">
        <v>97</v>
      </c>
      <c r="H351" s="70" t="n">
        <v>37</v>
      </c>
      <c r="I351" s="68" t="n">
        <v>4</v>
      </c>
      <c r="J351" s="69" t="n">
        <v>5</v>
      </c>
      <c r="K351" s="69" t="inlineStr">
        <is>
          <t>https://amazon.com/dp/B09B2C4TBV</t>
        </is>
      </c>
      <c r="L351" s="114">
        <f>HYPERLINK(Table3559[[#This Row],[Column1]])</f>
        <v/>
      </c>
    </row>
    <row r="352" ht="45" customHeight="1" s="314">
      <c r="A352" s="35" t="inlineStr">
        <is>
          <t>2026 LAUNCH Creader Elite V2.0 OBD2 Scanner for VW Audi Skoda Seat, Full Systems Bi-Directional Scan Tool for VAG Vehicles, All Services Car Code Reader, AUTO VIN, Free Update</t>
        </is>
      </c>
      <c r="B352" s="35" t="inlineStr">
        <is>
          <t>B0CR3X6PYQ</t>
        </is>
      </c>
      <c r="C352" s="35" t="inlineStr">
        <is>
          <t>Tablet</t>
        </is>
      </c>
      <c r="D352" s="359" t="n">
        <v>193.871935483871</v>
      </c>
      <c r="E352" s="66" t="n">
        <v>60747.21</v>
      </c>
      <c r="F352" s="66" t="n">
        <v>6010.03</v>
      </c>
      <c r="G352" s="68" t="n">
        <v>351</v>
      </c>
      <c r="H352" s="70" t="n">
        <v>31</v>
      </c>
      <c r="I352" s="68" t="n">
        <v>68</v>
      </c>
      <c r="J352" s="69" t="n">
        <v>3.5</v>
      </c>
      <c r="K352" s="69" t="inlineStr">
        <is>
          <t>https://amazon.com/dp/B0CR3X6PYQ</t>
        </is>
      </c>
      <c r="L352" s="114">
        <f>HYPERLINK(Table3559[[#This Row],[Column1]])</f>
        <v/>
      </c>
    </row>
    <row r="353" ht="45" customHeight="1" s="314">
      <c r="A353" s="35" t="inlineStr">
        <is>
          <t>LAUNCH X431 Creader Elite OBDII Scanner for GM Vehicles, Full-System Bi-Directional Diagnostic Tool for Buick/Chevrolet/Cadillac/GMC, All Reset Service Code Reader, Lifetime Updated</t>
        </is>
      </c>
      <c r="B353" s="35" t="inlineStr">
        <is>
          <t>B0DTH2Z6G6</t>
        </is>
      </c>
      <c r="C353" s="35" t="inlineStr">
        <is>
          <t>Handheld</t>
        </is>
      </c>
      <c r="D353" s="359" t="n">
        <v>147.9483333333333</v>
      </c>
      <c r="E353" s="66" t="n">
        <v>56881.38</v>
      </c>
      <c r="F353" s="66" t="n">
        <v>4438.45</v>
      </c>
      <c r="G353" s="68" t="n">
        <v>389</v>
      </c>
      <c r="H353" s="70" t="n">
        <v>30</v>
      </c>
      <c r="I353" s="68" t="n">
        <v>29</v>
      </c>
      <c r="J353" s="69" t="n">
        <v>3.9</v>
      </c>
      <c r="K353" s="69" t="inlineStr">
        <is>
          <t>https://amazon.com/dp/B0DTH2Z6G6</t>
        </is>
      </c>
      <c r="L353" s="114">
        <f>HYPERLINK(Table3559[[#This Row],[Column1]])</f>
        <v/>
      </c>
    </row>
    <row r="354" ht="45" customHeight="1" s="314">
      <c r="A354" s="35" t="inlineStr">
        <is>
          <t>2026 LAUNCH Creader Elite V2.0 fit for Kia and Hyundai Bi-Directional Scan Tool, All Reset Functions, Full System Diagnostic Scanner, Full OBD2 Code Reader, ECU Code, AUTO VIN, Lifetime Free Update</t>
        </is>
      </c>
      <c r="B354" s="35" t="inlineStr">
        <is>
          <t>B0D61QMD2M</t>
        </is>
      </c>
      <c r="C354" s="35" t="inlineStr">
        <is>
          <t>Tablet</t>
        </is>
      </c>
      <c r="D354" s="359" t="n">
        <v>192.222</v>
      </c>
      <c r="E354" s="66" t="n">
        <v>62226.38</v>
      </c>
      <c r="F354" s="66" t="n">
        <v>5766.66</v>
      </c>
      <c r="G354" s="68" t="n">
        <v>363</v>
      </c>
      <c r="H354" s="70" t="n">
        <v>30</v>
      </c>
      <c r="I354" s="68" t="n">
        <v>49</v>
      </c>
      <c r="J354" s="69" t="n">
        <v>3.6</v>
      </c>
      <c r="K354" s="69" t="inlineStr">
        <is>
          <t>https://amazon.com/dp/B0D61QMD2M</t>
        </is>
      </c>
      <c r="L354" s="114">
        <f>HYPERLINK(Table3559[[#This Row],[Column1]])</f>
        <v/>
      </c>
    </row>
    <row r="355" ht="45" customHeight="1" s="314">
      <c r="A355" s="35" t="inlineStr">
        <is>
          <t>Launch X431 PAD VII Elite, 2026 Top Intelligent Diagnostic Scanner, J2534 Protocol, Topology Map, Remote Diagnosis with Smartlink C, 2-Year Free Update, Bi-Directional Scan,60+ Service</t>
        </is>
      </c>
      <c r="B355" s="35" t="inlineStr">
        <is>
          <t>B0B1HT1J23</t>
        </is>
      </c>
      <c r="C355" s="35" t="inlineStr">
        <is>
          <t>Tablet</t>
        </is>
      </c>
      <c r="D355" s="359" t="n">
        <v>2692.295</v>
      </c>
      <c r="E355" s="66" t="n">
        <v>793527.1199999999</v>
      </c>
      <c r="F355" s="66" t="n">
        <v>80768.85000000001</v>
      </c>
      <c r="G355" s="68" t="n">
        <v>294</v>
      </c>
      <c r="H355" s="70" t="n">
        <v>30</v>
      </c>
      <c r="I355" s="68" t="n">
        <v>130</v>
      </c>
      <c r="J355" s="69" t="n">
        <v>4.2</v>
      </c>
      <c r="K355" s="69" t="inlineStr">
        <is>
          <t>https://amazon.com/dp/B0B1HT1J23</t>
        </is>
      </c>
      <c r="L355" s="114">
        <f>HYPERLINK(Table3559[[#This Row],[Column1]])</f>
        <v/>
      </c>
    </row>
    <row r="356" ht="45" customHeight="1" s="314">
      <c r="A356" s="35" t="inlineStr">
        <is>
          <t>LAUNCH X431 Creader Elite 2.0 Lifetime Update OBD2 Scanner for BBA, 2026 New Bidirectional Scan Tool for BMW, for Mercedes-Benz,for Audi, ECU Code,Full System,Full Services, Battery Register</t>
        </is>
      </c>
      <c r="B356" s="35" t="inlineStr">
        <is>
          <t>B0F2Y5HBYR</t>
        </is>
      </c>
      <c r="C356" s="35" t="inlineStr">
        <is>
          <t>Tablet</t>
        </is>
      </c>
      <c r="D356" s="359" t="n">
        <v>229.53</v>
      </c>
      <c r="E356" s="66" t="n">
        <v>47660.61461538461</v>
      </c>
      <c r="F356" s="66" t="n">
        <v>6656.37</v>
      </c>
      <c r="G356" s="68" t="n">
        <v>126</v>
      </c>
      <c r="H356" s="70" t="n">
        <v>29</v>
      </c>
      <c r="I356" s="68" t="n">
        <v>6</v>
      </c>
      <c r="J356" s="69" t="n">
        <v>4.4</v>
      </c>
      <c r="K356" s="69" t="inlineStr">
        <is>
          <t>https://amazon.com/dp/B0F2Y5HBYR</t>
        </is>
      </c>
      <c r="L356" s="114">
        <f>HYPERLINK(Table3559[[#This Row],[Column1]])</f>
        <v/>
      </c>
    </row>
    <row r="357" ht="45" customHeight="1" s="314">
      <c r="A357" s="35" t="inlineStr">
        <is>
          <t>Launch OBD2 Scanner CRP123X Elite, 2026 Lifetime Update WiFi Scan Tool, Engine at SRS Airbag Scanner, 3 Resets Diagnostic Scanner, Code Reader for All Cars, AutoVIN, FCA SGW, Voltage Monitor</t>
        </is>
      </c>
      <c r="B357" s="35" t="inlineStr">
        <is>
          <t>B08NK3DD76</t>
        </is>
      </c>
      <c r="C357" s="35" t="inlineStr">
        <is>
          <t>Tablet</t>
        </is>
      </c>
      <c r="D357" s="359" t="n">
        <v>127.0485185185185</v>
      </c>
      <c r="E357" s="66" t="n">
        <v>41118.47999999999</v>
      </c>
      <c r="F357" s="66" t="n">
        <v>3430.31</v>
      </c>
      <c r="G357" s="68" t="n">
        <v>307</v>
      </c>
      <c r="H357" s="70" t="n">
        <v>27</v>
      </c>
      <c r="I357" s="68" t="n">
        <v>186</v>
      </c>
      <c r="J357" s="69" t="n">
        <v>4.3</v>
      </c>
      <c r="K357" s="69" t="inlineStr">
        <is>
          <t>https://amazon.com/dp/B08NK3DD76</t>
        </is>
      </c>
      <c r="L357" s="114">
        <f>HYPERLINK(Table3559[[#This Row],[Column1]])</f>
        <v/>
      </c>
    </row>
    <row r="358" ht="45" customHeight="1" s="314">
      <c r="A358" s="35" t="inlineStr">
        <is>
          <t>Launch Crp123 V2.0 Obd2 Scanner, 2026 Engine/Abs/SRS/Transmission Car Diagnostic Tool with Oil Reset/Throttle Adaption/SAS Relearn, Check Engine Code Reader, Lifetime Update Scan Tool</t>
        </is>
      </c>
      <c r="B358" s="35" t="inlineStr">
        <is>
          <t>B01HNO5PLY</t>
        </is>
      </c>
      <c r="C358" s="35" t="inlineStr">
        <is>
          <t>Tablet</t>
        </is>
      </c>
      <c r="D358" s="359" t="n">
        <v>126.1359259259259</v>
      </c>
      <c r="E358" s="66" t="n">
        <v>150832.4</v>
      </c>
      <c r="F358" s="66" t="n">
        <v>3405.67</v>
      </c>
      <c r="G358" s="68" t="n">
        <v>1216</v>
      </c>
      <c r="H358" s="70" t="n">
        <v>27</v>
      </c>
      <c r="I358" s="68" t="n">
        <v>673</v>
      </c>
      <c r="J358" s="69" t="n">
        <v>4.3</v>
      </c>
      <c r="K358" s="69" t="inlineStr">
        <is>
          <t>https://amazon.com/dp/B01HNO5PLY</t>
        </is>
      </c>
      <c r="L358" s="114">
        <f>HYPERLINK(Table3559[[#This Row],[Column1]])</f>
        <v/>
      </c>
    </row>
    <row r="359" ht="45" customHeight="1" s="314">
      <c r="A359" s="35" t="inlineStr">
        <is>
          <t>LAUNCH X431 PRO Elite 2026 New Bidirectional Scan Tool, 38+ Services, ECU Code, All-in-One Full System Diagnostic Scanner with CANFD &amp; DoIP,FCA AutoAuth,V.A.G Guide,2 Years Free Update</t>
        </is>
      </c>
      <c r="B359" s="35" t="inlineStr">
        <is>
          <t>B0D1V2X5KG</t>
        </is>
      </c>
      <c r="C359" s="35" t="inlineStr">
        <is>
          <t>Tablet</t>
        </is>
      </c>
      <c r="D359" s="359" t="n">
        <v>681.3457692307693</v>
      </c>
      <c r="E359" s="66" t="n">
        <v>79623.15000000001</v>
      </c>
      <c r="F359" s="66" t="n">
        <v>17714.99</v>
      </c>
      <c r="G359" s="68" t="n">
        <v>120</v>
      </c>
      <c r="H359" s="70" t="n">
        <v>26</v>
      </c>
      <c r="I359" s="68" t="n">
        <v>248</v>
      </c>
      <c r="J359" s="69" t="n">
        <v>4.3</v>
      </c>
      <c r="K359" s="69" t="inlineStr">
        <is>
          <t>https://amazon.com/dp/B0D1V2X5KG</t>
        </is>
      </c>
      <c r="L359" s="114">
        <f>HYPERLINK(Table3559[[#This Row],[Column1]])</f>
        <v/>
      </c>
    </row>
    <row r="360" ht="45" customHeight="1" s="314">
      <c r="A360" s="35" t="inlineStr">
        <is>
          <t>LAUNCH OBD2 Scanner 2026 US Ver. CRP123X V2.0 Elite, 7 Reset Scan Tool, FCA SGW, Engine ABS SRS Transmission Code Reader, Cloud Report, Lifetime Free Wi-Fi Update Diagnostic Tool, Battery Test,AutoVIN</t>
        </is>
      </c>
      <c r="B360" s="35" t="inlineStr">
        <is>
          <t>B0D2Q1MDJ8</t>
        </is>
      </c>
      <c r="C360" s="35" t="inlineStr">
        <is>
          <t>Tablet</t>
        </is>
      </c>
      <c r="D360" s="359" t="n">
        <v>176.9046153846154</v>
      </c>
      <c r="E360" s="66" t="n">
        <v>231646.14</v>
      </c>
      <c r="F360" s="66" t="n">
        <v>4599.52</v>
      </c>
      <c r="G360" s="68" t="n">
        <v>1365</v>
      </c>
      <c r="H360" s="70" t="n">
        <v>26</v>
      </c>
      <c r="I360" s="68" t="n">
        <v>191</v>
      </c>
      <c r="J360" s="69" t="n">
        <v>4.1</v>
      </c>
      <c r="K360" s="69" t="inlineStr">
        <is>
          <t>https://amazon.com/dp/B0D2Q1MDJ8</t>
        </is>
      </c>
      <c r="L360" s="114">
        <f>HYPERLINK(Table3559[[#This Row],[Column1]])</f>
        <v/>
      </c>
    </row>
    <row r="361" ht="45" customHeight="1" s="314">
      <c r="A361" s="35" t="inlineStr">
        <is>
          <t>Launch X431 PRO3S+ V5.0,2026 Upgrade All-in-One Bidirectional Scan Tool,HD Trucks Scan,Topology Map,ECU Code,55+ Service,Full System,CANFD&amp;DOIP,DBSCar VII VCI 2-Year Update</t>
        </is>
      </c>
      <c r="B361" s="35" t="inlineStr">
        <is>
          <t>B092894STV</t>
        </is>
      </c>
      <c r="C361" s="35" t="inlineStr">
        <is>
          <t>Tablet</t>
        </is>
      </c>
      <c r="D361" s="359" t="n">
        <v>1115.912692307692</v>
      </c>
      <c r="E361" s="66" t="n">
        <v>1332698.63</v>
      </c>
      <c r="F361" s="66" t="n">
        <v>29013.73</v>
      </c>
      <c r="G361" s="68" t="n">
        <v>1273</v>
      </c>
      <c r="H361" s="70" t="n">
        <v>26</v>
      </c>
      <c r="I361" s="68" t="n">
        <v>674</v>
      </c>
      <c r="J361" s="69" t="n">
        <v>4.2</v>
      </c>
      <c r="K361" s="69" t="inlineStr">
        <is>
          <t>https://amazon.com/dp/B092894STV</t>
        </is>
      </c>
      <c r="L361" s="114">
        <f>HYPERLINK(Table3559[[#This Row],[Column1]])</f>
        <v/>
      </c>
    </row>
    <row r="362" ht="60" customHeight="1" s="314">
      <c r="A362" s="35" t="inlineStr">
        <is>
          <t>LAUNCH OBD2 Extension Cable, Full 16 Pin Male to Female Extension Cable for Car OBD Diagnostic Extender Cord Connector OBD2 Cable (60CM/23.6Inch)</t>
        </is>
      </c>
      <c r="B362" s="35" t="inlineStr">
        <is>
          <t>B0DKJHML88</t>
        </is>
      </c>
      <c r="C362" s="35" t="inlineStr">
        <is>
          <t>Cable/Adapter</t>
        </is>
      </c>
      <c r="D362" s="359" t="n">
        <v>14.19730769230769</v>
      </c>
      <c r="E362" s="66" t="n">
        <v>4554.12</v>
      </c>
      <c r="F362" s="66" t="n">
        <v>369.13</v>
      </c>
      <c r="G362" s="68" t="n">
        <v>326</v>
      </c>
      <c r="H362" s="70" t="n">
        <v>26</v>
      </c>
      <c r="I362" s="68" t="n">
        <v>10</v>
      </c>
      <c r="J362" s="69" t="n">
        <v>4.9</v>
      </c>
      <c r="K362" s="69" t="inlineStr">
        <is>
          <t>https://amazon.com/dp/B0DKJHML88</t>
        </is>
      </c>
      <c r="L362" s="114">
        <f>HYPERLINK(Table3559[[#This Row],[Column1]])</f>
        <v/>
      </c>
    </row>
    <row r="363" ht="45" customHeight="1" s="314">
      <c r="A363" s="35" t="inlineStr">
        <is>
          <t>LAUNCH AIOBD Bluetooth OBD2 Scanner, Free Engine Diagnostics, Optional Subscription for Full System &amp; Reset Functions, AI Code Explain, Cost Estimate, iOS Android, 1996+ OBDII Cars</t>
        </is>
      </c>
      <c r="B363" s="35" t="inlineStr">
        <is>
          <t>B0FWPQVGHF</t>
        </is>
      </c>
      <c r="C363" s="35" t="inlineStr">
        <is>
          <t>Dongle</t>
        </is>
      </c>
      <c r="D363" s="359" t="n">
        <v>36.8872</v>
      </c>
      <c r="E363" s="66" t="n">
        <v>10936.26461538462</v>
      </c>
      <c r="F363" s="66" t="n">
        <v>922.1799999999999</v>
      </c>
      <c r="G363" s="68" t="n">
        <v>103</v>
      </c>
      <c r="H363" s="70" t="n">
        <v>25</v>
      </c>
      <c r="I363" s="68" t="n">
        <v>7</v>
      </c>
      <c r="J363" s="69" t="n">
        <v>2.6</v>
      </c>
      <c r="K363" s="69" t="inlineStr">
        <is>
          <t>https://amazon.com/dp/B0FWPQVGHF</t>
        </is>
      </c>
      <c r="L363" s="114">
        <f>HYPERLINK(Table3559[[#This Row],[Column1]])</f>
        <v/>
      </c>
    </row>
    <row r="364" ht="45" customHeight="1" s="314">
      <c r="A364" s="35" t="inlineStr">
        <is>
          <t>LAUNCH X431 X PROG3 Advanced Scan Tool with EEPROM Adapter,for X431 V/V+,PRO3S+,Pro3,Pro5 and PAD III/PAD V,etc.</t>
        </is>
      </c>
      <c r="B364" s="35" t="inlineStr">
        <is>
          <t>B09DK5H1F5</t>
        </is>
      </c>
      <c r="C364" s="35" t="inlineStr">
        <is>
          <t>Key</t>
        </is>
      </c>
      <c r="D364" s="359" t="n">
        <v>593.6168</v>
      </c>
      <c r="E364" s="66" t="n">
        <v>130865.64</v>
      </c>
      <c r="F364" s="66" t="n">
        <v>14840.42</v>
      </c>
      <c r="G364" s="68" t="n">
        <v>213</v>
      </c>
      <c r="H364" s="70" t="n">
        <v>25</v>
      </c>
      <c r="I364" s="68" t="n">
        <v>30</v>
      </c>
      <c r="J364" s="69" t="n">
        <v>3.6</v>
      </c>
      <c r="K364" s="69" t="inlineStr">
        <is>
          <t>https://amazon.com/dp/B09DK5H1F5</t>
        </is>
      </c>
      <c r="L364" s="114">
        <f>HYPERLINK(Table3559[[#This Row],[Column1]])</f>
        <v/>
      </c>
    </row>
    <row r="365" ht="45" customHeight="1" s="314">
      <c r="A365" s="35" t="inlineStr">
        <is>
          <t>LAUNCH OBD2 Scanner Engine Fault Code Reader, CR319 Code Reader Scanner, CAN Diagnostic Scan Tool Supports DTC Lookup, Mode6 O2 Sensor for OBDII Protocol Cars Since 1996 Black</t>
        </is>
      </c>
      <c r="B365" s="35" t="inlineStr">
        <is>
          <t>B07RTVPC4B</t>
        </is>
      </c>
      <c r="C365" s="35" t="inlineStr">
        <is>
          <t>Handheld</t>
        </is>
      </c>
      <c r="D365" s="359" t="n">
        <v>24.45347826086956</v>
      </c>
      <c r="E365" s="66" t="n">
        <v>9047.09</v>
      </c>
      <c r="F365" s="66" t="n">
        <v>562.4299999999999</v>
      </c>
      <c r="G365" s="68" t="n">
        <v>338</v>
      </c>
      <c r="H365" s="70" t="n">
        <v>23</v>
      </c>
      <c r="I365" s="68" t="n">
        <v>967</v>
      </c>
      <c r="J365" s="69" t="n">
        <v>4.4</v>
      </c>
      <c r="K365" s="69" t="inlineStr">
        <is>
          <t>https://amazon.com/dp/B07RTVPC4B</t>
        </is>
      </c>
      <c r="L365" s="114">
        <f>HYPERLINK(Table3559[[#This Row],[Column1]])</f>
        <v/>
      </c>
    </row>
    <row r="366" ht="45" customHeight="1" s="314">
      <c r="A366" s="35" t="inlineStr">
        <is>
          <t>LAUNCH Creader VII+ V2.0 OBD2 Scanner, 2026 New Engine/Transmission/ABS/SRS Diagnostic Scan Tool With Oil Reset/Throttle Adaption/SAS Relearn, Check Engine Code Reader, Full OBD2, Lifetime Free Update</t>
        </is>
      </c>
      <c r="B366" s="35" t="inlineStr">
        <is>
          <t>B00BGH0EAC</t>
        </is>
      </c>
      <c r="C366" s="35" t="inlineStr">
        <is>
          <t>Tablet</t>
        </is>
      </c>
      <c r="D366" s="359" t="n">
        <v>133.3421739130435</v>
      </c>
      <c r="E366" s="66" t="n">
        <v>61118.38000000001</v>
      </c>
      <c r="F366" s="66" t="n">
        <v>3066.87</v>
      </c>
      <c r="G366" s="68" t="n">
        <v>476</v>
      </c>
      <c r="H366" s="70" t="n">
        <v>23</v>
      </c>
      <c r="I366" s="68" t="n">
        <v>1438</v>
      </c>
      <c r="J366" s="69" t="n">
        <v>4.2</v>
      </c>
      <c r="K366" s="69" t="inlineStr">
        <is>
          <t>https://amazon.com/dp/B00BGH0EAC</t>
        </is>
      </c>
      <c r="L366" s="114">
        <f>HYPERLINK(Table3559[[#This Row],[Column1]])</f>
        <v/>
      </c>
    </row>
    <row r="367" ht="45" customHeight="1" s="314">
      <c r="A367" s="35" t="inlineStr">
        <is>
          <t>LAUNCH X431 PRO3S+ V5.0,2026 Upgrade Bluetooth Bi-Directional Scan Tool,HD Trucks Scan,OEM Topology Map,Online Code,55+ Service,CAN FD Connector,VAG Guided,AutoAuth FCA SGW,2 Yrs Free Update</t>
        </is>
      </c>
      <c r="B367" s="35" t="inlineStr">
        <is>
          <t>B09L1514WP</t>
        </is>
      </c>
      <c r="C367" s="35" t="inlineStr">
        <is>
          <t>Tablet</t>
        </is>
      </c>
      <c r="D367" s="359" t="n">
        <v>1125.928260869565</v>
      </c>
      <c r="E367" s="66" t="n">
        <v>166510.47</v>
      </c>
      <c r="F367" s="66" t="n">
        <v>25896.35</v>
      </c>
      <c r="G367" s="68" t="n">
        <v>153</v>
      </c>
      <c r="H367" s="70" t="n">
        <v>23</v>
      </c>
      <c r="I367" s="68" t="n">
        <v>84</v>
      </c>
      <c r="J367" s="69" t="n">
        <v>4.1</v>
      </c>
      <c r="K367" s="69" t="inlineStr">
        <is>
          <t>https://amazon.com/dp/B09L1514WP</t>
        </is>
      </c>
      <c r="L367" s="114">
        <f>HYPERLINK(Table3559[[#This Row],[Column1]])</f>
        <v/>
      </c>
    </row>
    <row r="368" ht="45" customHeight="1" s="314">
      <c r="A368" s="35" t="inlineStr">
        <is>
          <t>LAUNCH AIOBD Bluetooth OBD2 Scanner Connector, High-Speed Universal OBD2 Scanner Connector for 95% Cars, Bi-Directional &amp; Advanced Diagnostics with Creader Series/CRP/X-431 Diagnostic Tools.</t>
        </is>
      </c>
      <c r="B368" s="35" t="inlineStr">
        <is>
          <t>B0G49V5TKG</t>
        </is>
      </c>
      <c r="C368" s="35" t="inlineStr">
        <is>
          <t>Handheld</t>
        </is>
      </c>
      <c r="D368" s="359" t="n">
        <v>80.44863636363635</v>
      </c>
      <c r="E368" s="66" t="n">
        <v>21629.45538461538</v>
      </c>
      <c r="F368" s="66" t="n">
        <v>1769.87</v>
      </c>
      <c r="G368" s="68" t="n">
        <v>86</v>
      </c>
      <c r="H368" s="70" t="n">
        <v>22</v>
      </c>
      <c r="I368" s="68" t="n"/>
      <c r="J368" s="69" t="n"/>
      <c r="K368" s="69" t="inlineStr">
        <is>
          <t>https://amazon.com/dp/B0G49V5TKG</t>
        </is>
      </c>
      <c r="L368" s="114">
        <f>HYPERLINK(Table3559[[#This Row],[Column1]])</f>
        <v/>
      </c>
    </row>
    <row r="369" ht="30" customHeight="1" s="314">
      <c r="A369" s="35" t="inlineStr">
        <is>
          <t>Launch X431 PRO Dyno 2026 Upgrade Bidirectional Scan Tool for 99.99% of Cars, ECU Coding, Active Tests, 38+ Services, All System Diagnostic Scanner, CAN-FD, FCA AutoAuth, 2 Years Free Update</t>
        </is>
      </c>
      <c r="B369" s="35" t="inlineStr">
        <is>
          <t>B0CH2TFY41</t>
        </is>
      </c>
      <c r="C369" s="35" t="inlineStr">
        <is>
          <t>Tablet</t>
        </is>
      </c>
      <c r="D369" s="359" t="n">
        <v>814.3713636363635</v>
      </c>
      <c r="E369" s="66" t="n">
        <v>227987.92</v>
      </c>
      <c r="F369" s="66" t="n">
        <v>17916.17</v>
      </c>
      <c r="G369" s="68" t="n">
        <v>280</v>
      </c>
      <c r="H369" s="70" t="n">
        <v>22</v>
      </c>
      <c r="I369" s="68" t="n">
        <v>97</v>
      </c>
      <c r="J369" s="69" t="n">
        <v>4.6</v>
      </c>
      <c r="K369" s="69" t="inlineStr">
        <is>
          <t>https://amazon.com/dp/B0CH2TFY41</t>
        </is>
      </c>
      <c r="L369" s="114">
        <f>HYPERLINK(Table3559[[#This Row],[Column1]])</f>
        <v/>
      </c>
    </row>
    <row r="370" ht="45" customHeight="1" s="314">
      <c r="A370" s="35" t="inlineStr">
        <is>
          <t>LAUNCH CR629 OBD2 Scanner ABS SRS Scan Tool with Active Test, 3 Service Oil/SAS/BMS Reset Tool, Full OBD2 Functions Car Code Scanner, Lifetime Free Update (More Powerful Than LAUNCH CR529, CRP123X)</t>
        </is>
      </c>
      <c r="B370" s="35" t="inlineStr">
        <is>
          <t>B089M629LG</t>
        </is>
      </c>
      <c r="C370" s="35" t="inlineStr">
        <is>
          <t>Handheld</t>
        </is>
      </c>
      <c r="D370" s="359" t="n">
        <v>95.77136363636365</v>
      </c>
      <c r="E370" s="66" t="n">
        <v>28881.95</v>
      </c>
      <c r="F370" s="66" t="n">
        <v>2106.97</v>
      </c>
      <c r="G370" s="68" t="n">
        <v>314</v>
      </c>
      <c r="H370" s="70" t="n">
        <v>22</v>
      </c>
      <c r="I370" s="68" t="n">
        <v>471</v>
      </c>
      <c r="J370" s="69" t="n">
        <v>4.1</v>
      </c>
      <c r="K370" s="69" t="inlineStr">
        <is>
          <t>https://amazon.com/dp/B089M629LG</t>
        </is>
      </c>
      <c r="L370" s="114">
        <f>HYPERLINK(Table3559[[#This Row],[Column1]])</f>
        <v/>
      </c>
    </row>
    <row r="371" ht="30" customHeight="1" s="314">
      <c r="A371" s="35" t="inlineStr">
        <is>
          <t>LAUNCH CRP129HD Heavy Duty Truck Scanner 2026 Semi Trucks Full System Diagnostic Tool with Speed Limit Adjust Reset, D.P.F Regen, Oil Reset for Commercial Vehicle, Cummins Detroit International Paccar</t>
        </is>
      </c>
      <c r="B371" s="35" t="inlineStr">
        <is>
          <t>B0F58Y97Z2</t>
        </is>
      </c>
      <c r="C371" s="35" t="inlineStr">
        <is>
          <t>Tablet</t>
        </is>
      </c>
      <c r="D371" s="359" t="n">
        <v>508.7904545454545</v>
      </c>
      <c r="E371" s="66" t="n">
        <v>78144.18999999999</v>
      </c>
      <c r="F371" s="66" t="n">
        <v>11193.39</v>
      </c>
      <c r="G371" s="68" t="n">
        <v>113</v>
      </c>
      <c r="H371" s="70" t="n">
        <v>22</v>
      </c>
      <c r="I371" s="68" t="n">
        <v>7</v>
      </c>
      <c r="J371" s="69" t="n">
        <v>4.8</v>
      </c>
      <c r="K371" s="69" t="inlineStr">
        <is>
          <t>https://amazon.com/dp/B0F58Y97Z2</t>
        </is>
      </c>
      <c r="L371" s="114">
        <f>HYPERLINK(Table3559[[#This Row],[Column1]])</f>
        <v/>
      </c>
    </row>
    <row r="372" ht="45" customHeight="1" s="314">
      <c r="A372" s="35" t="inlineStr">
        <is>
          <t>Launch CR629 OBD2 Scanner Code Reader 2026 New Scan Tool with Reset Oil/BMS Service+Live Data, Professional Mechanic Full OBDII Diagnostic Tool for Read/Clear DTCs Lifetime Free Update</t>
        </is>
      </c>
      <c r="B372" s="35" t="inlineStr">
        <is>
          <t>B089KD1L9Q</t>
        </is>
      </c>
      <c r="C372" s="35" t="inlineStr">
        <is>
          <t>Handheld</t>
        </is>
      </c>
      <c r="D372" s="359" t="n">
        <v>95.01095238095238</v>
      </c>
      <c r="E372" s="66" t="n">
        <v>18277.45153846154</v>
      </c>
      <c r="F372" s="66" t="n">
        <v>1995.23</v>
      </c>
      <c r="G372" s="68" t="n">
        <v>164</v>
      </c>
      <c r="H372" s="70" t="n">
        <v>21</v>
      </c>
      <c r="I372" s="68" t="n">
        <v>334</v>
      </c>
      <c r="J372" s="69" t="n">
        <v>4.4</v>
      </c>
      <c r="K372" s="69" t="inlineStr">
        <is>
          <t>https://amazon.com/dp/B089KD1L9Q</t>
        </is>
      </c>
      <c r="L372" s="114">
        <f>HYPERLINK(Table3559[[#This Row],[Column1]])</f>
        <v/>
      </c>
    </row>
    <row r="373" ht="60" customHeight="1" s="314">
      <c r="A373" s="35" t="inlineStr">
        <is>
          <t>LAUNCH Creader Elite Bidirectional Tool Fit for Ford Lincoln Mercury Mazda, Full Systems All Resets OBD2 Scanner, PMI Function Diagnostic Scann Tool, Battery Registration, Lifetime Free Update</t>
        </is>
      </c>
      <c r="B373" s="35" t="inlineStr">
        <is>
          <t>B0CN6G9LL8</t>
        </is>
      </c>
      <c r="C373" s="35" t="inlineStr">
        <is>
          <t>Handheld</t>
        </is>
      </c>
      <c r="D373" s="359" t="n">
        <v>165.2357142857143</v>
      </c>
      <c r="E373" s="66" t="n">
        <v>36970.06076923077</v>
      </c>
      <c r="F373" s="66" t="n">
        <v>3469.95</v>
      </c>
      <c r="G373" s="68" t="n">
        <v>219</v>
      </c>
      <c r="H373" s="70" t="n">
        <v>21</v>
      </c>
      <c r="I373" s="68" t="n">
        <v>19</v>
      </c>
      <c r="J373" s="69" t="n">
        <v>4.5</v>
      </c>
      <c r="K373" s="69" t="inlineStr">
        <is>
          <t>https://amazon.com/dp/B0CN6G9LL8</t>
        </is>
      </c>
      <c r="L373" s="114">
        <f>HYPERLINK(Table3559[[#This Row],[Column1]])</f>
        <v/>
      </c>
    </row>
    <row r="374" ht="60" customHeight="1" s="314">
      <c r="A374" s="35" t="inlineStr">
        <is>
          <t>2026 Launch X431 Full System Bi-Directional Scanner for Nissan/for Infiniti/fit for GTR, OBD2 Scanner Code Reader with All Free Reset Service</t>
        </is>
      </c>
      <c r="B374" s="35" t="inlineStr">
        <is>
          <t>B0C7CC6231</t>
        </is>
      </c>
      <c r="C374" s="35" t="inlineStr">
        <is>
          <t>Handheld</t>
        </is>
      </c>
      <c r="D374" s="359" t="n">
        <v>142.0280952380952</v>
      </c>
      <c r="E374" s="66" t="n">
        <v>27582.8</v>
      </c>
      <c r="F374" s="66" t="n">
        <v>2982.59</v>
      </c>
      <c r="G374" s="68" t="n">
        <v>184</v>
      </c>
      <c r="H374" s="70" t="n">
        <v>21</v>
      </c>
      <c r="I374" s="68" t="n">
        <v>62</v>
      </c>
      <c r="J374" s="69" t="n">
        <v>3.8</v>
      </c>
      <c r="K374" s="69" t="inlineStr">
        <is>
          <t>https://amazon.com/dp/B0C7CC6231</t>
        </is>
      </c>
      <c r="L374" s="114">
        <f>HYPERLINK(Table3559[[#This Row],[Column1]])</f>
        <v/>
      </c>
    </row>
    <row r="375" ht="45" customHeight="1" s="314">
      <c r="A375" s="35" t="inlineStr">
        <is>
          <t>LAUNCH CRP129HD Heavy Duty Truck Scanner,Full System Diesel Scan Tool with 7+ Resets,DPF Force Regen &amp; Reset,Speed Limit Adjust,Oil Reset for Cummins Detroit Freightliner International Volvo &amp; More</t>
        </is>
      </c>
      <c r="B375" s="35" t="inlineStr">
        <is>
          <t>B0D5GNGT1D</t>
        </is>
      </c>
      <c r="C375" s="35" t="inlineStr">
        <is>
          <t>Tablet</t>
        </is>
      </c>
      <c r="D375" s="359" t="n">
        <v>502.9734999999999</v>
      </c>
      <c r="E375" s="66" t="n">
        <v>115352.09</v>
      </c>
      <c r="F375" s="66" t="n">
        <v>10059.47</v>
      </c>
      <c r="G375" s="68" t="n">
        <v>221</v>
      </c>
      <c r="H375" s="70" t="n">
        <v>20</v>
      </c>
      <c r="I375" s="68" t="n">
        <v>47</v>
      </c>
      <c r="J375" s="69" t="n">
        <v>4</v>
      </c>
      <c r="K375" s="69" t="inlineStr">
        <is>
          <t>https://amazon.com/dp/B0D5GNGT1D</t>
        </is>
      </c>
      <c r="L375" s="114">
        <f>HYPERLINK(Table3559[[#This Row],[Column1]])</f>
        <v/>
      </c>
    </row>
    <row r="376" ht="60" customHeight="1" s="314">
      <c r="A376" s="35" t="inlineStr">
        <is>
          <t>LAUNCH AIOBD Bluetooth OBD2 Scanner - Full System Diagnostics, AI Explains Faults Simply, Parts/Labor/Cost Estimates, Works with iPhone &amp; Android</t>
        </is>
      </c>
      <c r="B376" s="35" t="inlineStr">
        <is>
          <t>B0FWCFYRHN</t>
        </is>
      </c>
      <c r="C376" s="35" t="inlineStr">
        <is>
          <t>Dongle</t>
        </is>
      </c>
      <c r="D376" s="359" t="n">
        <v>38.01000000000001</v>
      </c>
      <c r="E376" s="66" t="n">
        <v>11057.16153846154</v>
      </c>
      <c r="F376" s="66" t="n">
        <v>760.2</v>
      </c>
      <c r="G376" s="68" t="n">
        <v>134</v>
      </c>
      <c r="H376" s="70" t="n">
        <v>20</v>
      </c>
      <c r="I376" s="68" t="n">
        <v>30</v>
      </c>
      <c r="J376" s="69" t="n">
        <v>3.5</v>
      </c>
      <c r="K376" s="69" t="inlineStr">
        <is>
          <t>https://amazon.com/dp/B0FWCFYRHN</t>
        </is>
      </c>
      <c r="L376" s="114">
        <f>HYPERLINK(Table3559[[#This Row],[Column1]])</f>
        <v/>
      </c>
    </row>
    <row r="377" ht="45" customHeight="1" s="314">
      <c r="A377" s="35" t="inlineStr">
        <is>
          <t>LAUNCH CRP123I V3.0 Elite OBD2 Scanner Diagnostic Tool with DOIP &amp; CAN FD, 2026 New Code Reader for Cars and Trucks, Engine ABS SRS Transmission Car Scanner, Oil/EPB/DPF/SAS/Throttle Relearn</t>
        </is>
      </c>
      <c r="B377" s="35" t="inlineStr">
        <is>
          <t>B07YDP2JTP</t>
        </is>
      </c>
      <c r="C377" s="35" t="inlineStr">
        <is>
          <t>Tablet</t>
        </is>
      </c>
      <c r="D377" s="359" t="n">
        <v>179.248</v>
      </c>
      <c r="E377" s="66" t="n">
        <v>470072.48</v>
      </c>
      <c r="F377" s="66" t="n">
        <v>3584.96</v>
      </c>
      <c r="G377" s="68" t="n">
        <v>2688</v>
      </c>
      <c r="H377" s="70" t="n">
        <v>20</v>
      </c>
      <c r="I377" s="68" t="n">
        <v>227</v>
      </c>
      <c r="J377" s="69" t="n">
        <v>4.3</v>
      </c>
      <c r="K377" s="69" t="inlineStr">
        <is>
          <t>https://amazon.com/dp/B07YDP2JTP</t>
        </is>
      </c>
      <c r="L377" s="114">
        <f>HYPERLINK(Table3559[[#This Row],[Column1]])</f>
        <v/>
      </c>
    </row>
    <row r="378" ht="45" customHeight="1" s="314">
      <c r="A378" s="35" t="inlineStr">
        <is>
          <t>LAUNCH X431 CRP919E Lite Bidirectional Scan Tool, 2026 All System OBD2 Scanner Diagnostic Tool,Active Tests, 32+ Services,FCA AutoAuth,AutoVIN &amp; AutoScan,2-Year Free Update,Upgraded of CRP909E</t>
        </is>
      </c>
      <c r="B378" s="35" t="inlineStr">
        <is>
          <t>B0DBLCM29P</t>
        </is>
      </c>
      <c r="C378" s="35" t="inlineStr">
        <is>
          <t>Tablet</t>
        </is>
      </c>
      <c r="D378" s="359" t="n">
        <v>370.031052631579</v>
      </c>
      <c r="E378" s="66" t="n">
        <v>52247.09999999999</v>
      </c>
      <c r="F378" s="66" t="n">
        <v>7030.59</v>
      </c>
      <c r="G378" s="68" t="n">
        <v>140</v>
      </c>
      <c r="H378" s="70" t="n">
        <v>19</v>
      </c>
      <c r="I378" s="68" t="n">
        <v>32</v>
      </c>
      <c r="J378" s="69" t="n">
        <v>4.5</v>
      </c>
      <c r="K378" s="69" t="inlineStr">
        <is>
          <t>https://amazon.com/dp/B0DBLCM29P</t>
        </is>
      </c>
      <c r="L378" s="114">
        <f>HYPERLINK(Table3559[[#This Row],[Column1]])</f>
        <v/>
      </c>
    </row>
    <row r="379" ht="45" customHeight="1" s="314">
      <c r="A379" s="35" t="inlineStr">
        <is>
          <t>LAUNCH X431 Creader Elite 2.0 FGC OBD2 Scanner,ECU Code, Bi-Directional Scan Tool for Ford, for GM, for Chrysler,100+ Reset, Full System Diagnose, FCA AUTOAUTH, AUTOVIN, Lifetime Free Update</t>
        </is>
      </c>
      <c r="B379" s="35" t="inlineStr">
        <is>
          <t>B0CLDJV7V9</t>
        </is>
      </c>
      <c r="C379" s="35" t="inlineStr">
        <is>
          <t>Tablet</t>
        </is>
      </c>
      <c r="D379" s="359" t="n">
        <v>254.3963157894737</v>
      </c>
      <c r="E379" s="66" t="n">
        <v>156146.05</v>
      </c>
      <c r="F379" s="66" t="n">
        <v>4833.53</v>
      </c>
      <c r="G379" s="68" t="n">
        <v>680</v>
      </c>
      <c r="H379" s="70" t="n">
        <v>19</v>
      </c>
      <c r="I379" s="68" t="n">
        <v>522</v>
      </c>
      <c r="J379" s="69" t="n">
        <v>4.1</v>
      </c>
      <c r="K379" s="69" t="inlineStr">
        <is>
          <t>https://amazon.com/dp/B0CLDJV7V9</t>
        </is>
      </c>
      <c r="L379" s="114">
        <f>HYPERLINK(Table3559[[#This Row],[Column1]])</f>
        <v/>
      </c>
    </row>
    <row r="380" ht="45" customHeight="1" s="314">
      <c r="A380" s="35" t="inlineStr">
        <is>
          <t>Launch Scan Tool X431 CRP919MAX Wireless Bidirectional Tool, All System Diagnosis Scanner, 31+ Service Functions, Code Assist, ECU Coding, FCA AutoAuth, V.A.G Guided, CANFD/DOIP, 2 Years Free Update</t>
        </is>
      </c>
      <c r="B380" s="35" t="inlineStr">
        <is>
          <t>B0CP1SXB9Y</t>
        </is>
      </c>
      <c r="C380" s="35" t="inlineStr">
        <is>
          <t>Tablet</t>
        </is>
      </c>
      <c r="D380" s="359" t="n">
        <v>415.6578947368421</v>
      </c>
      <c r="E380" s="66" t="n">
        <v>73924.86</v>
      </c>
      <c r="F380" s="66" t="n">
        <v>7897.5</v>
      </c>
      <c r="G380" s="68" t="n">
        <v>173</v>
      </c>
      <c r="H380" s="70" t="n">
        <v>19</v>
      </c>
      <c r="I380" s="68" t="n">
        <v>81</v>
      </c>
      <c r="J380" s="69" t="n">
        <v>4.5</v>
      </c>
      <c r="K380" s="69" t="inlineStr">
        <is>
          <t>https://amazon.com/dp/B0CP1SXB9Y</t>
        </is>
      </c>
      <c r="L380" s="114">
        <f>HYPERLINK(Table3559[[#This Row],[Column1]])</f>
        <v/>
      </c>
    </row>
    <row r="381" ht="60" customHeight="1" s="314">
      <c r="A381" s="35" t="inlineStr">
        <is>
          <t>LAUNCH CRP123I V2.0 Elite OBD2 Scanner for All Cars&amp;Brands,2026 Lifetime Free Update Engine ABS SRS Transmission Car Scanner,Oil/Brake/BMS/SAS/DPF/ABS Bleeding/Throttle Adaption,FCA SGW,Battery Test</t>
        </is>
      </c>
      <c r="B381" s="35" t="inlineStr">
        <is>
          <t>B0D9VTQWST</t>
        </is>
      </c>
      <c r="C381" s="35" t="inlineStr">
        <is>
          <t>Tablet</t>
        </is>
      </c>
      <c r="D381" s="359" t="n">
        <v>181.1863157894737</v>
      </c>
      <c r="E381" s="66" t="n">
        <v>39774.7</v>
      </c>
      <c r="F381" s="66" t="n">
        <v>3442.54</v>
      </c>
      <c r="G381" s="68" t="n">
        <v>224</v>
      </c>
      <c r="H381" s="70" t="n">
        <v>19</v>
      </c>
      <c r="I381" s="68" t="n">
        <v>76</v>
      </c>
      <c r="J381" s="69" t="n">
        <v>4.3</v>
      </c>
      <c r="K381" s="69" t="inlineStr">
        <is>
          <t>https://amazon.com/dp/B0D9VTQWST</t>
        </is>
      </c>
      <c r="L381" s="114">
        <f>HYPERLINK(Table3559[[#This Row],[Column1]])</f>
        <v/>
      </c>
    </row>
    <row r="382" ht="45" customHeight="1" s="314">
      <c r="A382" s="35" t="inlineStr">
        <is>
          <t>LAUNCH X431 Creader Elite 2.0 BBA OBD2 Car Scanner for BMW/Mercedes-Benz/VW/Audi/Maybach/Mini/RollsRoyce, Full System Bidirectional Scan Tool, ECU Coding, Full Reset Services, Lifetime Free Update</t>
        </is>
      </c>
      <c r="B382" s="35" t="inlineStr">
        <is>
          <t>B079FLTJZ1</t>
        </is>
      </c>
      <c r="C382" s="35" t="inlineStr">
        <is>
          <t>Tablet</t>
        </is>
      </c>
      <c r="D382" s="359" t="n">
        <v>248.9816666666667</v>
      </c>
      <c r="E382" s="66" t="n">
        <v>78028.81</v>
      </c>
      <c r="F382" s="66" t="n">
        <v>4481.67</v>
      </c>
      <c r="G382" s="68" t="n">
        <v>331</v>
      </c>
      <c r="H382" s="70" t="n">
        <v>18</v>
      </c>
      <c r="I382" s="68" t="n">
        <v>183</v>
      </c>
      <c r="J382" s="69" t="n">
        <v>4.1</v>
      </c>
      <c r="K382" s="69" t="inlineStr">
        <is>
          <t>https://amazon.com/dp/B079FLTJZ1</t>
        </is>
      </c>
      <c r="L382" s="114">
        <f>HYPERLINK(Table3559[[#This Row],[Column1]])</f>
        <v/>
      </c>
    </row>
    <row r="383" ht="45" customHeight="1" s="314">
      <c r="A383" s="35" t="inlineStr">
        <is>
          <t>LAUNCH Creader Elite for Land Rover Jaguar OBD2 Scanner, Full System Diagnostic Tool, Bi-Directional Scan Tool, All Reset Services, Active Tests, Height Calibration, Auto VIN, Lifetime Free Update</t>
        </is>
      </c>
      <c r="B383" s="35" t="inlineStr">
        <is>
          <t>B0F4QRXPRC</t>
        </is>
      </c>
      <c r="C383" s="35" t="inlineStr">
        <is>
          <t>Tablet</t>
        </is>
      </c>
      <c r="D383" s="359" t="n">
        <v>127.7005555555556</v>
      </c>
      <c r="E383" s="66" t="n">
        <v>36359.72769230769</v>
      </c>
      <c r="F383" s="66" t="n">
        <v>2298.61</v>
      </c>
      <c r="G383" s="68" t="n">
        <v>204</v>
      </c>
      <c r="H383" s="70" t="n">
        <v>18</v>
      </c>
      <c r="I383" s="68" t="n">
        <v>17</v>
      </c>
      <c r="J383" s="69" t="n">
        <v>3.6</v>
      </c>
      <c r="K383" s="69" t="inlineStr">
        <is>
          <t>https://amazon.com/dp/B0F4QRXPRC</t>
        </is>
      </c>
      <c r="L383" s="114">
        <f>HYPERLINK(Table3559[[#This Row],[Column1]])</f>
        <v/>
      </c>
    </row>
    <row r="384" ht="45" customHeight="1" s="314">
      <c r="A384" s="35" t="inlineStr">
        <is>
          <t>2026 NEW Launch OBD2 Scanner CR529 Code Reader Check Engine Light for All OBDII Car After 1996 Full OBD2 Functions Mode 8, I/M Readiness DTC Lookup Lifetime Free Update Scan Tool [Upgrade Version]</t>
        </is>
      </c>
      <c r="B384" s="35" t="inlineStr">
        <is>
          <t>B0811JXH3M</t>
        </is>
      </c>
      <c r="C384" s="35" t="inlineStr">
        <is>
          <t>Handheld</t>
        </is>
      </c>
      <c r="D384" s="359" t="n">
        <v>44.19823529411764</v>
      </c>
      <c r="E384" s="66" t="n">
        <v>19139.95</v>
      </c>
      <c r="F384" s="66" t="n">
        <v>751.37</v>
      </c>
      <c r="G384" s="68" t="n">
        <v>413</v>
      </c>
      <c r="H384" s="70" t="n">
        <v>17</v>
      </c>
      <c r="I384" s="68" t="n">
        <v>2777</v>
      </c>
      <c r="J384" s="69" t="n">
        <v>4.3</v>
      </c>
      <c r="K384" s="69" t="inlineStr">
        <is>
          <t>https://amazon.com/dp/B0811JXH3M</t>
        </is>
      </c>
      <c r="L384" s="114">
        <f>HYPERLINK(Table3559[[#This Row],[Column1]])</f>
        <v/>
      </c>
    </row>
    <row r="385" ht="45" customHeight="1" s="314">
      <c r="A385" s="35" t="inlineStr">
        <is>
          <t>LAUNCH X431 PRO3S+SMARTLINK HD Heavy Duty Truck Scanner,2026 Diesel&amp;Gasoline Bidirectional Diagnostic Scan Tool,60+Service,ECU Code,Topology Mapping,AutoAuth FCA SGW,2 YSR Free Update</t>
        </is>
      </c>
      <c r="B385" s="35" t="inlineStr">
        <is>
          <t>B098XDBRK4</t>
        </is>
      </c>
      <c r="C385" s="35" t="inlineStr">
        <is>
          <t>Tablet</t>
        </is>
      </c>
      <c r="D385" s="359" t="n">
        <v>1816.024117647059</v>
      </c>
      <c r="E385" s="66" t="n">
        <v>516285.3799999999</v>
      </c>
      <c r="F385" s="66" t="n">
        <v>30872.41</v>
      </c>
      <c r="G385" s="68" t="n">
        <v>268</v>
      </c>
      <c r="H385" s="70" t="n">
        <v>17</v>
      </c>
      <c r="I385" s="68" t="n">
        <v>47</v>
      </c>
      <c r="J385" s="69" t="n">
        <v>4.4</v>
      </c>
      <c r="K385" s="69" t="inlineStr">
        <is>
          <t>https://amazon.com/dp/B098XDBRK4</t>
        </is>
      </c>
      <c r="L385" s="114">
        <f>HYPERLINK(Table3559[[#This Row],[Column1]])</f>
        <v/>
      </c>
    </row>
    <row r="386" ht="45" customHeight="1" s="314">
      <c r="A386" s="35" t="inlineStr">
        <is>
          <t>Launch X431 PROS V 5.0: 2026 Bluetooth Bidirectional Scan Tool with ECU Coding 38+ Reset for All System Car Diagnostic CANFD DOIP OBD2 Scanner 2 Yrs Update, Upgraded of PROS Elite, Same as V+</t>
        </is>
      </c>
      <c r="B386" s="35" t="inlineStr">
        <is>
          <t>B0GL81NX9N</t>
        </is>
      </c>
      <c r="C386" s="35" t="inlineStr">
        <is>
          <t>Tablet</t>
        </is>
      </c>
      <c r="D386" s="359" t="n">
        <v>815.0517647058823</v>
      </c>
      <c r="E386" s="66" t="n">
        <v>167336.3969230769</v>
      </c>
      <c r="F386" s="66" t="n">
        <v>13855.88</v>
      </c>
      <c r="G386" s="68" t="n">
        <v>17</v>
      </c>
      <c r="H386" s="70" t="n">
        <v>17</v>
      </c>
      <c r="I386" s="68" t="n"/>
      <c r="J386" s="69" t="n"/>
      <c r="K386" s="69" t="inlineStr">
        <is>
          <t>https://amazon.com/dp/B0GL81NX9N</t>
        </is>
      </c>
      <c r="L386" s="114">
        <f>HYPERLINK(Table3559[[#This Row],[Column1]])</f>
        <v/>
      </c>
    </row>
    <row r="387" ht="60" customHeight="1" s="314">
      <c r="A387" s="35" t="inlineStr">
        <is>
          <t>Launch CRP919X Lite Bidirectional Scan Tool, 2026 New FCA SGW AutoAuth, 32 Reset Services, All System Diagnostic Scanner, Injector Coding, Auto VIN OBD2 Scanner Diagnostic Tool with 2-Year Updates</t>
        </is>
      </c>
      <c r="B387" s="35" t="inlineStr">
        <is>
          <t>B0DFMC4CQX</t>
        </is>
      </c>
      <c r="C387" s="35" t="inlineStr">
        <is>
          <t>Tablet</t>
        </is>
      </c>
      <c r="D387" s="359" t="n">
        <v>367.935625</v>
      </c>
      <c r="E387" s="66" t="n">
        <v>52745.46000000001</v>
      </c>
      <c r="F387" s="66" t="n">
        <v>5886.97</v>
      </c>
      <c r="G387" s="68" t="n">
        <v>143</v>
      </c>
      <c r="H387" s="70" t="n">
        <v>16</v>
      </c>
      <c r="I387" s="68" t="n">
        <v>31</v>
      </c>
      <c r="J387" s="69" t="n">
        <v>4.8</v>
      </c>
      <c r="K387" s="69" t="inlineStr">
        <is>
          <t>https://amazon.com/dp/B0DFMC4CQX</t>
        </is>
      </c>
      <c r="L387" s="114">
        <f>HYPERLINK(Table3559[[#This Row],[Column1]])</f>
        <v/>
      </c>
    </row>
    <row r="388" ht="45" customHeight="1" s="314">
      <c r="A388" s="35" t="inlineStr">
        <is>
          <t>Launch X431 PADVII Elite, 2026 Full Function Diagnostic Scanner, J2534 J2534 Protocol, HD Trucks, EVs, Topology Map, 60+Service,Online Coding, Bidirectional Scan Tool,</t>
        </is>
      </c>
      <c r="B388" s="35" t="inlineStr">
        <is>
          <t>B09PDVDKXW</t>
        </is>
      </c>
      <c r="C388" s="35" t="inlineStr">
        <is>
          <t>Tablet</t>
        </is>
      </c>
      <c r="D388" s="359" t="n">
        <v>2749.40125</v>
      </c>
      <c r="E388" s="66" t="n">
        <v>419145.36</v>
      </c>
      <c r="F388" s="66" t="n">
        <v>43990.42</v>
      </c>
      <c r="G388" s="68" t="n">
        <v>162</v>
      </c>
      <c r="H388" s="70" t="n">
        <v>16</v>
      </c>
      <c r="I388" s="68" t="n">
        <v>5188</v>
      </c>
      <c r="J388" s="69" t="n">
        <v>4.4</v>
      </c>
      <c r="K388" s="69" t="inlineStr">
        <is>
          <t>https://amazon.com/dp/B09PDVDKXW</t>
        </is>
      </c>
      <c r="L388" s="114">
        <f>HYPERLINK(Table3559[[#This Row],[Column1]])</f>
        <v/>
      </c>
    </row>
    <row r="389" ht="45" customHeight="1" s="314">
      <c r="A389" s="35" t="inlineStr">
        <is>
          <t>Launch CRP 129 HD Heavy Duty Truck Scanner, Full System Diesel Diagnostic Tool with Speed Limit Adjust, D.P.F Regen, 7+ Resets Code Reader for Cummins, Detroit, Isuzu, Volvo&amp;More</t>
        </is>
      </c>
      <c r="B389" s="35" t="inlineStr">
        <is>
          <t>B0DTDXZSHM</t>
        </is>
      </c>
      <c r="C389" s="35" t="inlineStr">
        <is>
          <t>Tablet</t>
        </is>
      </c>
      <c r="D389" s="359" t="n">
        <v>491.593125</v>
      </c>
      <c r="E389" s="66" t="n">
        <v>76437.90999999999</v>
      </c>
      <c r="F389" s="66" t="n">
        <v>7865.49</v>
      </c>
      <c r="G389" s="68" t="n">
        <v>146</v>
      </c>
      <c r="H389" s="70" t="n">
        <v>16</v>
      </c>
      <c r="I389" s="68" t="n">
        <v>21</v>
      </c>
      <c r="J389" s="69" t="n">
        <v>3.7</v>
      </c>
      <c r="K389" s="69" t="inlineStr">
        <is>
          <t>https://amazon.com/dp/B0DTDXZSHM</t>
        </is>
      </c>
      <c r="L389" s="114">
        <f>HYPERLINK(Table3559[[#This Row],[Column1]])</f>
        <v/>
      </c>
    </row>
    <row r="390" ht="45" customHeight="1" s="314">
      <c r="A390" s="35" t="inlineStr">
        <is>
          <t>Launch X431 Elite 2.0 Bidirectional Tool Fit for Chrysler for Dodge for Jeep, 2026 Upgrade Full System Diagnostic Code Reader, 100+ Resets, AutoVIN, FCA Autoauth, Lifetime Free Update</t>
        </is>
      </c>
      <c r="B390" s="35" t="inlineStr">
        <is>
          <t>B0D9GL67MH</t>
        </is>
      </c>
      <c r="C390" s="35" t="inlineStr">
        <is>
          <t>Tablet</t>
        </is>
      </c>
      <c r="D390" s="359" t="n">
        <v>174.599375</v>
      </c>
      <c r="E390" s="66" t="n">
        <v>43308.23</v>
      </c>
      <c r="F390" s="66" t="n">
        <v>2793.59</v>
      </c>
      <c r="G390" s="68" t="n">
        <v>245</v>
      </c>
      <c r="H390" s="70" t="n">
        <v>16</v>
      </c>
      <c r="I390" s="68" t="n">
        <v>37</v>
      </c>
      <c r="J390" s="69" t="n">
        <v>3.5</v>
      </c>
      <c r="K390" s="69" t="inlineStr">
        <is>
          <t>https://amazon.com/dp/B0D9GL67MH</t>
        </is>
      </c>
      <c r="L390" s="114">
        <f>HYPERLINK(Table3559[[#This Row],[Column1]])</f>
        <v/>
      </c>
    </row>
    <row r="391" ht="45" customHeight="1" s="314">
      <c r="A391" s="35" t="inlineStr">
        <is>
          <t>LAUNCH X431 CRP919X Car Scanner, ECU Coding OBD2 Scanner Diagnostic Tool, 2026 Bi-Directional Scan Tool, CANFD/DoIP/FCA SGW, 35+ Reset,Active Test,All-in-One Full System Diagnostic Scanner,2Yrs Update</t>
        </is>
      </c>
      <c r="B391" s="35" t="inlineStr">
        <is>
          <t>B07FPDPN92</t>
        </is>
      </c>
      <c r="C391" s="35" t="inlineStr">
        <is>
          <t>Tablet</t>
        </is>
      </c>
      <c r="D391" s="359" t="n">
        <v>448.555625</v>
      </c>
      <c r="E391" s="66" t="n">
        <v>225125.5615384616</v>
      </c>
      <c r="F391" s="66" t="n">
        <v>7176.89</v>
      </c>
      <c r="G391" s="68" t="n">
        <v>501</v>
      </c>
      <c r="H391" s="70" t="n">
        <v>16</v>
      </c>
      <c r="I391" s="68" t="n">
        <v>273</v>
      </c>
      <c r="J391" s="69" t="n">
        <v>4.2</v>
      </c>
      <c r="K391" s="69" t="inlineStr">
        <is>
          <t>https://amazon.com/dp/B07FPDPN92</t>
        </is>
      </c>
      <c r="L391" s="114">
        <f>HYPERLINK(Table3559[[#This Row],[Column1]])</f>
        <v/>
      </c>
    </row>
    <row r="392" ht="45" customHeight="1" s="314">
      <c r="A392" s="35" t="inlineStr">
        <is>
          <t>LAUNCH X431 PRO Elite OBD2 Scanner, 2026 All-in-One New Bidirectional Scan Tool with CANFD DOIP, ECU Diagnostics,38+ Resets, Full System,FCA Autoauth,VAG Guide, 2 Years Update Included</t>
        </is>
      </c>
      <c r="B392" s="35" t="inlineStr">
        <is>
          <t>B0DKHBSHZB</t>
        </is>
      </c>
      <c r="C392" s="35" t="inlineStr">
        <is>
          <t>Tablet</t>
        </is>
      </c>
      <c r="D392" s="359" t="n">
        <v>672.266875</v>
      </c>
      <c r="E392" s="66" t="n">
        <v>196281.22</v>
      </c>
      <c r="F392" s="66" t="n">
        <v>10756.27</v>
      </c>
      <c r="G392" s="68" t="n">
        <v>314</v>
      </c>
      <c r="H392" s="70" t="n">
        <v>16</v>
      </c>
      <c r="I392" s="68" t="n">
        <v>40</v>
      </c>
      <c r="J392" s="69" t="n">
        <v>4.3</v>
      </c>
      <c r="K392" s="69" t="inlineStr">
        <is>
          <t>https://amazon.com/dp/B0DKHBSHZB</t>
        </is>
      </c>
      <c r="L392" s="114">
        <f>HYPERLINK(Table3559[[#This Row],[Column1]])</f>
        <v/>
      </c>
    </row>
    <row r="393" ht="45" customHeight="1" s="314">
      <c r="A393" s="35" t="inlineStr">
        <is>
          <t>Launch Creader Elite V2.0 for BMW OBD2 Scanner, 2025 Full Systems Bi-Directional Scan Tool, All Reset Services, ECU Code, Battery Registration Tool for BMW Mini RR, Lifetime Free Update, Auto VIN</t>
        </is>
      </c>
      <c r="B393" s="35" t="inlineStr">
        <is>
          <t>B0CMCYXFW4</t>
        </is>
      </c>
      <c r="C393" s="35" t="inlineStr">
        <is>
          <t>Tablet</t>
        </is>
      </c>
      <c r="D393" s="359" t="n">
        <v>162.02875</v>
      </c>
      <c r="E393" s="66" t="n">
        <v>35654.3</v>
      </c>
      <c r="F393" s="66" t="n">
        <v>2592.46</v>
      </c>
      <c r="G393" s="68" t="n">
        <v>190</v>
      </c>
      <c r="H393" s="70" t="n">
        <v>16</v>
      </c>
      <c r="I393" s="68" t="n">
        <v>15</v>
      </c>
      <c r="J393" s="69" t="n">
        <v>4.1</v>
      </c>
      <c r="K393" s="69" t="inlineStr">
        <is>
          <t>https://amazon.com/dp/B0CMCYXFW4</t>
        </is>
      </c>
      <c r="L393" s="114">
        <f>HYPERLINK(Table3559[[#This Row],[Column1]])</f>
        <v/>
      </c>
    </row>
    <row r="394" ht="45" customHeight="1" s="314">
      <c r="A394" s="35" t="inlineStr">
        <is>
          <t>LAUNCH X431 Creader Elite 2.0 Ford OBD2 Scanner, 2026 Bi-Directional Scan Tool for Ford/Lincoln/Mercury/Mazda, Full System,All Resets,ECU Code,AUTO VIN,Lifetime Update</t>
        </is>
      </c>
      <c r="B394" s="35" t="inlineStr">
        <is>
          <t>B0D5HQMNTV</t>
        </is>
      </c>
      <c r="C394" s="35" t="inlineStr">
        <is>
          <t>Tablet</t>
        </is>
      </c>
      <c r="D394" s="359" t="n">
        <v>169.538</v>
      </c>
      <c r="E394" s="66" t="n">
        <v>45006.13923076924</v>
      </c>
      <c r="F394" s="66" t="n">
        <v>2543.07</v>
      </c>
      <c r="G394" s="68" t="n">
        <v>242</v>
      </c>
      <c r="H394" s="70" t="n">
        <v>15</v>
      </c>
      <c r="I394" s="68" t="n">
        <v>31</v>
      </c>
      <c r="J394" s="69" t="n">
        <v>3.6</v>
      </c>
      <c r="K394" s="69" t="inlineStr">
        <is>
          <t>https://amazon.com/dp/B0D5HQMNTV</t>
        </is>
      </c>
      <c r="L394" s="114">
        <f>HYPERLINK(Table3559[[#This Row],[Column1]])</f>
        <v/>
      </c>
    </row>
    <row r="395" ht="45" customHeight="1" s="314">
      <c r="A395" s="35" t="inlineStr">
        <is>
          <t>LAUNCH CRP129E Plus V3.0 2026 OBD2 Scanner Diagnostic Tool, Full System Car Code Reader, 12 Reset Service TPMS/Oil/SAS/EPB/BMS/DPF Reset,FCA AutoAuth, Added CANFD&amp;DOIP, Free Update</t>
        </is>
      </c>
      <c r="B395" s="35" t="inlineStr">
        <is>
          <t>B0DY7QKBK7</t>
        </is>
      </c>
      <c r="C395" s="35" t="inlineStr">
        <is>
          <t>Tablet</t>
        </is>
      </c>
      <c r="D395" s="359" t="n">
        <v>278.3286666666667</v>
      </c>
      <c r="E395" s="66" t="n">
        <v>72603.37153846154</v>
      </c>
      <c r="F395" s="66" t="n">
        <v>4174.93</v>
      </c>
      <c r="G395" s="68" t="n">
        <v>268</v>
      </c>
      <c r="H395" s="70" t="n">
        <v>15</v>
      </c>
      <c r="I395" s="68" t="n">
        <v>31</v>
      </c>
      <c r="J395" s="69" t="n">
        <v>4.5</v>
      </c>
      <c r="K395" s="69" t="inlineStr">
        <is>
          <t>https://amazon.com/dp/B0DY7QKBK7</t>
        </is>
      </c>
      <c r="L395" s="114">
        <f>HYPERLINK(Table3559[[#This Row],[Column1]])</f>
        <v/>
      </c>
    </row>
    <row r="396" ht="45" customHeight="1" s="314">
      <c r="A396" s="35" t="inlineStr">
        <is>
          <t>LAUNCH Professional OBD2 Scanner Diagnostic Tool CR3008 Plus,One-Key I/M,Lifetime Update Code Reader,Enhanced Check Engine Code Reader OBDII Car Scan Tool for All Vehicles After 1996,Battery Test</t>
        </is>
      </c>
      <c r="B396" s="35" t="inlineStr">
        <is>
          <t>B0FWRMRK55</t>
        </is>
      </c>
      <c r="C396" s="35" t="inlineStr">
        <is>
          <t>Handheld</t>
        </is>
      </c>
      <c r="D396" s="359" t="n">
        <v>39.01214285714286</v>
      </c>
      <c r="E396" s="66" t="n">
        <v>5048.895384615383</v>
      </c>
      <c r="F396" s="66" t="n">
        <v>546.17</v>
      </c>
      <c r="G396" s="68" t="n">
        <v>27</v>
      </c>
      <c r="H396" s="70" t="n">
        <v>14</v>
      </c>
      <c r="I396" s="68" t="n">
        <v>1</v>
      </c>
      <c r="J396" s="69" t="n">
        <v>5</v>
      </c>
      <c r="K396" s="69" t="inlineStr">
        <is>
          <t>https://amazon.com/dp/B0FWRMRK55</t>
        </is>
      </c>
      <c r="L396" s="114">
        <f>HYPERLINK(Table3559[[#This Row],[Column1]])</f>
        <v/>
      </c>
    </row>
    <row r="397" ht="45" customHeight="1" s="314">
      <c r="A397" s="35" t="inlineStr">
        <is>
          <t>LAUNCH CRP129E 2026 OBD2 Scanner, 8 Reset Oil/EPB/TPMS/SAS/BMS/Throttle/DPF Reset, Injector Coding, ABS SRS Transmission Engine Code Reader, Lifetime Free Update Diagnostic Scan Tool, Auto VIN</t>
        </is>
      </c>
      <c r="B397" s="35" t="inlineStr">
        <is>
          <t>B07QR48Z38</t>
        </is>
      </c>
      <c r="C397" s="35" t="inlineStr">
        <is>
          <t>Tablet</t>
        </is>
      </c>
      <c r="D397" s="359" t="n">
        <v>174.1921428571429</v>
      </c>
      <c r="E397" s="66" t="n">
        <v>27388.79846153846</v>
      </c>
      <c r="F397" s="66" t="n">
        <v>2438.69</v>
      </c>
      <c r="G397" s="68" t="n">
        <v>136</v>
      </c>
      <c r="H397" s="70" t="n">
        <v>14</v>
      </c>
      <c r="I397" s="68" t="n">
        <v>547</v>
      </c>
      <c r="J397" s="69" t="n">
        <v>4.4</v>
      </c>
      <c r="K397" s="69" t="inlineStr">
        <is>
          <t>https://amazon.com/dp/B07QR48Z38</t>
        </is>
      </c>
      <c r="L397" s="114">
        <f>HYPERLINK(Table3559[[#This Row],[Column1]])</f>
        <v/>
      </c>
    </row>
    <row r="398" ht="45" customHeight="1" s="314">
      <c r="A398" s="35" t="inlineStr">
        <is>
          <t>LAUNCH Creader Elite OBD2 Scanner Fit for Chrysler Dodge Jeep Ram,Full Systems Code Reader with All Resets,Active Test,Battery Matching Bi-Directional Diagnostic Scan Tool</t>
        </is>
      </c>
      <c r="B398" s="35" t="inlineStr">
        <is>
          <t>B0F99K6WZV</t>
        </is>
      </c>
      <c r="C398" s="35" t="inlineStr">
        <is>
          <t>Tablet</t>
        </is>
      </c>
      <c r="D398" s="359" t="n">
        <v>130.4642857142857</v>
      </c>
      <c r="E398" s="66" t="n">
        <v>16931.84</v>
      </c>
      <c r="F398" s="66" t="n">
        <v>1826.5</v>
      </c>
      <c r="G398" s="68" t="n">
        <v>87</v>
      </c>
      <c r="H398" s="70" t="n">
        <v>14</v>
      </c>
      <c r="I398" s="68" t="n">
        <v>4</v>
      </c>
      <c r="J398" s="69" t="n">
        <v>3.7</v>
      </c>
      <c r="K398" s="69" t="inlineStr">
        <is>
          <t>https://amazon.com/dp/B0F99K6WZV</t>
        </is>
      </c>
      <c r="L398" s="114">
        <f>HYPERLINK(Table3559[[#This Row],[Column1]])</f>
        <v/>
      </c>
    </row>
    <row r="399" ht="45" customHeight="1" s="314">
      <c r="A399" s="35" t="inlineStr">
        <is>
          <t>LAUNCH Creader Elite for Land Rover Jaguar OBD2 Scanner, 2026 Full System Bi-Directional Diagnostic Scan Tool, All Reset Services, Active Tests, Height Calibration, Auto VIN, Lifetime Free Update</t>
        </is>
      </c>
      <c r="B399" s="35" t="inlineStr">
        <is>
          <t>B0DKHJLTHG</t>
        </is>
      </c>
      <c r="C399" s="35" t="inlineStr">
        <is>
          <t>Handheld</t>
        </is>
      </c>
      <c r="D399" s="359" t="n">
        <v>162.8669230769231</v>
      </c>
      <c r="E399" s="66" t="n">
        <v>59580.82000000001</v>
      </c>
      <c r="F399" s="66" t="n">
        <v>2117.27</v>
      </c>
      <c r="G399" s="68" t="n">
        <v>370</v>
      </c>
      <c r="H399" s="70" t="n">
        <v>13</v>
      </c>
      <c r="I399" s="68" t="n">
        <v>19</v>
      </c>
      <c r="J399" s="69" t="n">
        <v>3.7</v>
      </c>
      <c r="K399" s="69" t="inlineStr">
        <is>
          <t>https://amazon.com/dp/B0DKHJLTHG</t>
        </is>
      </c>
      <c r="L399" s="114">
        <f>HYPERLINK(Table3559[[#This Row],[Column1]])</f>
        <v/>
      </c>
    </row>
    <row r="400" ht="45" customHeight="1" s="314">
      <c r="A400" s="35" t="inlineStr">
        <is>
          <t>LAUNCH X431 Creader VII+ V2.0 Car Code Reader 2026,Full EOBD OBD2 Scanner Testing Engine/Transmission/ABS/Airbag System, 3 Reset Oil Service/Throttle Relearn/SAS Reset, Lifetime Free Update</t>
        </is>
      </c>
      <c r="B400" s="35" t="inlineStr">
        <is>
          <t>B00EN7JOQC</t>
        </is>
      </c>
      <c r="C400" s="35" t="inlineStr">
        <is>
          <t>Tablet</t>
        </is>
      </c>
      <c r="D400" s="359" t="n">
        <v>128.4215384615385</v>
      </c>
      <c r="E400" s="66" t="n">
        <v>24653.72846153846</v>
      </c>
      <c r="F400" s="66" t="n">
        <v>1669.48</v>
      </c>
      <c r="G400" s="68" t="n">
        <v>175</v>
      </c>
      <c r="H400" s="70" t="n">
        <v>13</v>
      </c>
      <c r="I400" s="68" t="n">
        <v>721</v>
      </c>
      <c r="J400" s="69" t="n">
        <v>4</v>
      </c>
      <c r="K400" s="69" t="inlineStr">
        <is>
          <t>https://amazon.com/dp/B00EN7JOQC</t>
        </is>
      </c>
      <c r="L400" s="114">
        <f>HYPERLINK(Table3559[[#This Row],[Column1]])</f>
        <v/>
      </c>
    </row>
    <row r="401" ht="45" customHeight="1" s="314">
      <c r="A401" s="35" t="inlineStr">
        <is>
          <t>LAUNCH OBD2 Scanner CRP Touch PRO Elite 2026 New Scan Tool with 20 Resets Injector Coding SAS BMS ABS B leeding Throttle Adaptation Car Scanner, All System Diagnostic Tool Auto VIN, Lifetime Update</t>
        </is>
      </c>
      <c r="B401" s="35" t="inlineStr">
        <is>
          <t>B08DV5NR93</t>
        </is>
      </c>
      <c r="C401" s="35" t="inlineStr">
        <is>
          <t>Tablet</t>
        </is>
      </c>
      <c r="D401" s="359" t="n">
        <v>204.4430769230769</v>
      </c>
      <c r="E401" s="66" t="n">
        <v>31274.64692307692</v>
      </c>
      <c r="F401" s="66" t="n">
        <v>2657.76</v>
      </c>
      <c r="G401" s="68" t="n">
        <v>110</v>
      </c>
      <c r="H401" s="70" t="n">
        <v>13</v>
      </c>
      <c r="I401" s="68" t="n">
        <v>248</v>
      </c>
      <c r="J401" s="69" t="n">
        <v>4.1</v>
      </c>
      <c r="K401" s="69" t="inlineStr">
        <is>
          <t>https://amazon.com/dp/B08DV5NR93</t>
        </is>
      </c>
      <c r="L401" s="114">
        <f>HYPERLINK(Table3559[[#This Row],[Column1]])</f>
        <v/>
      </c>
    </row>
    <row r="402" ht="45" customHeight="1" s="314">
      <c r="A402" s="35" t="inlineStr">
        <is>
          <t>Launch Scanner X431 1MM* Plus Car Tool with X-PROG3 (Valued $800), Engine/Gearbox ECU Clé, All-in-One Diagnostic Tool, ECU Coding as PAD, 39+ Services, All-System Scan, 2-Year Update, Black, Android</t>
        </is>
      </c>
      <c r="B402" s="35" t="inlineStr">
        <is>
          <t>B0F2HNM2VH</t>
        </is>
      </c>
      <c r="C402" s="35" t="inlineStr">
        <is>
          <t>Tablet</t>
        </is>
      </c>
      <c r="D402" s="359" t="n">
        <v>1581.762307692308</v>
      </c>
      <c r="E402" s="66" t="n">
        <v>588837.8599999999</v>
      </c>
      <c r="F402" s="66" t="n">
        <v>20562.91</v>
      </c>
      <c r="G402" s="68" t="n">
        <v>412</v>
      </c>
      <c r="H402" s="70" t="n">
        <v>13</v>
      </c>
      <c r="I402" s="68" t="n">
        <v>55</v>
      </c>
      <c r="J402" s="69" t="n">
        <v>4</v>
      </c>
      <c r="K402" s="69" t="inlineStr">
        <is>
          <t>https://amazon.com/dp/B0F2HNM2VH</t>
        </is>
      </c>
      <c r="L402" s="114">
        <f>HYPERLINK(Table3559[[#This Row],[Column1]])</f>
        <v/>
      </c>
    </row>
    <row r="403" ht="30" customHeight="1" s="314">
      <c r="A403" s="35" t="inlineStr">
        <is>
          <t>LAUNCH X431 PRO Elite 2026 Bidirectional Scan Tool, ECU Code,38+ Reset, All-in-One Full System Diagnostic Scanner, 4K+ Active Tests,CANFD&amp;DoIP, FCA AutoAuth, VAG Guide,2 Years Free Update</t>
        </is>
      </c>
      <c r="B403" s="35" t="inlineStr">
        <is>
          <t>B0GFCPGJK5</t>
        </is>
      </c>
      <c r="C403" s="35" t="inlineStr">
        <is>
          <t>Tablet</t>
        </is>
      </c>
      <c r="D403" s="359" t="n">
        <v>710.336923076923</v>
      </c>
      <c r="E403" s="66" t="n">
        <v>102998.8538461538</v>
      </c>
      <c r="F403" s="66" t="n">
        <v>9234.379999999999</v>
      </c>
      <c r="G403" s="68" t="n">
        <v>13</v>
      </c>
      <c r="H403" s="70" t="n">
        <v>13</v>
      </c>
      <c r="I403" s="68" t="n">
        <v>3</v>
      </c>
      <c r="J403" s="69" t="n">
        <v>5</v>
      </c>
      <c r="K403" s="69" t="inlineStr">
        <is>
          <t>https://amazon.com/dp/B0GFCPGJK5</t>
        </is>
      </c>
      <c r="L403" s="114">
        <f>HYPERLINK(Table3559[[#This Row],[Column1]])</f>
        <v/>
      </c>
    </row>
    <row r="404" ht="45" customHeight="1" s="314">
      <c r="A404" s="35" t="inlineStr">
        <is>
          <t>LAUNCH X431 Creader Elite 2.0 BBA fit for BMW, Benz, Audi Series, 2026 Bidirectional Scan for Cars,100+ Services, Full System OBD2 Scanner, ECU Code, Battery Registration, Lifetime Free Update</t>
        </is>
      </c>
      <c r="B404" s="35" t="inlineStr">
        <is>
          <t>B0D4HY7JPD</t>
        </is>
      </c>
      <c r="C404" s="35" t="inlineStr">
        <is>
          <t>Tablet</t>
        </is>
      </c>
      <c r="D404" s="359" t="n">
        <v>233.5269230769231</v>
      </c>
      <c r="E404" s="66" t="n">
        <v>66902.94307692308</v>
      </c>
      <c r="F404" s="66" t="n">
        <v>3035.85</v>
      </c>
      <c r="G404" s="68" t="n">
        <v>286</v>
      </c>
      <c r="H404" s="70" t="n">
        <v>13</v>
      </c>
      <c r="I404" s="68" t="n">
        <v>25</v>
      </c>
      <c r="J404" s="69" t="n">
        <v>3.7</v>
      </c>
      <c r="K404" s="69" t="inlineStr">
        <is>
          <t>https://amazon.com/dp/B0D4HY7JPD</t>
        </is>
      </c>
      <c r="L404" s="114">
        <f>HYPERLINK(Table3559[[#This Row],[Column1]])</f>
        <v/>
      </c>
    </row>
    <row r="405" ht="45" customHeight="1" s="314">
      <c r="A405" s="35" t="inlineStr">
        <is>
          <t>LAUNCH Original Diagnostic Cable with External Power Port DR15 Female to OBD2 16 Pin Famale Work for LAUNCH OBD1 Adapter</t>
        </is>
      </c>
      <c r="B405" s="35" t="inlineStr">
        <is>
          <t>B0DX6XPGQX</t>
        </is>
      </c>
      <c r="C405" s="35" t="inlineStr">
        <is>
          <t>OBD1</t>
        </is>
      </c>
      <c r="D405" s="359" t="n">
        <v>19.88583333333333</v>
      </c>
      <c r="E405" s="66" t="n">
        <v>2461.058461538461</v>
      </c>
      <c r="F405" s="66" t="n">
        <v>238.63</v>
      </c>
      <c r="G405" s="68" t="n">
        <v>13</v>
      </c>
      <c r="H405" s="70" t="n">
        <v>12</v>
      </c>
      <c r="I405" s="68" t="n">
        <v>1</v>
      </c>
      <c r="J405" s="69" t="n">
        <v>5</v>
      </c>
      <c r="K405" s="69" t="inlineStr">
        <is>
          <t>https://amazon.com/dp/B0DX6XPGQX</t>
        </is>
      </c>
      <c r="L405" s="114">
        <f>HYPERLINK(Table3559[[#This Row],[Column1]])</f>
        <v/>
      </c>
    </row>
    <row r="406" ht="45" customHeight="1" s="314">
      <c r="A406" s="35" t="inlineStr">
        <is>
          <t>LAUNCH X431 Creader Elite FGC OBD2 Scanner 2026, Full System Diagnostic Tool for F0rd, G.M, Chrysler, Bi-Directional Control, 100+ F.ree Resets, , AUTOVIN, ECU Coding, Lifetime F.ree Updates</t>
        </is>
      </c>
      <c r="B406" s="35" t="inlineStr">
        <is>
          <t>B0CX58T8N6</t>
        </is>
      </c>
      <c r="C406" s="35" t="inlineStr">
        <is>
          <t>Tablet</t>
        </is>
      </c>
      <c r="D406" s="359" t="n">
        <v>258.6441666666666</v>
      </c>
      <c r="E406" s="66" t="n">
        <v>29779.58</v>
      </c>
      <c r="F406" s="66" t="n">
        <v>3103.73</v>
      </c>
      <c r="G406" s="68" t="n">
        <v>121</v>
      </c>
      <c r="H406" s="70" t="n">
        <v>12</v>
      </c>
      <c r="I406" s="68" t="n">
        <v>231</v>
      </c>
      <c r="J406" s="69" t="n">
        <v>4.3</v>
      </c>
      <c r="K406" s="69" t="inlineStr">
        <is>
          <t>https://amazon.com/dp/B0CX58T8N6</t>
        </is>
      </c>
      <c r="L406" s="114">
        <f>HYPERLINK(Table3559[[#This Row],[Column1]])</f>
        <v/>
      </c>
    </row>
    <row r="407" ht="45" customHeight="1" s="314">
      <c r="A407" s="35" t="inlineStr">
        <is>
          <t>LAUNCH CRP129I V2.0 2026 OBD2 Scanner, ABS/SRS/at/ENG Car Diagnostic Tool, 12 Reset Services TPMS/Oil/EPB/SAS/BMS/DPF/Throttle Reset, Injector Coding, FCA AutoAuth, Lifetime Update</t>
        </is>
      </c>
      <c r="B407" s="35" t="inlineStr">
        <is>
          <t>B07VJM5MMY</t>
        </is>
      </c>
      <c r="C407" s="35" t="inlineStr">
        <is>
          <t>Tablet</t>
        </is>
      </c>
      <c r="D407" s="359" t="n">
        <v>249.1291666666667</v>
      </c>
      <c r="E407" s="66" t="n">
        <v>54975.94</v>
      </c>
      <c r="F407" s="66" t="n">
        <v>2989.55</v>
      </c>
      <c r="G407" s="68" t="n">
        <v>234</v>
      </c>
      <c r="H407" s="70" t="n">
        <v>12</v>
      </c>
      <c r="I407" s="68" t="n">
        <v>703</v>
      </c>
      <c r="J407" s="69" t="n">
        <v>4.4</v>
      </c>
      <c r="K407" s="69" t="inlineStr">
        <is>
          <t>https://amazon.com/dp/B07VJM5MMY</t>
        </is>
      </c>
      <c r="L407" s="114">
        <f>HYPERLINK(Table3559[[#This Row],[Column1]])</f>
        <v/>
      </c>
    </row>
    <row r="408" ht="60" customHeight="1" s="314">
      <c r="A408" s="35" t="inlineStr">
        <is>
          <t>LAUNCH X431 CSL12+8 Original OBD2 Adapter Fit for Chrysler 12+8 Programming Cable Connector, FCA Bypass Gateway Protocol OBDII Cable - 14.8 inches/37.5 cm</t>
        </is>
      </c>
      <c r="B408" s="35" t="inlineStr">
        <is>
          <t>B0DQKCKR5J</t>
        </is>
      </c>
      <c r="C408" s="35" t="inlineStr">
        <is>
          <t>Cable/Adapter</t>
        </is>
      </c>
      <c r="D408" s="359" t="n">
        <v>29.87666666666667</v>
      </c>
      <c r="E408" s="66" t="n">
        <v>5323.113076923078</v>
      </c>
      <c r="F408" s="66" t="n">
        <v>358.52</v>
      </c>
      <c r="G408" s="68" t="n">
        <v>156</v>
      </c>
      <c r="H408" s="70" t="n">
        <v>12</v>
      </c>
      <c r="I408" s="68" t="n">
        <v>5</v>
      </c>
      <c r="J408" s="69" t="n">
        <v>3.9</v>
      </c>
      <c r="K408" s="69" t="inlineStr">
        <is>
          <t>https://amazon.com/dp/B0DQKCKR5J</t>
        </is>
      </c>
      <c r="L408" s="114">
        <f>HYPERLINK(Table3559[[#This Row],[Column1]])</f>
        <v/>
      </c>
    </row>
    <row r="409" ht="45" customHeight="1" s="314">
      <c r="A409" s="35" t="inlineStr">
        <is>
          <t>LAUNCH Creader HD V2 Heavy Duty Truck Diagnostic Scanner 2-in-1 HDOBD OBD-II EOBD Code Reader for Freightliner, for Paccar, for International, for Volvo, for Cummins, for Caterpillar HD OBD Scan Tool</t>
        </is>
      </c>
      <c r="B409" s="35" t="inlineStr">
        <is>
          <t>B0GFFBM7CV</t>
        </is>
      </c>
      <c r="C409" s="35" t="inlineStr">
        <is>
          <t>Tablet</t>
        </is>
      </c>
      <c r="D409" s="359" t="n">
        <v>123.4472727272727</v>
      </c>
      <c r="E409" s="66" t="n">
        <v>16690.18615384615</v>
      </c>
      <c r="F409" s="66" t="n">
        <v>1357.92</v>
      </c>
      <c r="G409" s="68" t="n">
        <v>34</v>
      </c>
      <c r="H409" s="70" t="n">
        <v>11</v>
      </c>
      <c r="I409" s="68" t="n">
        <v>25</v>
      </c>
      <c r="J409" s="69" t="n">
        <v>4.5</v>
      </c>
      <c r="K409" s="69" t="inlineStr">
        <is>
          <t>https://amazon.com/dp/B0GFFBM7CV</t>
        </is>
      </c>
      <c r="L409" s="114">
        <f>HYPERLINK(Table3559[[#This Row],[Column1]])</f>
        <v/>
      </c>
    </row>
    <row r="410" ht="60" customHeight="1" s="314">
      <c r="A410" s="35" t="inlineStr">
        <is>
          <t>LAUNCH X431 PRO3S+ Elite, 2026 SmartlinkC 2.0 Bidirectional Scan Tool with J2534 Portocol, HD Trucks Scanner, 10.1 inch, Topology Map, 60+Service, Online Code, CANFD/DoIP/D-PDU, FCA</t>
        </is>
      </c>
      <c r="B410" s="35" t="inlineStr">
        <is>
          <t>B0FBWJBQX5</t>
        </is>
      </c>
      <c r="C410" s="35" t="inlineStr">
        <is>
          <t>Tablet</t>
        </is>
      </c>
      <c r="D410" s="359" t="n">
        <v>1190.5</v>
      </c>
      <c r="E410" s="66" t="n">
        <v>127929.7953846154</v>
      </c>
      <c r="F410" s="66" t="n">
        <v>11905</v>
      </c>
      <c r="G410" s="68" t="n">
        <v>39</v>
      </c>
      <c r="H410" s="70" t="n">
        <v>10</v>
      </c>
      <c r="I410" s="68" t="n">
        <v>54</v>
      </c>
      <c r="J410" s="69" t="n">
        <v>4.6</v>
      </c>
      <c r="K410" s="69" t="inlineStr">
        <is>
          <t>https://amazon.com/dp/B0FBWJBQX5</t>
        </is>
      </c>
      <c r="L410" s="114">
        <f>HYPERLINK(Table3559[[#This Row],[Column1]])</f>
        <v/>
      </c>
    </row>
    <row r="411" ht="45" customHeight="1" s="314">
      <c r="A411" s="35" t="inlineStr">
        <is>
          <t>Launch X431 PROS Elite [2026 New Model] Fully Functional Bidirectional Scan Tool, CANFD&amp;DOIP, ECU Coding, VAG Guided Function, FCA SGW Cars, 38+ Resets, FCA AutoAuth, Full System Scanner for All Cars</t>
        </is>
      </c>
      <c r="B411" s="35" t="inlineStr">
        <is>
          <t>B0CTCGBC8V</t>
        </is>
      </c>
      <c r="C411" s="35" t="inlineStr">
        <is>
          <t>Tablet</t>
        </is>
      </c>
      <c r="D411" s="359" t="n">
        <v>673.362</v>
      </c>
      <c r="E411" s="66" t="n">
        <v>66704.34999999999</v>
      </c>
      <c r="F411" s="66" t="n">
        <v>6733.62</v>
      </c>
      <c r="G411" s="68" t="n">
        <v>101</v>
      </c>
      <c r="H411" s="70" t="n">
        <v>10</v>
      </c>
      <c r="I411" s="68" t="n">
        <v>31</v>
      </c>
      <c r="J411" s="69" t="n">
        <v>4.1</v>
      </c>
      <c r="K411" s="69" t="inlineStr">
        <is>
          <t>https://amazon.com/dp/B0CTCGBC8V</t>
        </is>
      </c>
      <c r="L411" s="114">
        <f>HYPERLINK(Table3559[[#This Row],[Column1]])</f>
        <v/>
      </c>
    </row>
    <row r="412" ht="45" customHeight="1" s="314">
      <c r="A412" s="35" t="inlineStr">
        <is>
          <t>LAUNCH Professional OBD2 Scanner Diagnostic Tool CR3008 Plus,One-Click I/M,Lifetime Update Code Reader,Enhanced Check Engine Code Reader OBDII Car Scan Tool for All Vehicles After 1996,Battery Test</t>
        </is>
      </c>
      <c r="B412" s="35" t="inlineStr">
        <is>
          <t>B0CLDK3M3B</t>
        </is>
      </c>
      <c r="C412" s="35" t="inlineStr">
        <is>
          <t>Handheld</t>
        </is>
      </c>
      <c r="D412" s="359" t="n">
        <v>46.633</v>
      </c>
      <c r="E412" s="66" t="n">
        <v>29464.75</v>
      </c>
      <c r="F412" s="66" t="n">
        <v>466.33</v>
      </c>
      <c r="G412" s="68" t="n">
        <v>709</v>
      </c>
      <c r="H412" s="70" t="n">
        <v>10</v>
      </c>
      <c r="I412" s="68" t="n">
        <v>153</v>
      </c>
      <c r="J412" s="69" t="n">
        <v>4.3</v>
      </c>
      <c r="K412" s="69" t="inlineStr">
        <is>
          <t>https://amazon.com/dp/B0CLDK3M3B</t>
        </is>
      </c>
      <c r="L412" s="114">
        <f>HYPERLINK(Table3559[[#This Row],[Column1]])</f>
        <v/>
      </c>
    </row>
    <row r="413" ht="45" customHeight="1" s="314">
      <c r="A413" s="35" t="inlineStr">
        <is>
          <t>LAUNCH X431 1MM0 Elite Professional Diagnostic Scanner with X-PR0G3, 2026 Bi-Directional Control All System Scan Tool with CANFD &amp; DOIP, 39+ Reset, Active Test ，FCA SGW Automotive Tool, 2 Yrs Update</t>
        </is>
      </c>
      <c r="B413" s="35" t="inlineStr">
        <is>
          <t>B0DN5XKF1S</t>
        </is>
      </c>
      <c r="C413" s="35" t="inlineStr">
        <is>
          <t>Tablet</t>
        </is>
      </c>
      <c r="D413" s="359" t="n">
        <v>1217.822</v>
      </c>
      <c r="E413" s="66" t="n">
        <v>155252.3638461539</v>
      </c>
      <c r="F413" s="66" t="n">
        <v>12178.22</v>
      </c>
      <c r="G413" s="68" t="n">
        <v>110</v>
      </c>
      <c r="H413" s="70" t="n">
        <v>10</v>
      </c>
      <c r="I413" s="68" t="n">
        <v>185</v>
      </c>
      <c r="J413" s="69" t="n">
        <v>4.3</v>
      </c>
      <c r="K413" s="69" t="inlineStr">
        <is>
          <t>https://amazon.com/dp/B0DN5XKF1S</t>
        </is>
      </c>
      <c r="L413" s="114">
        <f>HYPERLINK(Table3559[[#This Row],[Column1]])</f>
        <v/>
      </c>
    </row>
    <row r="414" ht="45" customHeight="1" s="314">
      <c r="A414" s="35" t="inlineStr">
        <is>
          <t>2026 NEW LAUNCH X431 PROS V5.0 Bidirectional Scan Tool, Free Update, ECU Online Coding, CANFD&amp;DOIP, FCA AutoAuth, V.A.G Guide, 37+ Reset for All Cars, OEM Full System Car Scanner</t>
        </is>
      </c>
      <c r="B414" s="35" t="inlineStr">
        <is>
          <t>B06XC3RSMC</t>
        </is>
      </c>
      <c r="C414" s="35" t="inlineStr">
        <is>
          <t>Tablet</t>
        </is>
      </c>
      <c r="D414" s="359" t="n">
        <v>804.211</v>
      </c>
      <c r="E414" s="66" t="n">
        <v>81771.66</v>
      </c>
      <c r="F414" s="66" t="n">
        <v>8042.11</v>
      </c>
      <c r="G414" s="68" t="n">
        <v>98</v>
      </c>
      <c r="H414" s="70" t="n">
        <v>10</v>
      </c>
      <c r="I414" s="68" t="n">
        <v>292</v>
      </c>
      <c r="J414" s="69" t="n">
        <v>4.2</v>
      </c>
      <c r="K414" s="69" t="inlineStr">
        <is>
          <t>https://amazon.com/dp/B06XC3RSMC</t>
        </is>
      </c>
      <c r="L414" s="114">
        <f>HYPERLINK(Table3559[[#This Row],[Column1]])</f>
        <v/>
      </c>
    </row>
    <row r="415" ht="45" customHeight="1" s="314">
      <c r="A415" s="35" t="inlineStr">
        <is>
          <t>LAUNCH X-431 DoIP Connector Adapter Cable with USB and 16-Pin Male to Female for X-431 Series Diagnostic Scanner DBScar VII and SmartLink Connector</t>
        </is>
      </c>
      <c r="B415" s="35" t="inlineStr">
        <is>
          <t>B0CQ8GDK2L</t>
        </is>
      </c>
      <c r="C415" s="35" t="inlineStr">
        <is>
          <t>Cable/Adapter</t>
        </is>
      </c>
      <c r="D415" s="359" t="n">
        <v>82.40900000000001</v>
      </c>
      <c r="E415" s="66" t="n">
        <v>9348.924999999999</v>
      </c>
      <c r="F415" s="66" t="n">
        <v>824.09</v>
      </c>
      <c r="G415" s="68" t="n">
        <v>97</v>
      </c>
      <c r="H415" s="70" t="n">
        <v>10</v>
      </c>
      <c r="I415" s="68" t="n">
        <v>4</v>
      </c>
      <c r="J415" s="69" t="n">
        <v>4.7</v>
      </c>
      <c r="K415" s="69" t="inlineStr">
        <is>
          <t>https://amazon.com/dp/B0CQ8GDK2L</t>
        </is>
      </c>
      <c r="L415" s="114">
        <f>HYPERLINK(Table3559[[#This Row],[Column1]])</f>
        <v/>
      </c>
    </row>
    <row r="416" ht="45" customHeight="1" s="314">
      <c r="A416" s="35" t="inlineStr">
        <is>
          <t>Launch OBD2 Scanner CRP123X Plus V2.0, 2026 All System Scan Tool Lifetime Free Update with SAS/Throttle/Oil Reset for All Cars,Auto VIN OBD2, FCA SGW, Battery Test Scanner Code Reader</t>
        </is>
      </c>
      <c r="B416" s="35" t="inlineStr">
        <is>
          <t>B0CN8Q1H4S</t>
        </is>
      </c>
      <c r="C416" s="35" t="inlineStr">
        <is>
          <t>Tablet</t>
        </is>
      </c>
      <c r="D416" s="359" t="n">
        <v>238.309</v>
      </c>
      <c r="E416" s="66" t="n">
        <v>36275.46000000001</v>
      </c>
      <c r="F416" s="66" t="n">
        <v>2383.09</v>
      </c>
      <c r="G416" s="68" t="n">
        <v>145</v>
      </c>
      <c r="H416" s="70" t="n">
        <v>10</v>
      </c>
      <c r="I416" s="68" t="n">
        <v>97</v>
      </c>
      <c r="J416" s="69" t="n">
        <v>4.6</v>
      </c>
      <c r="K416" s="69" t="inlineStr">
        <is>
          <t>https://amazon.com/dp/B0CN8Q1H4S</t>
        </is>
      </c>
      <c r="L416" s="114">
        <f>HYPERLINK(Table3559[[#This Row],[Column1]])</f>
        <v/>
      </c>
    </row>
    <row r="417" ht="45" customHeight="1" s="314">
      <c r="A417" s="35" t="inlineStr">
        <is>
          <t>LAUNCH X431 PRO3S+ V5.0 2026 Upgraded Bidirectional Scan Tool, OEM Topology Map, Scan HD Trucks, ECU Code, 55+ Services, Full System, CAN FD &amp; DOIP, FCA AutoAuth, V.AG Guided, 2 Yrs Update</t>
        </is>
      </c>
      <c r="B417" s="35" t="inlineStr">
        <is>
          <t>B0DPFD4JV1</t>
        </is>
      </c>
      <c r="C417" s="35" t="inlineStr">
        <is>
          <t>Tablet</t>
        </is>
      </c>
      <c r="D417" s="359" t="n">
        <v>1185.607</v>
      </c>
      <c r="E417" s="66" t="n">
        <v>294277.6899999999</v>
      </c>
      <c r="F417" s="66" t="n">
        <v>11856.07</v>
      </c>
      <c r="G417" s="68" t="n">
        <v>263</v>
      </c>
      <c r="H417" s="70" t="n">
        <v>10</v>
      </c>
      <c r="I417" s="68" t="n">
        <v>32</v>
      </c>
      <c r="J417" s="69" t="n">
        <v>4.3</v>
      </c>
      <c r="K417" s="69" t="inlineStr">
        <is>
          <t>https://amazon.com/dp/B0DPFD4JV1</t>
        </is>
      </c>
      <c r="L417" s="114">
        <f>HYPERLINK(Table3559[[#This Row],[Column1]])</f>
        <v/>
      </c>
    </row>
    <row r="418" ht="45" customHeight="1" s="314">
      <c r="A418" s="35" t="inlineStr">
        <is>
          <t>LAUNCH Creader VII+ V2.0 OBD2 Scanner Diagnostic Scan Tool, 2026 New Automotive Check ABS SRS Transmission and Engine Code Reader, 3 Reset Oil Service/Throttle Relearn/SAS Reset, Free Update</t>
        </is>
      </c>
      <c r="B418" s="35" t="inlineStr">
        <is>
          <t>B00DZFHQN6</t>
        </is>
      </c>
      <c r="C418" s="35" t="inlineStr">
        <is>
          <t>Tablet</t>
        </is>
      </c>
      <c r="D418" s="359" t="n">
        <v>128.668</v>
      </c>
      <c r="E418" s="66" t="n">
        <v>14099.44</v>
      </c>
      <c r="F418" s="66" t="n">
        <v>1286.68</v>
      </c>
      <c r="G418" s="68" t="n">
        <v>109</v>
      </c>
      <c r="H418" s="70" t="n">
        <v>10</v>
      </c>
      <c r="I418" s="68" t="n">
        <v>200</v>
      </c>
      <c r="J418" s="69" t="n">
        <v>4.2</v>
      </c>
      <c r="K418" s="69" t="inlineStr">
        <is>
          <t>https://amazon.com/dp/B00DZFHQN6</t>
        </is>
      </c>
      <c r="L418" s="114">
        <f>HYPERLINK(Table3559[[#This Row],[Column1]])</f>
        <v/>
      </c>
    </row>
    <row r="419" ht="45" customHeight="1" s="314">
      <c r="A419" s="35" t="inlineStr">
        <is>
          <t>LAUNCH CRP129 HD Heavy Duty Truck Scanner, Full System Diesel Diagnostic Scan Tool with 7 Reset, DPF Regen Speed Limit Adjust Oil Reset,Commercial Code Reader for Heavy Truck Pickup Tractor Semi-Truck</t>
        </is>
      </c>
      <c r="B419" s="35" t="inlineStr">
        <is>
          <t>B0DKJ11FB6</t>
        </is>
      </c>
      <c r="C419" s="35" t="inlineStr">
        <is>
          <t>Tablet</t>
        </is>
      </c>
      <c r="D419" s="359" t="n">
        <v>551.489</v>
      </c>
      <c r="E419" s="66" t="n">
        <v>99822.12999999999</v>
      </c>
      <c r="F419" s="66" t="n">
        <v>5514.89</v>
      </c>
      <c r="G419" s="68" t="n">
        <v>180</v>
      </c>
      <c r="H419" s="70" t="n">
        <v>10</v>
      </c>
      <c r="I419" s="68" t="n">
        <v>12</v>
      </c>
      <c r="J419" s="69" t="n">
        <v>4.2</v>
      </c>
      <c r="K419" s="69" t="inlineStr">
        <is>
          <t>https://amazon.com/dp/B0DKJ11FB6</t>
        </is>
      </c>
      <c r="L419" s="114">
        <f>HYPERLINK(Table3559[[#This Row],[Column1]])</f>
        <v/>
      </c>
    </row>
    <row r="420" ht="45" customHeight="1" s="314">
      <c r="A420" s="35" t="inlineStr">
        <is>
          <t>LAUNCH Non-16 Pin Adapter Kit OE-Compliant Connectors Compatible for All LAUNCH X-431 Diagnostic Tool [X-431 V/V+, X-431 PRO S+/3S+/5/MINI, X-431 PAD III/V/VII]</t>
        </is>
      </c>
      <c r="B420" s="35" t="inlineStr">
        <is>
          <t>B0CBTJJ8W7</t>
        </is>
      </c>
      <c r="C420" s="35" t="inlineStr">
        <is>
          <t>Cable/Adapter</t>
        </is>
      </c>
      <c r="D420" s="359" t="n">
        <v>125.308</v>
      </c>
      <c r="E420" s="66" t="n">
        <v>9278.76</v>
      </c>
      <c r="F420" s="66" t="n">
        <v>1253.08</v>
      </c>
      <c r="G420" s="68" t="n">
        <v>72</v>
      </c>
      <c r="H420" s="70" t="n">
        <v>10</v>
      </c>
      <c r="I420" s="68" t="n">
        <v>6</v>
      </c>
      <c r="J420" s="69" t="n">
        <v>4.6</v>
      </c>
      <c r="K420" s="69" t="inlineStr">
        <is>
          <t>https://amazon.com/dp/B0CBTJJ8W7</t>
        </is>
      </c>
      <c r="L420" s="114">
        <f>HYPERLINK(Table3559[[#This Row],[Column1]])</f>
        <v/>
      </c>
    </row>
    <row r="421" ht="45" customHeight="1" s="314">
      <c r="A421" s="35" t="inlineStr">
        <is>
          <t>LAUNCH OBD2 Extension Cable, Full 16 Pin Male to Female Extension Cable for Car OBD Diagnostic Extender Cord Connector OBD2 Cable (36CM/14.2Inch)</t>
        </is>
      </c>
      <c r="B421" s="35" t="inlineStr">
        <is>
          <t>B0DKP276HJ</t>
        </is>
      </c>
      <c r="C421" s="35" t="inlineStr">
        <is>
          <t>Cable/Adapter</t>
        </is>
      </c>
      <c r="D421" s="359" t="n">
        <v>10.438</v>
      </c>
      <c r="E421" s="66" t="n">
        <v>2675.83</v>
      </c>
      <c r="F421" s="66" t="n">
        <v>104.38</v>
      </c>
      <c r="G421" s="68" t="n">
        <v>243</v>
      </c>
      <c r="H421" s="70" t="n">
        <v>10</v>
      </c>
      <c r="I421" s="68" t="n">
        <v>14</v>
      </c>
      <c r="J421" s="69" t="n">
        <v>4.4</v>
      </c>
      <c r="K421" s="69" t="inlineStr">
        <is>
          <t>https://amazon.com/dp/B0DKP276HJ</t>
        </is>
      </c>
      <c r="L421" s="114">
        <f>HYPERLINK(Table3559[[#This Row],[Column1]])</f>
        <v/>
      </c>
    </row>
    <row r="422" ht="45" customHeight="1" s="314">
      <c r="A422" s="35" t="inlineStr">
        <is>
          <t>LAUNCH Original Canvas Bag for X431 CRP123, CRP123I, CRP123E, CRP123X, CRP129, CRP129I, CRP129E, CRP129X, Creader VII+, Creader VIII OBD2 Scanner Replacement Carrying Bag</t>
        </is>
      </c>
      <c r="B422" s="35" t="inlineStr">
        <is>
          <t>B0DRFBYKNN</t>
        </is>
      </c>
      <c r="C422" s="35" t="inlineStr">
        <is>
          <t>Other</t>
        </is>
      </c>
      <c r="D422" s="359" t="n">
        <v>20.47111111111111</v>
      </c>
      <c r="E422" s="66" t="n">
        <v>1852.58</v>
      </c>
      <c r="F422" s="66" t="n">
        <v>184.24</v>
      </c>
      <c r="G422" s="68" t="n">
        <v>92</v>
      </c>
      <c r="H422" s="70" t="n">
        <v>9</v>
      </c>
      <c r="I422" s="68" t="n">
        <v>9</v>
      </c>
      <c r="J422" s="69" t="n">
        <v>5</v>
      </c>
      <c r="K422" s="69" t="inlineStr">
        <is>
          <t>https://amazon.com/dp/B0DRFBYKNN</t>
        </is>
      </c>
      <c r="L422" s="114">
        <f>HYPERLINK(Table3559[[#This Row],[Column1]])</f>
        <v/>
      </c>
    </row>
    <row r="423" ht="45" customHeight="1" s="314">
      <c r="A423" s="35" t="inlineStr">
        <is>
          <t>LAUNCH X431 CRP919EBT Bidirectional Scanner, 2026 Full System Wireless OBD2 Scan Tool,35+ Services,ECU Code,Active Test,CANFD&amp;DOIP, FCA Autoauth,V.A.G Guided,Upgraded of CRP919E</t>
        </is>
      </c>
      <c r="B423" s="35" t="inlineStr">
        <is>
          <t>B0C68BKGN3</t>
        </is>
      </c>
      <c r="C423" s="35" t="inlineStr">
        <is>
          <t>Tablet</t>
        </is>
      </c>
      <c r="D423" s="359" t="n">
        <v>523.0155555555556</v>
      </c>
      <c r="E423" s="66" t="n">
        <v>148671.19</v>
      </c>
      <c r="F423" s="66" t="n">
        <v>4707.14</v>
      </c>
      <c r="G423" s="68" t="n">
        <v>285</v>
      </c>
      <c r="H423" s="70" t="n">
        <v>9</v>
      </c>
      <c r="I423" s="68" t="n">
        <v>33</v>
      </c>
      <c r="J423" s="69" t="n">
        <v>4</v>
      </c>
      <c r="K423" s="69" t="inlineStr">
        <is>
          <t>https://amazon.com/dp/B0C68BKGN3</t>
        </is>
      </c>
      <c r="L423" s="114">
        <f>HYPERLINK(Table3559[[#This Row],[Column1]])</f>
        <v/>
      </c>
    </row>
    <row r="424" ht="45" customHeight="1" s="314">
      <c r="A424" s="35" t="inlineStr">
        <is>
          <t>LAUNCH OBD2 Scanner CRP123I V2.0, 2026 Lifetime Update Scan Tool,Muilti System with 7 Resets Oil/SAS Calibration/Brake/BMS/D.P.F/ABS Bleeding/Throttle Reset, Auto Vin, Battery Test,FCA SGW</t>
        </is>
      </c>
      <c r="B424" s="35" t="inlineStr">
        <is>
          <t>B088ZN6QJH</t>
        </is>
      </c>
      <c r="C424" s="35" t="inlineStr">
        <is>
          <t>Tablet</t>
        </is>
      </c>
      <c r="D424" s="359" t="n">
        <v>170.0033333333333</v>
      </c>
      <c r="E424" s="66" t="n">
        <v>42147.66</v>
      </c>
      <c r="F424" s="66" t="n">
        <v>1530.03</v>
      </c>
      <c r="G424" s="68" t="n">
        <v>249</v>
      </c>
      <c r="H424" s="70" t="n">
        <v>9</v>
      </c>
      <c r="I424" s="68" t="n">
        <v>552</v>
      </c>
      <c r="J424" s="69" t="n">
        <v>4.4</v>
      </c>
      <c r="K424" s="69" t="inlineStr">
        <is>
          <t>https://amazon.com/dp/B088ZN6QJH</t>
        </is>
      </c>
      <c r="L424" s="114">
        <f>HYPERLINK(Table3559[[#This Row],[Column1]])</f>
        <v/>
      </c>
    </row>
    <row r="425" ht="45" customHeight="1" s="314">
      <c r="A425" s="35" t="inlineStr">
        <is>
          <t>LAUNCH Creader Elite V3.0 for Land Rover Jaguar OBD2 Scanner, 2026 Bi-Directional Full Systems Diagnostic Scan Tool, CAN-FD &amp; DOIP, All Services, Active Test, Height Calibration, Lifetime Free Update</t>
        </is>
      </c>
      <c r="B425" s="35" t="inlineStr">
        <is>
          <t>B0DKHMPYVP</t>
        </is>
      </c>
      <c r="C425" s="35" t="inlineStr">
        <is>
          <t>Tablet</t>
        </is>
      </c>
      <c r="D425" s="359" t="n">
        <v>203.4644444444444</v>
      </c>
      <c r="E425" s="66" t="n">
        <v>52606.60999999999</v>
      </c>
      <c r="F425" s="66" t="n">
        <v>1831.18</v>
      </c>
      <c r="G425" s="68" t="n">
        <v>288</v>
      </c>
      <c r="H425" s="70" t="n">
        <v>9</v>
      </c>
      <c r="I425" s="68" t="n">
        <v>35</v>
      </c>
      <c r="J425" s="69" t="n">
        <v>3.7</v>
      </c>
      <c r="K425" s="69" t="inlineStr">
        <is>
          <t>https://amazon.com/dp/B0DKHMPYVP</t>
        </is>
      </c>
      <c r="L425" s="114">
        <f>HYPERLINK(Table3559[[#This Row],[Column1]])</f>
        <v/>
      </c>
    </row>
    <row r="426" ht="30" customHeight="1" s="314">
      <c r="A426" s="35" t="inlineStr">
        <is>
          <t>LAUNCH Original Main Cable Fit for X431 CRP123i, CRP123e, CRP123x, CRP129i, CRP129e, CRP129x OBD2 Replacement Cable - Black</t>
        </is>
      </c>
      <c r="B426" s="35" t="inlineStr">
        <is>
          <t>B0DQY5KS5C</t>
        </is>
      </c>
      <c r="C426" s="35" t="inlineStr">
        <is>
          <t>Cable/Adapter</t>
        </is>
      </c>
      <c r="D426" s="359" t="n">
        <v>27.04444444444444</v>
      </c>
      <c r="E426" s="66" t="n">
        <v>2242.54</v>
      </c>
      <c r="F426" s="66" t="n">
        <v>243.4</v>
      </c>
      <c r="G426" s="68" t="n">
        <v>81</v>
      </c>
      <c r="H426" s="70" t="n">
        <v>9</v>
      </c>
      <c r="I426" s="68" t="n">
        <v>50</v>
      </c>
      <c r="J426" s="69" t="n">
        <v>4.7</v>
      </c>
      <c r="K426" s="69" t="inlineStr">
        <is>
          <t>https://amazon.com/dp/B0DQY5KS5C</t>
        </is>
      </c>
      <c r="L426" s="114">
        <f>HYPERLINK(Table3559[[#This Row],[Column1]])</f>
        <v/>
      </c>
    </row>
    <row r="427" ht="30" customHeight="1" s="314">
      <c r="A427" s="35" t="inlineStr">
        <is>
          <t>LAUNCH X-431 DoIP Connector Adapter Cable with USB and 16-Pin Male to Female for X-431 Series Diagnostic Scanner DBScar VII DBScar 7</t>
        </is>
      </c>
      <c r="B427" s="35" t="inlineStr">
        <is>
          <t>B0GFM465BH</t>
        </is>
      </c>
      <c r="C427" s="35" t="inlineStr">
        <is>
          <t>Cable/Adapter</t>
        </is>
      </c>
      <c r="D427" s="359" t="n">
        <v>91.35555555555555</v>
      </c>
      <c r="E427" s="66" t="n">
        <v>9670.668461538462</v>
      </c>
      <c r="F427" s="66" t="n">
        <v>822.2</v>
      </c>
      <c r="G427" s="68" t="n">
        <v>23</v>
      </c>
      <c r="H427" s="70" t="n">
        <v>9</v>
      </c>
      <c r="I427" s="68" t="n"/>
      <c r="J427" s="69" t="n"/>
      <c r="K427" s="69" t="inlineStr">
        <is>
          <t>https://amazon.com/dp/B0GFM465BH</t>
        </is>
      </c>
      <c r="L427" s="114">
        <f>HYPERLINK(Table3559[[#This Row],[Column1]])</f>
        <v/>
      </c>
    </row>
    <row r="428" ht="45" customHeight="1" s="314">
      <c r="A428" s="35" t="inlineStr">
        <is>
          <t>Launch X431 PRO3 V+ Elite J2534 ECU Protocol, Code Scanner, Smartlink C, 60 Hot Services, FCA SGW, Bidirectional 3000+ Active Tests, 2026 All System Launch Scanner, 200+ Brands, CANFD DoIP, Android 10</t>
        </is>
      </c>
      <c r="B428" s="35" t="inlineStr">
        <is>
          <t>B0FPF2S57B</t>
        </is>
      </c>
      <c r="C428" s="35" t="inlineStr">
        <is>
          <t>Tablet</t>
        </is>
      </c>
      <c r="D428" s="359" t="n">
        <v>1462.117777777778</v>
      </c>
      <c r="E428" s="66" t="n">
        <v>202006.8476923078</v>
      </c>
      <c r="F428" s="66" t="n">
        <v>13159.06</v>
      </c>
      <c r="G428" s="68" t="n">
        <v>93</v>
      </c>
      <c r="H428" s="70" t="n">
        <v>9</v>
      </c>
      <c r="I428" s="68" t="n">
        <v>12</v>
      </c>
      <c r="J428" s="69" t="n">
        <v>5</v>
      </c>
      <c r="K428" s="69" t="inlineStr">
        <is>
          <t>https://amazon.com/dp/B0FPF2S57B</t>
        </is>
      </c>
      <c r="L428" s="114">
        <f>HYPERLINK(Table3559[[#This Row],[Column1]])</f>
        <v/>
      </c>
    </row>
    <row r="429" ht="45" customHeight="1" s="314">
      <c r="A429" s="35" t="inlineStr">
        <is>
          <t>2026 Elite LAUNCH Creader Elite 205 OBD2 Scanner,4 System Diagnostic Scanner with 5 Resets, ABS Bleeding, Injector Coding, EPB,DPF Regeneration，Free Update, AutoVIN, FCA AutoAuth, 5 Years Backup</t>
        </is>
      </c>
      <c r="B429" s="35" t="inlineStr">
        <is>
          <t>B09D9K2FYX</t>
        </is>
      </c>
      <c r="C429" s="35" t="inlineStr">
        <is>
          <t>Handheld</t>
        </is>
      </c>
      <c r="D429" s="359" t="n">
        <v>98.53749999999999</v>
      </c>
      <c r="E429" s="66" t="n">
        <v>8670.949999999999</v>
      </c>
      <c r="F429" s="66" t="n">
        <v>788.3</v>
      </c>
      <c r="G429" s="68" t="n">
        <v>87</v>
      </c>
      <c r="H429" s="70" t="n">
        <v>8</v>
      </c>
      <c r="I429" s="68" t="n">
        <v>74</v>
      </c>
      <c r="J429" s="69" t="n">
        <v>3.7</v>
      </c>
      <c r="K429" s="69" t="inlineStr">
        <is>
          <t>https://amazon.com/dp/B09D9K2FYX</t>
        </is>
      </c>
      <c r="L429" s="114">
        <f>HYPERLINK(Table3559[[#This Row],[Column1]])</f>
        <v/>
      </c>
    </row>
    <row r="430" ht="45" customHeight="1" s="314">
      <c r="A430" s="35" t="inlineStr">
        <is>
          <t>Launch X431 CRP919 EV 2026 Bidirectional Scan Tool, for Electric Vehicles New Energy Cars, All-in-One Full System Diagnostic Scanner, 43+ Reset, ECU Coding, CANFD&amp;DOIP, FCA AutoAuth, 2Yrs Free Update</t>
        </is>
      </c>
      <c r="B430" s="35" t="inlineStr">
        <is>
          <t>B0DT9B4RX9</t>
        </is>
      </c>
      <c r="C430" s="35" t="inlineStr">
        <is>
          <t>Tablet</t>
        </is>
      </c>
      <c r="D430" s="359" t="n">
        <v>543.9</v>
      </c>
      <c r="E430" s="66" t="n">
        <v>35511.35000000001</v>
      </c>
      <c r="F430" s="66" t="n">
        <v>4351.2</v>
      </c>
      <c r="G430" s="68" t="n">
        <v>71</v>
      </c>
      <c r="H430" s="70" t="n">
        <v>8</v>
      </c>
      <c r="I430" s="68" t="n">
        <v>333</v>
      </c>
      <c r="J430" s="69" t="n">
        <v>4.3</v>
      </c>
      <c r="K430" s="69" t="inlineStr">
        <is>
          <t>https://amazon.com/dp/B0DT9B4RX9</t>
        </is>
      </c>
      <c r="L430" s="114">
        <f>HYPERLINK(Table3559[[#This Row],[Column1]])</f>
        <v/>
      </c>
    </row>
    <row r="431" ht="60" customHeight="1" s="314">
      <c r="A431" s="35" t="inlineStr">
        <is>
          <t>LAUNCH X431 CRP919E OBD2 Scanner, 2026 Bidirectional Scan Tool As CRP919EBT, CANFD DOIP, ECU Coding, Active Test, 35+ Service, Full System, FCA Autoauth, TPMS &amp;BST360, 2-Year Update</t>
        </is>
      </c>
      <c r="B431" s="35" t="inlineStr">
        <is>
          <t>B0DKHBS9Z1</t>
        </is>
      </c>
      <c r="C431" s="35" t="inlineStr">
        <is>
          <t>Tablet</t>
        </is>
      </c>
      <c r="D431" s="359" t="n">
        <v>434.74</v>
      </c>
      <c r="E431" s="66" t="n">
        <v>136149.19</v>
      </c>
      <c r="F431" s="66" t="n">
        <v>3477.92</v>
      </c>
      <c r="G431" s="68" t="n">
        <v>316</v>
      </c>
      <c r="H431" s="70" t="n">
        <v>8</v>
      </c>
      <c r="I431" s="68" t="n">
        <v>61</v>
      </c>
      <c r="J431" s="69" t="n">
        <v>4.2</v>
      </c>
      <c r="K431" s="69" t="inlineStr">
        <is>
          <t>https://amazon.com/dp/B0DKHBS9Z1</t>
        </is>
      </c>
      <c r="L431" s="114">
        <f>HYPERLINK(Table3559[[#This Row],[Column1]])</f>
        <v/>
      </c>
    </row>
    <row r="432" ht="45" customHeight="1" s="314">
      <c r="A432" s="35" t="inlineStr">
        <is>
          <t>LAUNCH X431 IM Elite X431 PRG3 Scan Tool 39 Hot Services, 4000 Active Tests, CAN-FD, DoIP, FCA SGW, 5000 ECU, MCU, EEPR0M Read, Write</t>
        </is>
      </c>
      <c r="B432" s="35" t="inlineStr">
        <is>
          <t>B0DLGSXQ95</t>
        </is>
      </c>
      <c r="C432" s="35" t="inlineStr">
        <is>
          <t>Tablet</t>
        </is>
      </c>
      <c r="D432" s="359" t="n">
        <v>1094.96625</v>
      </c>
      <c r="E432" s="66" t="n">
        <v>113148.82</v>
      </c>
      <c r="F432" s="66" t="n">
        <v>8759.73</v>
      </c>
      <c r="G432" s="68" t="n">
        <v>90</v>
      </c>
      <c r="H432" s="70" t="n">
        <v>8</v>
      </c>
      <c r="I432" s="68" t="n">
        <v>10</v>
      </c>
      <c r="J432" s="69" t="n">
        <v>3.7</v>
      </c>
      <c r="K432" s="69" t="inlineStr">
        <is>
          <t>https://amazon.com/dp/B0DLGSXQ95</t>
        </is>
      </c>
      <c r="L432" s="114">
        <f>HYPERLINK(Table3559[[#This Row],[Column1]])</f>
        <v/>
      </c>
    </row>
    <row r="433" ht="45" customHeight="1" s="314">
      <c r="A433" s="35" t="inlineStr">
        <is>
          <t>LAUNCH X431 PRO3S+ Elite with SmartlinkC 2.0,2026 Bi-Directional Scan Tool with J2534,OEM Topology Map, HD Truck Scan,ECU Code,CANFD &amp;DOIP,FCA AutoAuth,60+ Service,2 Years Update</t>
        </is>
      </c>
      <c r="B433" s="35" t="inlineStr">
        <is>
          <t>B0D5MC58JP</t>
        </is>
      </c>
      <c r="C433" s="35" t="inlineStr">
        <is>
          <t>Tablet</t>
        </is>
      </c>
      <c r="D433" s="359" t="n">
        <v>1291.74875</v>
      </c>
      <c r="E433" s="66" t="n">
        <v>202520.08</v>
      </c>
      <c r="F433" s="66" t="n">
        <v>10333.99</v>
      </c>
      <c r="G433" s="68" t="n">
        <v>152</v>
      </c>
      <c r="H433" s="70" t="n">
        <v>8</v>
      </c>
      <c r="I433" s="68" t="n">
        <v>32</v>
      </c>
      <c r="J433" s="69" t="n">
        <v>4</v>
      </c>
      <c r="K433" s="69" t="inlineStr">
        <is>
          <t>https://amazon.com/dp/B0D5MC58JP</t>
        </is>
      </c>
      <c r="L433" s="114">
        <f>HYPERLINK(Table3559[[#This Row],[Column1]])</f>
        <v/>
      </c>
    </row>
    <row r="434" ht="45" customHeight="1" s="314">
      <c r="A434" s="35" t="inlineStr">
        <is>
          <t>LAUNCH X431 Pro TT Bidirectional Scanner with 2026 Bluetooth Connector, 38+ Reset for All Cars, All-in-One Full System, ECU Code, CANFD &amp; DOIP, FCA AutoAuth, VAG Guide,2 Year Free Update</t>
        </is>
      </c>
      <c r="B434" s="35" t="inlineStr">
        <is>
          <t>B0CQY9ZH21</t>
        </is>
      </c>
      <c r="C434" s="35" t="inlineStr">
        <is>
          <t>Tablet</t>
        </is>
      </c>
      <c r="D434" s="359" t="n">
        <v>820.995</v>
      </c>
      <c r="E434" s="66" t="n">
        <v>236680.27</v>
      </c>
      <c r="F434" s="66" t="n">
        <v>6567.96</v>
      </c>
      <c r="G434" s="68" t="n">
        <v>298</v>
      </c>
      <c r="H434" s="70" t="n">
        <v>8</v>
      </c>
      <c r="I434" s="68" t="n">
        <v>59</v>
      </c>
      <c r="J434" s="69" t="n">
        <v>4.4</v>
      </c>
      <c r="K434" s="69" t="inlineStr">
        <is>
          <t>https://amazon.com/dp/B0CQY9ZH21</t>
        </is>
      </c>
      <c r="L434" s="114">
        <f>HYPERLINK(Table3559[[#This Row],[Column1]])</f>
        <v/>
      </c>
    </row>
    <row r="435" ht="45" customHeight="1" s="314">
      <c r="A435" s="35" t="inlineStr">
        <is>
          <t>LAUNCH X-431 CAN FD Adapter CANFD Protocols Car Diagnostic Tool for X-431 V/V+, Pad II/III, PRO 3/3S+/Mini, Diagun V</t>
        </is>
      </c>
      <c r="B435" s="35" t="inlineStr">
        <is>
          <t>B0CDGF2XTV</t>
        </is>
      </c>
      <c r="C435" s="35" t="inlineStr">
        <is>
          <t>Cable/Adapter</t>
        </is>
      </c>
      <c r="D435" s="359" t="n">
        <v>113.0425</v>
      </c>
      <c r="E435" s="66" t="n">
        <v>6492.769999999999</v>
      </c>
      <c r="F435" s="66" t="n">
        <v>904.34</v>
      </c>
      <c r="G435" s="68" t="n">
        <v>59</v>
      </c>
      <c r="H435" s="70" t="n">
        <v>8</v>
      </c>
      <c r="I435" s="68" t="n">
        <v>4</v>
      </c>
      <c r="J435" s="69" t="n">
        <v>5</v>
      </c>
      <c r="K435" s="69" t="inlineStr">
        <is>
          <t>https://amazon.com/dp/B0CDGF2XTV</t>
        </is>
      </c>
      <c r="L435" s="114">
        <f>HYPERLINK(Table3559[[#This Row],[Column1]])</f>
        <v/>
      </c>
    </row>
    <row r="436" ht="30" customHeight="1" s="314">
      <c r="A436" s="35" t="inlineStr">
        <is>
          <t>OBD2 Scanner LAUNCH Millennium 90 Pro Car Scanner, Full OBD2 Code Reader, Diagnostic Scan Tool for ABS SRS AT Engine, with Oil EPB BMS ABS Bleeding SAS Reset Service Functions, Lifetime Free Update</t>
        </is>
      </c>
      <c r="B436" s="35" t="inlineStr">
        <is>
          <t>B074XD3TRS</t>
        </is>
      </c>
      <c r="C436" s="35" t="inlineStr">
        <is>
          <t>Handheld</t>
        </is>
      </c>
      <c r="D436" s="359" t="n">
        <v>90.82714285714285</v>
      </c>
      <c r="E436" s="66" t="n">
        <v>13207.76</v>
      </c>
      <c r="F436" s="66" t="n">
        <v>635.79</v>
      </c>
      <c r="G436" s="68" t="n">
        <v>125</v>
      </c>
      <c r="H436" s="70" t="n">
        <v>7</v>
      </c>
      <c r="I436" s="68" t="n">
        <v>173</v>
      </c>
      <c r="J436" s="69" t="n">
        <v>4.4</v>
      </c>
      <c r="K436" s="69" t="inlineStr">
        <is>
          <t>https://amazon.com/dp/B074XD3TRS</t>
        </is>
      </c>
      <c r="L436" s="114">
        <f>HYPERLINK(Table3559[[#This Row],[Column1]])</f>
        <v/>
      </c>
    </row>
    <row r="437" ht="45" customHeight="1" s="314">
      <c r="A437" s="35" t="inlineStr">
        <is>
          <t>LAUNCH X431 CRP919X OBD2 Scanner,ECU Coding Bidirectional Scan Tool,31+Reset,CAN FD/DoIP,FCA Autoauth, 100+ Brands OBD2 Scanner Diagnostic Tool,All Systems Diagnostic Scanner, IMMO Car Scanner</t>
        </is>
      </c>
      <c r="B437" s="35" t="inlineStr">
        <is>
          <t>B07C9GB9VV</t>
        </is>
      </c>
      <c r="C437" s="35" t="inlineStr">
        <is>
          <t>Tablet</t>
        </is>
      </c>
      <c r="D437" s="359" t="n">
        <v>440.64</v>
      </c>
      <c r="E437" s="66" t="n">
        <v>92629.75999999999</v>
      </c>
      <c r="F437" s="66" t="n">
        <v>3084.48</v>
      </c>
      <c r="G437" s="68" t="n">
        <v>201</v>
      </c>
      <c r="H437" s="70" t="n">
        <v>7</v>
      </c>
      <c r="I437" s="68" t="n">
        <v>251</v>
      </c>
      <c r="J437" s="69" t="n">
        <v>4.2</v>
      </c>
      <c r="K437" s="69" t="inlineStr">
        <is>
          <t>https://amazon.com/dp/B07C9GB9VV</t>
        </is>
      </c>
      <c r="L437" s="114">
        <f>HYPERLINK(Table3559[[#This Row],[Column1]])</f>
        <v/>
      </c>
    </row>
    <row r="438" ht="45" customHeight="1" s="314">
      <c r="A438" s="35" t="inlineStr">
        <is>
          <t>Launch X431 PROS Elite (2026 New Model) Bidirectional ECU Coding Active Tests Scan Tool, 38+ Resets Full System Obd2 Scanner Diagnostic Tool, CAN FD DoIP FCA SGW, V.A.G Guided, 2-Year Update</t>
        </is>
      </c>
      <c r="B438" s="35" t="inlineStr">
        <is>
          <t>B0F2DNK3HJ</t>
        </is>
      </c>
      <c r="C438" s="35" t="inlineStr">
        <is>
          <t>Tablet</t>
        </is>
      </c>
      <c r="D438" s="359" t="n">
        <v>637.1750000000001</v>
      </c>
      <c r="E438" s="66" t="n">
        <v>46060.46923076923</v>
      </c>
      <c r="F438" s="66" t="n">
        <v>3823.05</v>
      </c>
      <c r="G438" s="68" t="n">
        <v>68</v>
      </c>
      <c r="H438" s="70" t="n">
        <v>6</v>
      </c>
      <c r="I438" s="68" t="n">
        <v>34</v>
      </c>
      <c r="J438" s="69" t="n">
        <v>4.8</v>
      </c>
      <c r="K438" s="69" t="inlineStr">
        <is>
          <t>https://amazon.com/dp/B0F2DNK3HJ</t>
        </is>
      </c>
      <c r="L438" s="114">
        <f>HYPERLINK(Table3559[[#This Row],[Column1]])</f>
        <v/>
      </c>
    </row>
    <row r="439" ht="30" customHeight="1" s="314">
      <c r="A439" s="35" t="inlineStr">
        <is>
          <t>Launch CRP129X Plus 2026 OBD2 Scanner Diagnostic Tool, All System Car Scanner, 8 Reset Injector Coding/Throttle/SAS/Oil/EPB/BMS/TPMS Reset Diagnostic Scanner for All Cars, Free Update Scan Tool</t>
        </is>
      </c>
      <c r="B439" s="35" t="inlineStr">
        <is>
          <t>B0CNSLR1VL</t>
        </is>
      </c>
      <c r="C439" s="35" t="inlineStr">
        <is>
          <t>Tablet</t>
        </is>
      </c>
      <c r="D439" s="359" t="n">
        <v>303.7483333333333</v>
      </c>
      <c r="E439" s="66" t="n">
        <v>72933.33846153846</v>
      </c>
      <c r="F439" s="66" t="n">
        <v>1822.49</v>
      </c>
      <c r="G439" s="68" t="n">
        <v>266</v>
      </c>
      <c r="H439" s="70" t="n">
        <v>6</v>
      </c>
      <c r="I439" s="68" t="n">
        <v>116</v>
      </c>
      <c r="J439" s="69" t="n">
        <v>4.3</v>
      </c>
      <c r="K439" s="69" t="inlineStr">
        <is>
          <t>https://amazon.com/dp/B0CNSLR1VL</t>
        </is>
      </c>
      <c r="L439" s="114">
        <f>HYPERLINK(Table3559[[#This Row],[Column1]])</f>
        <v/>
      </c>
    </row>
    <row r="440" ht="45" customHeight="1" s="314">
      <c r="A440" s="35" t="inlineStr">
        <is>
          <t>LAUNCH X431 PRO3 ACE 2026 Upgraded Bidirectional Scan Tool with DBSCar VII Connector,HD Truck Scan,OEM Topology Map,Online Code &amp; 55+ Reset Functions,CAN FD &amp; DoIP,FCA SGW,2-Year Free Update</t>
        </is>
      </c>
      <c r="B440" s="35" t="inlineStr">
        <is>
          <t>B0D4H5429Q</t>
        </is>
      </c>
      <c r="C440" s="35" t="inlineStr">
        <is>
          <t>Tablet</t>
        </is>
      </c>
      <c r="D440" s="359" t="n">
        <v>1109.828333333333</v>
      </c>
      <c r="E440" s="66" t="n">
        <v>184820.82</v>
      </c>
      <c r="F440" s="66" t="n">
        <v>6658.97</v>
      </c>
      <c r="G440" s="68" t="n">
        <v>168</v>
      </c>
      <c r="H440" s="70" t="n">
        <v>6</v>
      </c>
      <c r="I440" s="68" t="n">
        <v>36</v>
      </c>
      <c r="J440" s="69" t="n">
        <v>4.5</v>
      </c>
      <c r="K440" s="69" t="inlineStr">
        <is>
          <t>https://amazon.com/dp/B0D4H5429Q</t>
        </is>
      </c>
      <c r="L440" s="114">
        <f>HYPERLINK(Table3559[[#This Row],[Column1]])</f>
        <v/>
      </c>
    </row>
    <row r="441" ht="45" customHeight="1" s="314">
      <c r="A441" s="35" t="inlineStr">
        <is>
          <t>Launch X431 CRP919XBT ECU Coding OBD2 Scanner, All System Bidirectional Scan Tool, 35+ Hot Services, CANFD DOIP FCA SGW, 150 Brands, Android 10, 2 Years Upgrades</t>
        </is>
      </c>
      <c r="B441" s="35" t="inlineStr">
        <is>
          <t>B0FMHV2PL7</t>
        </is>
      </c>
      <c r="C441" s="35" t="inlineStr">
        <is>
          <t>Tablet</t>
        </is>
      </c>
      <c r="D441" s="359" t="n">
        <v>567.405</v>
      </c>
      <c r="E441" s="66" t="n">
        <v>35698.96307692308</v>
      </c>
      <c r="F441" s="66" t="n">
        <v>3404.43</v>
      </c>
      <c r="G441" s="68" t="n">
        <v>44</v>
      </c>
      <c r="H441" s="70" t="n">
        <v>6</v>
      </c>
      <c r="I441" s="68" t="n">
        <v>15</v>
      </c>
      <c r="J441" s="69" t="n">
        <v>4.6</v>
      </c>
      <c r="K441" s="69" t="inlineStr">
        <is>
          <t>https://amazon.com/dp/B0FMHV2PL7</t>
        </is>
      </c>
      <c r="L441" s="114">
        <f>HYPERLINK(Table3559[[#This Row],[Column1]])</f>
        <v/>
      </c>
    </row>
    <row r="442" ht="45" customHeight="1" s="314">
      <c r="A442" s="35" t="inlineStr">
        <is>
          <t>Launch X431 PRO Elite 2026 Bidirectional Scan Tool, 38+ Resets Full System Scanner,All-in-One Diagnostic Scanner with Active Tests,ECU Code,CANFD DOIP FCA Autoauth V.A.G Guided，2 Years Free Update</t>
        </is>
      </c>
      <c r="B442" s="35" t="inlineStr">
        <is>
          <t>B0C6GKSQ8K</t>
        </is>
      </c>
      <c r="C442" s="35" t="inlineStr">
        <is>
          <t>Tablet</t>
        </is>
      </c>
      <c r="D442" s="359" t="n">
        <v>624.3783333333333</v>
      </c>
      <c r="E442" s="66" t="n">
        <v>72922.78076923077</v>
      </c>
      <c r="F442" s="66" t="n">
        <v>3746.27</v>
      </c>
      <c r="G442" s="68" t="n">
        <v>101</v>
      </c>
      <c r="H442" s="70" t="n">
        <v>6</v>
      </c>
      <c r="I442" s="68" t="n">
        <v>9</v>
      </c>
      <c r="J442" s="69" t="n">
        <v>4</v>
      </c>
      <c r="K442" s="69" t="inlineStr">
        <is>
          <t>https://amazon.com/dp/B0C6GKSQ8K</t>
        </is>
      </c>
      <c r="L442" s="114">
        <f>HYPERLINK(Table3559[[#This Row],[Column1]])</f>
        <v/>
      </c>
    </row>
    <row r="443" ht="45" customHeight="1" s="314">
      <c r="A443" s="35" t="inlineStr">
        <is>
          <t>LAUNCH OBD2 Scanner CRP919X Lite: 2026 Bidirectional Scan Tool, Active Tests, 32+ Services, All System Diagnose, Injector Coding, 2-Year Free Update, FCA AutoAuth, AutoVIN &amp; AutoScan,Update of CRP909X</t>
        </is>
      </c>
      <c r="B443" s="35" t="inlineStr">
        <is>
          <t>B07QLV9X98</t>
        </is>
      </c>
      <c r="C443" s="35" t="inlineStr">
        <is>
          <t>Tablet</t>
        </is>
      </c>
      <c r="D443" s="359" t="n">
        <v>370.3933333333334</v>
      </c>
      <c r="E443" s="66" t="n">
        <v>67698.32000000001</v>
      </c>
      <c r="F443" s="66" t="n">
        <v>2222.36</v>
      </c>
      <c r="G443" s="68" t="n">
        <v>185</v>
      </c>
      <c r="H443" s="70" t="n">
        <v>6</v>
      </c>
      <c r="I443" s="68" t="n">
        <v>57</v>
      </c>
      <c r="J443" s="69" t="n">
        <v>4.6</v>
      </c>
      <c r="K443" s="69" t="inlineStr">
        <is>
          <t>https://amazon.com/dp/B07QLV9X98</t>
        </is>
      </c>
      <c r="L443" s="114">
        <f>HYPERLINK(Table3559[[#This Row],[Column1]])</f>
        <v/>
      </c>
    </row>
    <row r="444" ht="30" customHeight="1" s="314">
      <c r="A444" s="35" t="inlineStr">
        <is>
          <t>LAUNCH X431 CRP919E Lite OBD2 Scanner,2026 New Bidirectional Scan Tool, Full System Diagnostic Scanner,32+ Service,FCA AutoAuth,2 Year Update</t>
        </is>
      </c>
      <c r="B444" s="35" t="inlineStr">
        <is>
          <t>B0D5M8WX1Z</t>
        </is>
      </c>
      <c r="C444" s="35" t="inlineStr">
        <is>
          <t>Tablet</t>
        </is>
      </c>
      <c r="D444" s="359" t="n">
        <v>360.3733333333333</v>
      </c>
      <c r="E444" s="66" t="n">
        <v>51714.32</v>
      </c>
      <c r="F444" s="66" t="n">
        <v>2162.24</v>
      </c>
      <c r="G444" s="68" t="n">
        <v>143</v>
      </c>
      <c r="H444" s="70" t="n">
        <v>6</v>
      </c>
      <c r="I444" s="68" t="n">
        <v>36</v>
      </c>
      <c r="J444" s="69" t="n">
        <v>4.1</v>
      </c>
      <c r="K444" s="69" t="inlineStr">
        <is>
          <t>https://amazon.com/dp/B0D5M8WX1Z</t>
        </is>
      </c>
      <c r="L444" s="114">
        <f>HYPERLINK(Table3559[[#This Row],[Column1]])</f>
        <v/>
      </c>
    </row>
    <row r="445" ht="45" customHeight="1" s="314">
      <c r="A445" s="35" t="inlineStr">
        <is>
          <t>LAUNCH X-431 VSP-100 Endoscope Work with X-431 Tablet 5.5mm Ultra-Thin Digital HD USB Video Inspection Camera Multi-Angle Imaging One-Click Snapshot IP67 Waterproof Borescope Videoscope</t>
        </is>
      </c>
      <c r="B445" s="35" t="inlineStr">
        <is>
          <t>B0FDK1BNPW</t>
        </is>
      </c>
      <c r="C445" s="35" t="inlineStr">
        <is>
          <t>Other</t>
        </is>
      </c>
      <c r="D445" s="359" t="n">
        <v>50.83333333333334</v>
      </c>
      <c r="E445" s="66" t="n">
        <v>2779.895384615385</v>
      </c>
      <c r="F445" s="66" t="n">
        <v>305</v>
      </c>
      <c r="G445" s="68" t="n">
        <v>39</v>
      </c>
      <c r="H445" s="70" t="n">
        <v>6</v>
      </c>
      <c r="I445" s="68" t="n">
        <v>3</v>
      </c>
      <c r="J445" s="69" t="n">
        <v>5</v>
      </c>
      <c r="K445" s="69" t="inlineStr">
        <is>
          <t>https://amazon.com/dp/B0FDK1BNPW</t>
        </is>
      </c>
      <c r="L445" s="114">
        <f>HYPERLINK(Table3559[[#This Row],[Column1]])</f>
        <v/>
      </c>
    </row>
    <row r="446" ht="45" customHeight="1" s="314">
      <c r="A446" s="35" t="inlineStr">
        <is>
          <t>LAUNCH Original Diagnostic Cable for DBSCar VII VCI Connector, DR15 Female to DR15 Female Replacement Cable Work with X431 CRP919EBT, CRP919XBT, PROS V+5.0 Elite, PRO3 ACE, PRO Dyno</t>
        </is>
      </c>
      <c r="B446" s="35" t="inlineStr">
        <is>
          <t>B0D8PGZHF8</t>
        </is>
      </c>
      <c r="C446" s="35" t="inlineStr">
        <is>
          <t>Cable/Adapter</t>
        </is>
      </c>
      <c r="D446" s="359" t="n">
        <v>26.56833333333333</v>
      </c>
      <c r="E446" s="66" t="n">
        <v>1343.47</v>
      </c>
      <c r="F446" s="66" t="n">
        <v>159.41</v>
      </c>
      <c r="G446" s="68" t="n">
        <v>50</v>
      </c>
      <c r="H446" s="70" t="n">
        <v>6</v>
      </c>
      <c r="I446" s="68" t="n">
        <v>2</v>
      </c>
      <c r="J446" s="69" t="n">
        <v>4.5</v>
      </c>
      <c r="K446" s="69" t="inlineStr">
        <is>
          <t>https://amazon.com/dp/B0D8PGZHF8</t>
        </is>
      </c>
      <c r="L446" s="114">
        <f>HYPERLINK(Table3559[[#This Row],[Column1]])</f>
        <v/>
      </c>
    </row>
    <row r="447" ht="45" customHeight="1" s="314">
      <c r="A447" s="35" t="inlineStr">
        <is>
          <t>Launch X431 PRO 5 Scanner: 2026 J2534 Tool, ECU Online Coding, Topology Mapping, Upgraded of X431 V+, Bi-Directional Diagnostic Scanner, with SmartLink C V2.0, CANFD &amp; DOIP, 2 Years Update</t>
        </is>
      </c>
      <c r="B447" s="35" t="inlineStr">
        <is>
          <t>B09PYFPFNY</t>
        </is>
      </c>
      <c r="C447" s="35" t="inlineStr">
        <is>
          <t>Tablet</t>
        </is>
      </c>
      <c r="D447" s="359" t="n">
        <v>1432.656666666667</v>
      </c>
      <c r="E447" s="66" t="n">
        <v>380876.15</v>
      </c>
      <c r="F447" s="66" t="n">
        <v>8595.940000000001</v>
      </c>
      <c r="G447" s="68" t="n">
        <v>261</v>
      </c>
      <c r="H447" s="70" t="n">
        <v>6</v>
      </c>
      <c r="I447" s="68" t="n">
        <v>123</v>
      </c>
      <c r="J447" s="69" t="n">
        <v>4</v>
      </c>
      <c r="K447" s="69" t="inlineStr">
        <is>
          <t>https://amazon.com/dp/B09PYFPFNY</t>
        </is>
      </c>
      <c r="L447" s="114">
        <f>HYPERLINK(Table3559[[#This Row],[Column1]])</f>
        <v/>
      </c>
    </row>
    <row r="448" ht="30" customHeight="1" s="314">
      <c r="A448" s="35" t="inlineStr">
        <is>
          <t>2026 Launch CRP123 V2.0 OBD2 Scanner, Engine, ABS, SRS, Transmission Code Reader Car Diagnostic Scan Tool, Full OBDII Modes Automotive Scanner, Live Data Stream Graph, Lifetime Free Update</t>
        </is>
      </c>
      <c r="B448" s="35" t="inlineStr">
        <is>
          <t>B07Q8KJMTM</t>
        </is>
      </c>
      <c r="C448" s="35" t="inlineStr">
        <is>
          <t>Tablet</t>
        </is>
      </c>
      <c r="D448" s="359" t="n">
        <v>127.526</v>
      </c>
      <c r="E448" s="66" t="n">
        <v>34767.21999999999</v>
      </c>
      <c r="F448" s="66" t="n">
        <v>637.63</v>
      </c>
      <c r="G448" s="68" t="n">
        <v>265</v>
      </c>
      <c r="H448" s="70" t="n">
        <v>5</v>
      </c>
      <c r="I448" s="68" t="n">
        <v>364</v>
      </c>
      <c r="J448" s="69" t="n">
        <v>4.3</v>
      </c>
      <c r="K448" s="69" t="inlineStr">
        <is>
          <t>https://amazon.com/dp/B07Q8KJMTM</t>
        </is>
      </c>
      <c r="L448" s="114">
        <f>HYPERLINK(Table3559[[#This Row],[Column1]])</f>
        <v/>
      </c>
    </row>
    <row r="449" ht="60" customHeight="1" s="314">
      <c r="A449" s="35" t="inlineStr">
        <is>
          <t>LAUNCH X-431 X-PROG3 Advanced Diagnostic Tool with EEPROM for X431 V/V+, PRO3S+, Pro3, Pro5, PAD III, PAD V</t>
        </is>
      </c>
      <c r="B449" s="35" t="inlineStr">
        <is>
          <t>B0F2LYYMSP</t>
        </is>
      </c>
      <c r="C449" s="35" t="inlineStr">
        <is>
          <t>Tablet</t>
        </is>
      </c>
      <c r="D449" s="359" t="n">
        <v>578.332</v>
      </c>
      <c r="E449" s="66" t="n">
        <v>23625.94307692307</v>
      </c>
      <c r="F449" s="66" t="n">
        <v>2891.66</v>
      </c>
      <c r="G449" s="68" t="n">
        <v>18</v>
      </c>
      <c r="H449" s="70" t="n">
        <v>5</v>
      </c>
      <c r="I449" s="68" t="n">
        <v>5</v>
      </c>
      <c r="J449" s="69" t="n">
        <v>3.3</v>
      </c>
      <c r="K449" s="69" t="inlineStr">
        <is>
          <t>https://amazon.com/dp/B0F2LYYMSP</t>
        </is>
      </c>
      <c r="L449" s="114">
        <f>HYPERLINK(Table3559[[#This Row],[Column1]])</f>
        <v/>
      </c>
    </row>
    <row r="450" ht="45" customHeight="1" s="314">
      <c r="A450" s="35" t="inlineStr">
        <is>
          <t>LAUNCH X431 Elite 2.0 PRO fit for Nissan Bi-Directional Scanner, 2025 Upgrade Configure All Reset Full System Diagnose, AUTOVIN, Full OBD2 Functions for Nissan/for Inifitini/for GTR</t>
        </is>
      </c>
      <c r="B450" s="35" t="inlineStr">
        <is>
          <t>B0D9GLVQDW</t>
        </is>
      </c>
      <c r="C450" s="35" t="inlineStr">
        <is>
          <t>Tablet</t>
        </is>
      </c>
      <c r="D450" s="359" t="n">
        <v>266.654</v>
      </c>
      <c r="E450" s="66" t="n">
        <v>58627.84153846154</v>
      </c>
      <c r="F450" s="66" t="n">
        <v>1333.27</v>
      </c>
      <c r="G450" s="68" t="n">
        <v>322</v>
      </c>
      <c r="H450" s="70" t="n">
        <v>5</v>
      </c>
      <c r="I450" s="68" t="n">
        <v>42</v>
      </c>
      <c r="J450" s="69" t="n">
        <v>3.8</v>
      </c>
      <c r="K450" s="69" t="inlineStr">
        <is>
          <t>https://amazon.com/dp/B0D9GLVQDW</t>
        </is>
      </c>
      <c r="L450" s="114">
        <f>HYPERLINK(Table3559[[#This Row],[Column1]])</f>
        <v/>
      </c>
    </row>
    <row r="451" ht="45" customHeight="1" s="314">
      <c r="A451" s="35" t="inlineStr">
        <is>
          <t>LAUNCH X431 CRP919 EV Bidirectional Diagnostic Tool, 2026 New Full System OBD2 Scanner for Electric Vehicles, 43 Reset, ECU Coding, CANFD DOIP, FCA AutoAuth, 2 Years Free Update</t>
        </is>
      </c>
      <c r="B451" s="35" t="inlineStr">
        <is>
          <t>B0FX26XKPS</t>
        </is>
      </c>
      <c r="C451" s="35" t="inlineStr">
        <is>
          <t>Tablet</t>
        </is>
      </c>
      <c r="D451" s="359" t="n">
        <v>460.188</v>
      </c>
      <c r="E451" s="66" t="n">
        <v>24305.14153846154</v>
      </c>
      <c r="F451" s="66" t="n">
        <v>2300.94</v>
      </c>
      <c r="G451" s="68" t="n">
        <v>11</v>
      </c>
      <c r="H451" s="70" t="n">
        <v>5</v>
      </c>
      <c r="I451" s="68" t="n"/>
      <c r="J451" s="69" t="n"/>
      <c r="K451" s="69" t="inlineStr">
        <is>
          <t>https://amazon.com/dp/B0FX26XKPS</t>
        </is>
      </c>
      <c r="L451" s="114">
        <f>HYPERLINK(Table3559[[#This Row],[Column1]])</f>
        <v/>
      </c>
    </row>
    <row r="452" ht="45" customHeight="1" s="314">
      <c r="A452" s="35" t="inlineStr">
        <is>
          <t>LAUNCH Millennium Master 2.0 OBD2 Scanner, Check Engine/ABS/SRS/Transmission Diagnostic Scan Tool with 13 Service Functions, Support Battery Health/Start/Charging Test, Auto VIN (Use in the US &amp; CAN)</t>
        </is>
      </c>
      <c r="B452" s="35" t="inlineStr">
        <is>
          <t>B0CTMSQV1F</t>
        </is>
      </c>
      <c r="C452" s="35" t="inlineStr">
        <is>
          <t>Tablet</t>
        </is>
      </c>
      <c r="D452" s="359" t="n">
        <v>255.51</v>
      </c>
      <c r="E452" s="66" t="n">
        <v>12333.04</v>
      </c>
      <c r="F452" s="66" t="n">
        <v>1277.55</v>
      </c>
      <c r="G452" s="68" t="n">
        <v>45</v>
      </c>
      <c r="H452" s="70" t="n">
        <v>5</v>
      </c>
      <c r="I452" s="68" t="n">
        <v>4</v>
      </c>
      <c r="J452" s="69" t="n">
        <v>4.6</v>
      </c>
      <c r="K452" s="69" t="inlineStr">
        <is>
          <t>https://amazon.com/dp/B0CTMSQV1F</t>
        </is>
      </c>
      <c r="L452" s="114">
        <f>HYPERLINK(Table3559[[#This Row],[Column1]])</f>
        <v/>
      </c>
    </row>
    <row r="453" ht="60" customHeight="1" s="314">
      <c r="A453" s="35" t="inlineStr">
        <is>
          <t>LAUNCH Creader Elite V2.0 for Land Rover Jaguar OBD2 Scanner, Bi-Directional Full Systems Diagnostic Scan Tool, All Reset Services, Active Test, Battery Reset, Height Calibration, Lifetime Free Update</t>
        </is>
      </c>
      <c r="B453" s="35" t="inlineStr">
        <is>
          <t>B0F4QVVDN6</t>
        </is>
      </c>
      <c r="C453" s="35" t="inlineStr">
        <is>
          <t>Tablet</t>
        </is>
      </c>
      <c r="D453" s="359" t="n">
        <v>162.364</v>
      </c>
      <c r="E453" s="66" t="n">
        <v>26428.27923076924</v>
      </c>
      <c r="F453" s="66" t="n">
        <v>811.8200000000001</v>
      </c>
      <c r="G453" s="68" t="n">
        <v>131</v>
      </c>
      <c r="H453" s="70" t="n">
        <v>5</v>
      </c>
      <c r="I453" s="68" t="n">
        <v>6</v>
      </c>
      <c r="J453" s="69" t="n">
        <v>3.2</v>
      </c>
      <c r="K453" s="69" t="inlineStr">
        <is>
          <t>https://amazon.com/dp/B0F4QVVDN6</t>
        </is>
      </c>
      <c r="L453" s="114">
        <f>HYPERLINK(Table3559[[#This Row],[Column1]])</f>
        <v/>
      </c>
    </row>
    <row r="454" ht="45" customHeight="1" s="314">
      <c r="A454" s="35" t="inlineStr">
        <is>
          <t>Launch CRP129 HD Heavy Duty Truck Scanner, Car Diagnostic Scanner for Commercial Vehicles, Full Sysem Diagnostic Tool, 7+ Services, Power Balance Test, Full OBD2/HD OBD/EOBD, 51+ Brands</t>
        </is>
      </c>
      <c r="B454" s="35" t="inlineStr">
        <is>
          <t>B0DCZ4VCPQ</t>
        </is>
      </c>
      <c r="C454" s="35" t="inlineStr">
        <is>
          <t>Tablet</t>
        </is>
      </c>
      <c r="D454" s="359" t="n">
        <v>512.4880000000001</v>
      </c>
      <c r="E454" s="66" t="n">
        <v>21328.13692307693</v>
      </c>
      <c r="F454" s="66" t="n">
        <v>2562.44</v>
      </c>
      <c r="G454" s="68" t="n">
        <v>22</v>
      </c>
      <c r="H454" s="70" t="n">
        <v>5</v>
      </c>
      <c r="I454" s="68" t="n">
        <v>2</v>
      </c>
      <c r="J454" s="69" t="n">
        <v>4.5</v>
      </c>
      <c r="K454" s="69" t="inlineStr">
        <is>
          <t>https://amazon.com/dp/B0DCZ4VCPQ</t>
        </is>
      </c>
      <c r="L454" s="114">
        <f>HYPERLINK(Table3559[[#This Row],[Column1]])</f>
        <v/>
      </c>
    </row>
    <row r="455" ht="45" customHeight="1" s="314">
      <c r="A455" s="35" t="inlineStr">
        <is>
          <t>LAUNCH CRP129 HD Heavy Duty Truck Diagnostic Scanner Creader Elite, Oil Reset. DPF Regen. Injector Coding, Full System Code Reader Machinery Diesel Vehicle Vessel Scan Tool</t>
        </is>
      </c>
      <c r="B455" s="35" t="inlineStr">
        <is>
          <t>B0CXJKLRPC</t>
        </is>
      </c>
      <c r="C455" s="35" t="inlineStr">
        <is>
          <t>Tablet</t>
        </is>
      </c>
      <c r="D455" s="359" t="n">
        <v>446.0600000000001</v>
      </c>
      <c r="E455" s="66" t="n">
        <v>12487.57</v>
      </c>
      <c r="F455" s="66" t="n">
        <v>2230.3</v>
      </c>
      <c r="G455" s="68" t="n">
        <v>27</v>
      </c>
      <c r="H455" s="70" t="n">
        <v>5</v>
      </c>
      <c r="I455" s="68" t="n">
        <v>6</v>
      </c>
      <c r="J455" s="69" t="n">
        <v>3.9</v>
      </c>
      <c r="K455" s="69" t="inlineStr">
        <is>
          <t>https://amazon.com/dp/B0CXJKLRPC</t>
        </is>
      </c>
      <c r="L455" s="114">
        <f>HYPERLINK(Table3559[[#This Row],[Column1]])</f>
        <v/>
      </c>
    </row>
    <row r="456" ht="45" customHeight="1" s="314">
      <c r="A456" s="35" t="inlineStr">
        <is>
          <t>LAUNCH X431 CRP919E OBD2 Scanner, Bidirectional Scan Tool as X431, ECU Code, CAN FD &amp; DoIP, 35+ Reset, Active Test, All-in-One Full System Diagnostic Scanner, FCA Autoauth, 160+ Brands, 2 Yrs Update</t>
        </is>
      </c>
      <c r="B456" s="35" t="inlineStr">
        <is>
          <t>B0B4MJ5NK6</t>
        </is>
      </c>
      <c r="C456" s="35" t="inlineStr">
        <is>
          <t>Tablet</t>
        </is>
      </c>
      <c r="D456" s="359" t="n">
        <v>425.448</v>
      </c>
      <c r="E456" s="66" t="n">
        <v>36793.75461538461</v>
      </c>
      <c r="F456" s="66" t="n">
        <v>2127.24</v>
      </c>
      <c r="G456" s="68" t="n">
        <v>67</v>
      </c>
      <c r="H456" s="70" t="n">
        <v>5</v>
      </c>
      <c r="I456" s="68" t="n">
        <v>60</v>
      </c>
      <c r="J456" s="69" t="n">
        <v>4.5</v>
      </c>
      <c r="K456" s="69" t="inlineStr">
        <is>
          <t>https://amazon.com/dp/B0B4MJ5NK6</t>
        </is>
      </c>
      <c r="L456" s="114">
        <f>HYPERLINK(Table3559[[#This Row],[Column1]])</f>
        <v/>
      </c>
    </row>
    <row r="457" ht="30" customHeight="1" s="314">
      <c r="A457" s="35" t="inlineStr">
        <is>
          <t>LAUNCH X431 Scanner PRO3 APEX Bidirectional Scan Tool 2026 Upgraded, OEM Topology Map, Online Coding, HD Truck, 55+ Services All-System car Diagnostics Tool,10.1 Inch, CAN FD &amp; DoIP, FCA &amp; Renault SGW</t>
        </is>
      </c>
      <c r="B457" s="35" t="inlineStr">
        <is>
          <t>B08B643TZ9</t>
        </is>
      </c>
      <c r="C457" s="35" t="inlineStr">
        <is>
          <t>Tablet</t>
        </is>
      </c>
      <c r="D457" s="359" t="n">
        <v>1040.656</v>
      </c>
      <c r="E457" s="66" t="n">
        <v>19937.81</v>
      </c>
      <c r="F457" s="66" t="n">
        <v>5203.28</v>
      </c>
      <c r="G457" s="68" t="n">
        <v>18</v>
      </c>
      <c r="H457" s="70" t="n">
        <v>5</v>
      </c>
      <c r="I457" s="68" t="n">
        <v>11</v>
      </c>
      <c r="J457" s="69" t="n">
        <v>4.4</v>
      </c>
      <c r="K457" s="69" t="inlineStr">
        <is>
          <t>https://amazon.com/dp/B08B643TZ9</t>
        </is>
      </c>
      <c r="L457" s="114">
        <f>HYPERLINK(Table3559[[#This Row],[Column1]])</f>
        <v/>
      </c>
    </row>
    <row r="458" ht="45" customHeight="1" s="314">
      <c r="A458" s="35" t="inlineStr">
        <is>
          <t>LAUNCH X431 CRP919E OBD2 Scanner, 2026 Bidirectional Scan Tool As CRP919EBT, ECU Code, 35+ Services, Active Test, All System Diagnose, CANFD &amp; DOIP, FCA SGW, Android 10.0, 160+ Brands, 2 Year Update</t>
        </is>
      </c>
      <c r="B458" s="35" t="inlineStr">
        <is>
          <t>B0FN7NJWZV</t>
        </is>
      </c>
      <c r="C458" s="35" t="inlineStr">
        <is>
          <t>Tablet</t>
        </is>
      </c>
      <c r="D458" s="359" t="n">
        <v>460.872</v>
      </c>
      <c r="E458" s="66" t="n">
        <v>46432.08923076923</v>
      </c>
      <c r="F458" s="66" t="n">
        <v>2304.36</v>
      </c>
      <c r="G458" s="68" t="n">
        <v>74</v>
      </c>
      <c r="H458" s="70" t="n">
        <v>5</v>
      </c>
      <c r="I458" s="68" t="n">
        <v>60</v>
      </c>
      <c r="J458" s="69" t="n">
        <v>4.5</v>
      </c>
      <c r="K458" s="69" t="inlineStr">
        <is>
          <t>https://amazon.com/dp/B0FN7NJWZV</t>
        </is>
      </c>
      <c r="L458" s="114">
        <f>HYPERLINK(Table3559[[#This Row],[Column1]])</f>
        <v/>
      </c>
    </row>
    <row r="459" ht="45" customHeight="1" s="314">
      <c r="A459" s="35" t="inlineStr">
        <is>
          <t>LAUNCH X431 PRO5 J2534 Protocol Bidirectional Scan Tool with SmartLink C V2.0, Car Diagnostic Scanner with Topology Mapping, 60+ Services, Intelligent Diagnostics, Guided Functions, 2-Year Free Update</t>
        </is>
      </c>
      <c r="B459" s="35" t="inlineStr">
        <is>
          <t>B07L6WWL62</t>
        </is>
      </c>
      <c r="C459" s="35" t="inlineStr">
        <is>
          <t>Tablet</t>
        </is>
      </c>
      <c r="D459" s="359" t="n">
        <v>1443.308</v>
      </c>
      <c r="E459" s="66" t="n">
        <v>247494.6</v>
      </c>
      <c r="F459" s="66" t="n">
        <v>7216.54</v>
      </c>
      <c r="G459" s="68" t="n">
        <v>165</v>
      </c>
      <c r="H459" s="70" t="n">
        <v>5</v>
      </c>
      <c r="I459" s="68" t="n">
        <v>104</v>
      </c>
      <c r="J459" s="69" t="n">
        <v>4</v>
      </c>
      <c r="K459" s="69" t="inlineStr">
        <is>
          <t>https://amazon.com/dp/B07L6WWL62</t>
        </is>
      </c>
      <c r="L459" s="114">
        <f>HYPERLINK(Table3559[[#This Row],[Column1]])</f>
        <v/>
      </c>
    </row>
    <row r="460" ht="45" customHeight="1" s="314">
      <c r="A460" s="35" t="inlineStr">
        <is>
          <t>Launch Diagnostic Scanner Tool for BMW, 2024 Enhanced Multi-System OBD2 Scanner, Auto Fault Code Reader with Bi-Directional Control &amp; Battery Registration for BMW After 1996</t>
        </is>
      </c>
      <c r="B460" s="35" t="inlineStr">
        <is>
          <t>B09NN54ZJZ</t>
        </is>
      </c>
      <c r="C460" s="35" t="inlineStr">
        <is>
          <t>Handheld</t>
        </is>
      </c>
      <c r="D460" s="359" t="n">
        <v>128.996</v>
      </c>
      <c r="E460" s="66" t="n">
        <v>7316.376153846154</v>
      </c>
      <c r="F460" s="66" t="n">
        <v>644.98</v>
      </c>
      <c r="G460" s="68" t="n">
        <v>40</v>
      </c>
      <c r="H460" s="70" t="n">
        <v>5</v>
      </c>
      <c r="I460" s="68" t="n">
        <v>30</v>
      </c>
      <c r="J460" s="69" t="n">
        <v>4</v>
      </c>
      <c r="K460" s="69" t="inlineStr">
        <is>
          <t>https://amazon.com/dp/B09NN54ZJZ</t>
        </is>
      </c>
      <c r="L460" s="114">
        <f>HYPERLINK(Table3559[[#This Row],[Column1]])</f>
        <v/>
      </c>
    </row>
    <row r="461" ht="45" customHeight="1" s="314">
      <c r="A461" s="35" t="inlineStr">
        <is>
          <t>LAUNCH X431 PRO TT 2026 Newly Bidirectional Scan Tool, Bluetooth Launch Scanner with DBSCar VII Connector, 38+ Reset for All Cars, Online ECU Code, CANFD, FCA AutoAuth, VAG Guide, 2 Yrs Free Update</t>
        </is>
      </c>
      <c r="B461" s="35" t="inlineStr">
        <is>
          <t>B07HGZZCLX</t>
        </is>
      </c>
      <c r="C461" s="35" t="inlineStr">
        <is>
          <t>Tablet</t>
        </is>
      </c>
      <c r="D461" s="359" t="n">
        <v>769.362</v>
      </c>
      <c r="E461" s="66" t="n">
        <v>28148.5</v>
      </c>
      <c r="F461" s="66" t="n">
        <v>3846.81</v>
      </c>
      <c r="G461" s="68" t="n">
        <v>34</v>
      </c>
      <c r="H461" s="70" t="n">
        <v>5</v>
      </c>
      <c r="I461" s="68" t="n">
        <v>10</v>
      </c>
      <c r="J461" s="69" t="n">
        <v>4.6</v>
      </c>
      <c r="K461" s="69" t="inlineStr">
        <is>
          <t>https://amazon.com/dp/B07HGZZCLX</t>
        </is>
      </c>
      <c r="L461" s="114">
        <f>HYPERLINK(Table3559[[#This Row],[Column1]])</f>
        <v/>
      </c>
    </row>
    <row r="462" ht="30" customHeight="1" s="314">
      <c r="A462" s="35" t="inlineStr">
        <is>
          <t>LAUNCH OBD-II OBD2 Extension Cable, Ultra-Long 4ft 120cm 1.2M, Auto Car 16 Pin Male to Female OBD2 Diagnostic Extender Cord Adapter for All OBD2 Scanners(4ft 120cm 1.2M)</t>
        </is>
      </c>
      <c r="B462" s="35" t="inlineStr">
        <is>
          <t>B0DWXHXJG1</t>
        </is>
      </c>
      <c r="C462" s="35" t="inlineStr">
        <is>
          <t>Cable/Adapter</t>
        </is>
      </c>
      <c r="D462" s="359" t="n">
        <v>16.275</v>
      </c>
      <c r="E462" s="66" t="n">
        <v>1974.41</v>
      </c>
      <c r="F462" s="66" t="n">
        <v>65.09999999999999</v>
      </c>
      <c r="G462" s="68" t="n">
        <v>128</v>
      </c>
      <c r="H462" s="70" t="n">
        <v>4</v>
      </c>
      <c r="I462" s="68" t="n">
        <v>7</v>
      </c>
      <c r="J462" s="69" t="n">
        <v>4.8</v>
      </c>
      <c r="K462" s="69" t="inlineStr">
        <is>
          <t>https://amazon.com/dp/B0DWXHXJG1</t>
        </is>
      </c>
      <c r="L462" s="114">
        <f>HYPERLINK(Table3559[[#This Row],[Column1]])</f>
        <v/>
      </c>
    </row>
    <row r="463" ht="45" customHeight="1" s="314">
      <c r="A463" s="35" t="inlineStr">
        <is>
          <t>Launch OBD2 Scanner</t>
        </is>
      </c>
      <c r="B463" s="35" t="inlineStr">
        <is>
          <t>B08DV79QMN</t>
        </is>
      </c>
      <c r="C463" s="35" t="inlineStr">
        <is>
          <t>Handheld</t>
        </is>
      </c>
      <c r="D463" s="359" t="n">
        <v>73.2</v>
      </c>
      <c r="E463" s="66" t="n">
        <v>2822.870769230769</v>
      </c>
      <c r="F463" s="66" t="n">
        <v>292.8</v>
      </c>
      <c r="G463" s="68" t="n">
        <v>18</v>
      </c>
      <c r="H463" s="70" t="n">
        <v>4</v>
      </c>
      <c r="I463" s="68" t="n">
        <v>1</v>
      </c>
      <c r="J463" s="69" t="n">
        <v>5</v>
      </c>
      <c r="K463" s="69" t="inlineStr">
        <is>
          <t>https://amazon.com/dp/B08DV79QMN</t>
        </is>
      </c>
      <c r="L463" s="114">
        <f>HYPERLINK(Table3559[[#This Row],[Column1]])</f>
        <v/>
      </c>
    </row>
    <row r="464" ht="45" customHeight="1" s="314">
      <c r="A464" s="35" t="inlineStr">
        <is>
          <t>LAUNCH X431 PFP-100 Vehicle Flash Reprogramming Power Supply with Charging Mode, Programming Mode, Showroom Mode, Repair Mode and Starting Mode Car Battery Programming Flash Power</t>
        </is>
      </c>
      <c r="B464" s="35" t="inlineStr">
        <is>
          <t>B0FKTG8QJ8</t>
        </is>
      </c>
      <c r="C464" s="35" t="n"/>
      <c r="D464" s="359" t="n">
        <v>713.63</v>
      </c>
      <c r="E464" s="66" t="n">
        <v>34473.81846153846</v>
      </c>
      <c r="F464" s="66" t="n">
        <v>2854.52</v>
      </c>
      <c r="G464" s="68" t="n">
        <v>4</v>
      </c>
      <c r="H464" s="70" t="n">
        <v>4</v>
      </c>
      <c r="I464" s="68" t="n"/>
      <c r="J464" s="69" t="n"/>
      <c r="K464" s="69" t="inlineStr">
        <is>
          <t>https://amazon.com/dp/B0FKTG8QJ8</t>
        </is>
      </c>
      <c r="L464" s="114">
        <f>HYPERLINK(Table3559[[#This Row],[Column1]])</f>
        <v/>
      </c>
    </row>
    <row r="465" ht="45" customHeight="1" s="314">
      <c r="A465" s="35" t="inlineStr">
        <is>
          <t>Launch X431 PRO3 APEX OBD2 Scanner 2026 Upgraded Screen, Wireless Diagnostic Scan Tool with DBScar VII, OEM Topology Mapping, ECU Code, CANFD DoIP, 55+ Services, AutoAuth FCA SGW,10.1 Inch</t>
        </is>
      </c>
      <c r="B465" s="35" t="inlineStr">
        <is>
          <t>B0D3LBX9LR</t>
        </is>
      </c>
      <c r="C465" s="35" t="inlineStr">
        <is>
          <t>Tablet</t>
        </is>
      </c>
      <c r="D465" s="359" t="n">
        <v>1248.83</v>
      </c>
      <c r="E465" s="66" t="n">
        <v>228529.9846153846</v>
      </c>
      <c r="F465" s="66" t="n">
        <v>4995.32</v>
      </c>
      <c r="G465" s="68" t="n">
        <v>205</v>
      </c>
      <c r="H465" s="70" t="n">
        <v>4</v>
      </c>
      <c r="I465" s="68" t="n">
        <v>159</v>
      </c>
      <c r="J465" s="69" t="n">
        <v>4.4</v>
      </c>
      <c r="K465" s="69" t="inlineStr">
        <is>
          <t>https://amazon.com/dp/B0D3LBX9LR</t>
        </is>
      </c>
      <c r="L465" s="114">
        <f>HYPERLINK(Table3559[[#This Row],[Column1]])</f>
        <v/>
      </c>
    </row>
    <row r="466" ht="17" customHeight="1" s="314">
      <c r="A466" s="35" t="inlineStr">
        <is>
          <t>LAUNCH X-431 MCU3 Programmer Kit for X-PROG3 GIII Work for Mercedes-Benz ECU and TCU Reading</t>
        </is>
      </c>
      <c r="B466" s="35" t="inlineStr">
        <is>
          <t>B0CZNTHWP2</t>
        </is>
      </c>
      <c r="C466" s="35" t="inlineStr">
        <is>
          <t>Other</t>
        </is>
      </c>
      <c r="D466" s="359" t="n">
        <v>167.3075</v>
      </c>
      <c r="E466" s="66" t="n">
        <v>10815.07076923077</v>
      </c>
      <c r="F466" s="66" t="n">
        <v>669.23</v>
      </c>
      <c r="G466" s="68" t="n">
        <v>59</v>
      </c>
      <c r="H466" s="70" t="n">
        <v>4</v>
      </c>
      <c r="I466" s="68" t="n">
        <v>10</v>
      </c>
      <c r="J466" s="69" t="n">
        <v>4.4</v>
      </c>
      <c r="K466" s="69" t="inlineStr">
        <is>
          <t>https://amazon.com/dp/B0CZNTHWP2</t>
        </is>
      </c>
      <c r="L466" s="114">
        <f>HYPERLINK(Table3559[[#This Row],[Column1]])</f>
        <v/>
      </c>
    </row>
    <row r="467" ht="30" customHeight="1" s="314">
      <c r="A467" s="35" t="inlineStr">
        <is>
          <t>LAUNCH X431 PRO3 V+ Elite, 2026 J2534 Scan Tool, Online Coding, Topology Map Car Scanner, 3000+Active Test, FCA SGW Scan Tool, 60+ Reset,D-PDU/CANFD/DoIP Diagnostic Scanner, 2-Year Update</t>
        </is>
      </c>
      <c r="B467" s="35" t="inlineStr">
        <is>
          <t>B01E89UTQI</t>
        </is>
      </c>
      <c r="C467" s="35" t="inlineStr">
        <is>
          <t>Tablet</t>
        </is>
      </c>
      <c r="D467" s="359" t="n">
        <v>1233.0325</v>
      </c>
      <c r="E467" s="66" t="n">
        <v>194800.51</v>
      </c>
      <c r="F467" s="66" t="n">
        <v>4932.13</v>
      </c>
      <c r="G467" s="68" t="n">
        <v>149</v>
      </c>
      <c r="H467" s="70" t="n">
        <v>4</v>
      </c>
      <c r="I467" s="68" t="n">
        <v>119</v>
      </c>
      <c r="J467" s="69" t="n">
        <v>4.2</v>
      </c>
      <c r="K467" s="69" t="inlineStr">
        <is>
          <t>https://amazon.com/dp/B01E89UTQI</t>
        </is>
      </c>
      <c r="L467" s="114">
        <f>HYPERLINK(Table3559[[#This Row],[Column1]])</f>
        <v/>
      </c>
    </row>
    <row r="468" ht="45" customHeight="1" s="314">
      <c r="A468" s="35" t="inlineStr">
        <is>
          <t>Launch OBD2 Scanner CRP123I V2.0,Scan Tool Upgrade of CRP123E/CRP129E for ABS/SRS/AT/ENG, FCA SGW, 7 Reset Services, Oil/Brake/BMS/SAS/DPF/ABS Bleeding/Throttle Adaption, Free Lifetime Upgrade</t>
        </is>
      </c>
      <c r="B468" s="35" t="inlineStr">
        <is>
          <t>B0CC5N4XXN</t>
        </is>
      </c>
      <c r="C468" s="35" t="inlineStr">
        <is>
          <t>Tablet</t>
        </is>
      </c>
      <c r="D468" s="359" t="n">
        <v>211.695</v>
      </c>
      <c r="E468" s="66" t="n">
        <v>12951.95</v>
      </c>
      <c r="F468" s="66" t="n">
        <v>846.78</v>
      </c>
      <c r="G468" s="68" t="n">
        <v>71</v>
      </c>
      <c r="H468" s="70" t="n">
        <v>4</v>
      </c>
      <c r="I468" s="68" t="n">
        <v>80</v>
      </c>
      <c r="J468" s="69" t="n">
        <v>4.1</v>
      </c>
      <c r="K468" s="69" t="inlineStr">
        <is>
          <t>https://amazon.com/dp/B0CC5N4XXN</t>
        </is>
      </c>
      <c r="L468" s="114">
        <f>HYPERLINK(Table3559[[#This Row],[Column1]])</f>
        <v/>
      </c>
    </row>
    <row r="469" ht="45" customHeight="1" s="314">
      <c r="A469" s="35" t="inlineStr">
        <is>
          <t>LAUNCH CRP123 V2.0 Plus Elite OBD2 Scanner, 2025 New Full System Lifetime Free Update Scan Tool with 3 Reset Oil Service, Throttle Adaption, SAS Relearn, Car Scanner for All Cars</t>
        </is>
      </c>
      <c r="B469" s="35" t="inlineStr">
        <is>
          <t>B0DKHBV8Q6</t>
        </is>
      </c>
      <c r="C469" s="35" t="inlineStr">
        <is>
          <t>Tablet</t>
        </is>
      </c>
      <c r="D469" s="359" t="n">
        <v>159.4075</v>
      </c>
      <c r="E469" s="66" t="n">
        <v>27325.13</v>
      </c>
      <c r="F469" s="66" t="n">
        <v>637.63</v>
      </c>
      <c r="G469" s="68" t="n">
        <v>177</v>
      </c>
      <c r="H469" s="70" t="n">
        <v>4</v>
      </c>
      <c r="I469" s="68" t="n">
        <v>18</v>
      </c>
      <c r="J469" s="69" t="n">
        <v>3.9</v>
      </c>
      <c r="K469" s="69" t="inlineStr">
        <is>
          <t>https://amazon.com/dp/B0DKHBV8Q6</t>
        </is>
      </c>
      <c r="L469" s="114">
        <f>HYPERLINK(Table3559[[#This Row],[Column1]])</f>
        <v/>
      </c>
    </row>
    <row r="470" ht="45" customHeight="1" s="314">
      <c r="A470" s="35" t="inlineStr">
        <is>
          <t>Launch X431 PAD Scan Tool Global Ver. (Upgraded of X431 V+, X431 PROS) 50+ Reset ECU Coding OE-Level Bi-Directional All System Diagnostic Tool, Free Update</t>
        </is>
      </c>
      <c r="B470" s="35" t="inlineStr">
        <is>
          <t>B0FSSFT28B</t>
        </is>
      </c>
      <c r="C470" s="35" t="inlineStr">
        <is>
          <t>Tablet</t>
        </is>
      </c>
      <c r="D470" s="359" t="n">
        <v>987.5075000000001</v>
      </c>
      <c r="E470" s="66" t="n">
        <v>45315.07692307694</v>
      </c>
      <c r="F470" s="66" t="n">
        <v>3950.03</v>
      </c>
      <c r="G470" s="68" t="n">
        <v>5</v>
      </c>
      <c r="H470" s="70" t="n">
        <v>4</v>
      </c>
      <c r="I470" s="68" t="n">
        <v>97</v>
      </c>
      <c r="J470" s="69" t="n">
        <v>4.6</v>
      </c>
      <c r="K470" s="69" t="inlineStr">
        <is>
          <t>https://amazon.com/dp/B0FSSFT28B</t>
        </is>
      </c>
      <c r="L470" s="114">
        <f>HYPERLINK(Table3559[[#This Row],[Column1]])</f>
        <v/>
      </c>
    </row>
    <row r="471" ht="45" customHeight="1" s="314">
      <c r="A471" s="35" t="inlineStr">
        <is>
          <t>LAUNCH CRP PRO Heavy Duty Truck Diagnostic Scanner, Bi-Directional Full System Scan Tool for Semi Trucks &amp; Diesel Engines, ECU Coding, 40+ Reset Services, Compatible with Cummins Caterpillar and More</t>
        </is>
      </c>
      <c r="B471" s="35" t="inlineStr">
        <is>
          <t>B0G4VPXV9V</t>
        </is>
      </c>
      <c r="C471" s="35" t="inlineStr">
        <is>
          <t>Tablet</t>
        </is>
      </c>
      <c r="D471" s="359" t="n">
        <v>481.2025</v>
      </c>
      <c r="E471" s="66" t="n">
        <v>21090.26692307692</v>
      </c>
      <c r="F471" s="66" t="n">
        <v>1924.81</v>
      </c>
      <c r="G471" s="68" t="n">
        <v>6</v>
      </c>
      <c r="H471" s="70" t="n">
        <v>4</v>
      </c>
      <c r="I471" s="68" t="n"/>
      <c r="J471" s="69" t="n"/>
      <c r="K471" s="69" t="inlineStr">
        <is>
          <t>https://amazon.com/dp/B0G4VPXV9V</t>
        </is>
      </c>
      <c r="L471" s="114">
        <f>HYPERLINK(Table3559[[#This Row],[Column1]])</f>
        <v/>
      </c>
    </row>
    <row r="472" ht="45" customHeight="1" s="314">
      <c r="A472" s="35" t="inlineStr">
        <is>
          <t>Launch Creader Elite Code Reader Bi-Directional Scan Tool for Audi Full System Diagnostic Scanner, 31+ Services Online Coding AutoVIN WiFi Update</t>
        </is>
      </c>
      <c r="B472" s="35" t="inlineStr">
        <is>
          <t>B0D3D4QV4W</t>
        </is>
      </c>
      <c r="C472" s="35" t="inlineStr">
        <is>
          <t>Handheld</t>
        </is>
      </c>
      <c r="D472" s="359" t="n">
        <v>120.5475</v>
      </c>
      <c r="E472" s="66" t="n">
        <v>1405.92</v>
      </c>
      <c r="F472" s="66" t="n">
        <v>482.19</v>
      </c>
      <c r="G472" s="68" t="n">
        <v>11</v>
      </c>
      <c r="H472" s="70" t="n">
        <v>4</v>
      </c>
      <c r="I472" s="68" t="n">
        <v>1</v>
      </c>
      <c r="J472" s="69" t="n">
        <v>1</v>
      </c>
      <c r="K472" s="69" t="inlineStr">
        <is>
          <t>https://amazon.com/dp/B0D3D4QV4W</t>
        </is>
      </c>
      <c r="L472" s="114">
        <f>HYPERLINK(Table3559[[#This Row],[Column1]])</f>
        <v/>
      </c>
    </row>
    <row r="473" ht="30" customHeight="1" s="314">
      <c r="A473" s="35" t="inlineStr">
        <is>
          <t>LAUNCH Original USB to Micro USB Charging Cable Replacement Connector X-431 OBD2 Diagnostic Scanner</t>
        </is>
      </c>
      <c r="B473" s="35" t="inlineStr">
        <is>
          <t>B0DZXHLQ9K</t>
        </is>
      </c>
      <c r="C473" s="35" t="inlineStr">
        <is>
          <t>Cable/Adapter</t>
        </is>
      </c>
      <c r="D473" s="359" t="n">
        <v>6.4725</v>
      </c>
      <c r="E473" s="66" t="n">
        <v>432.3669230769232</v>
      </c>
      <c r="F473" s="66" t="n">
        <v>25.89</v>
      </c>
      <c r="G473" s="68" t="n">
        <v>57</v>
      </c>
      <c r="H473" s="70" t="n">
        <v>4</v>
      </c>
      <c r="I473" s="68" t="n">
        <v>2</v>
      </c>
      <c r="J473" s="69" t="n">
        <v>5</v>
      </c>
      <c r="K473" s="69" t="inlineStr">
        <is>
          <t>https://amazon.com/dp/B0DZXHLQ9K</t>
        </is>
      </c>
      <c r="L473" s="114">
        <f>HYPERLINK(Table3559[[#This Row],[Column1]])</f>
        <v/>
      </c>
    </row>
    <row r="474" ht="45" customHeight="1" s="314">
      <c r="A474" s="35" t="inlineStr">
        <is>
          <t>Launch Scanner CRP129i V3.0(Upgrade of CRP123I), Professional OBD2 Scanner Diagnostic Tool with ABS and SRS, ENG, Transmission, FCA AutoAuth Code Reader for Cars and Trucks,Oil,DPF,TPMS Car Scan Tool</t>
        </is>
      </c>
      <c r="B474" s="35" t="inlineStr">
        <is>
          <t>B0FPXR69TK</t>
        </is>
      </c>
      <c r="C474" s="35" t="inlineStr">
        <is>
          <t>Tablet</t>
        </is>
      </c>
      <c r="D474" s="359" t="n">
        <v>259.535</v>
      </c>
      <c r="E474" s="66" t="n">
        <v>9209.521538461539</v>
      </c>
      <c r="F474" s="66" t="n">
        <v>1038.14</v>
      </c>
      <c r="G474" s="68" t="n">
        <v>10</v>
      </c>
      <c r="H474" s="70" t="n">
        <v>4</v>
      </c>
      <c r="I474" s="68" t="n">
        <v>1</v>
      </c>
      <c r="J474" s="69" t="n">
        <v>5</v>
      </c>
      <c r="K474" s="69" t="inlineStr">
        <is>
          <t>https://amazon.com/dp/B0FPXR69TK</t>
        </is>
      </c>
      <c r="L474" s="114">
        <f>HYPERLINK(Table3559[[#This Row],[Column1]])</f>
        <v/>
      </c>
    </row>
    <row r="475" ht="45" customHeight="1" s="314">
      <c r="A475" s="35" t="inlineStr">
        <is>
          <t>LAUNCH X431 Creader 5011 V2 TPMS Tool，TPMS Sensor (315+433MHz) Read/Activate/Relearn/Reset Scanner Tool,OBD2 Code Reader&amp; 12 Hot Rests, Lifetime Free Update</t>
        </is>
      </c>
      <c r="B475" s="35" t="inlineStr">
        <is>
          <t>B0FWP57ZND</t>
        </is>
      </c>
      <c r="C475" s="35" t="inlineStr">
        <is>
          <t>Tablet</t>
        </is>
      </c>
      <c r="D475" s="359" t="n">
        <v>231.3275</v>
      </c>
      <c r="E475" s="66" t="n">
        <v>11338.72846153846</v>
      </c>
      <c r="F475" s="66" t="n">
        <v>925.3099999999999</v>
      </c>
      <c r="G475" s="68" t="n">
        <v>22</v>
      </c>
      <c r="H475" s="70" t="n">
        <v>4</v>
      </c>
      <c r="I475" s="68" t="n"/>
      <c r="J475" s="69" t="n"/>
      <c r="K475" s="69" t="inlineStr">
        <is>
          <t>https://amazon.com/dp/B0FWP57ZND</t>
        </is>
      </c>
      <c r="L475" s="114">
        <f>HYPERLINK(Table3559[[#This Row],[Column1]])</f>
        <v/>
      </c>
    </row>
    <row r="476" ht="45" customHeight="1" s="314">
      <c r="A476" s="35" t="inlineStr">
        <is>
          <t>LAUNCH Heavy Duty Truck Software for X431 PRO3S+Elite, PRO5, PRO3 V+ Elite, Get Free Adapter Set, Heavy Duty Truck Diesel Diagnostic, Work with X431 ProS+ Series for 24V HD Trucks&amp;Commercial Vehicles</t>
        </is>
      </c>
      <c r="B476" s="35" t="inlineStr">
        <is>
          <t>B0FBW56K4M</t>
        </is>
      </c>
      <c r="C476" s="35" t="inlineStr">
        <is>
          <t>VCI</t>
        </is>
      </c>
      <c r="D476" s="359" t="n">
        <v>840.54</v>
      </c>
      <c r="E476" s="66" t="n">
        <v>26673.41384615385</v>
      </c>
      <c r="F476" s="66" t="n">
        <v>2521.62</v>
      </c>
      <c r="G476" s="68" t="n">
        <v>10</v>
      </c>
      <c r="H476" s="70" t="n">
        <v>3</v>
      </c>
      <c r="I476" s="68" t="n"/>
      <c r="J476" s="69" t="n"/>
      <c r="K476" s="69" t="inlineStr">
        <is>
          <t>https://amazon.com/dp/B0FBW56K4M</t>
        </is>
      </c>
      <c r="L476" s="114">
        <f>HYPERLINK(Table3559[[#This Row],[Column1]])</f>
        <v/>
      </c>
    </row>
    <row r="477" ht="45" customHeight="1" s="314">
      <c r="A477" s="35" t="inlineStr">
        <is>
          <t>LAUNCH X431 Creader Elite FGC 2.0 OBD2 Scanner for Ford/GM/Chrysler Series, Bi-Directional Scan Tool, Lifetime Update, All System Diagnostic, 100+ Services, Advanced OBD2 Code Reader</t>
        </is>
      </c>
      <c r="B477" s="35" t="inlineStr">
        <is>
          <t>B0F8N73YYW</t>
        </is>
      </c>
      <c r="C477" s="35" t="inlineStr">
        <is>
          <t>Tablet</t>
        </is>
      </c>
      <c r="D477" s="359" t="n">
        <v>248.3366666666667</v>
      </c>
      <c r="E477" s="66" t="n">
        <v>13056.21461538462</v>
      </c>
      <c r="F477" s="66" t="n">
        <v>745.01</v>
      </c>
      <c r="G477" s="68" t="n">
        <v>46</v>
      </c>
      <c r="H477" s="70" t="n">
        <v>3</v>
      </c>
      <c r="I477" s="68" t="n">
        <v>4</v>
      </c>
      <c r="J477" s="69" t="n">
        <v>4.2</v>
      </c>
      <c r="K477" s="69" t="inlineStr">
        <is>
          <t>https://amazon.com/dp/B0F8N73YYW</t>
        </is>
      </c>
      <c r="L477" s="114">
        <f>HYPERLINK(Table3559[[#This Row],[Column1]])</f>
        <v/>
      </c>
    </row>
    <row r="478" ht="60" customHeight="1" s="314">
      <c r="A478" s="35" t="inlineStr">
        <is>
          <t>LAUNCH Original Main Cable Fit for X431 CRP123i, CRP123e, CRP123x, CRP129i, CRP129e, CRP129x OBD2 Replacement Cable - Yellow</t>
        </is>
      </c>
      <c r="B478" s="35" t="inlineStr">
        <is>
          <t>B0BZ4FF45W</t>
        </is>
      </c>
      <c r="C478" s="35" t="inlineStr">
        <is>
          <t>Cable/Adapter</t>
        </is>
      </c>
      <c r="D478" s="359" t="n">
        <v>31.57</v>
      </c>
      <c r="E478" s="66" t="n">
        <v>3349.84</v>
      </c>
      <c r="F478" s="66" t="n">
        <v>94.70999999999999</v>
      </c>
      <c r="G478" s="68" t="n">
        <v>124</v>
      </c>
      <c r="H478" s="70" t="n">
        <v>3</v>
      </c>
      <c r="I478" s="68" t="n">
        <v>50</v>
      </c>
      <c r="J478" s="69" t="n">
        <v>4.7</v>
      </c>
      <c r="K478" s="69" t="inlineStr">
        <is>
          <t>https://amazon.com/dp/B0BZ4FF45W</t>
        </is>
      </c>
      <c r="L478" s="114">
        <f>HYPERLINK(Table3559[[#This Row],[Column1]])</f>
        <v/>
      </c>
    </row>
    <row r="479" ht="30" customHeight="1" s="314">
      <c r="A479" s="35" t="inlineStr">
        <is>
          <t>Launch X431 Scanner PRO5 J2534 Pr0gram ECU Coding, Topology, 60+ Services, Bi-Directional All System Scan Tool, CANFD DOIP, 200+ Brands, Guided Functions, 10+ High-end Features</t>
        </is>
      </c>
      <c r="B479" s="35" t="inlineStr">
        <is>
          <t>B0FZKV8YMN</t>
        </is>
      </c>
      <c r="C479" s="35" t="inlineStr">
        <is>
          <t>Tablet</t>
        </is>
      </c>
      <c r="D479" s="359" t="n">
        <v>1516.23</v>
      </c>
      <c r="E479" s="66" t="n">
        <v>85499.12615384614</v>
      </c>
      <c r="F479" s="66" t="n">
        <v>4548.69</v>
      </c>
      <c r="G479" s="68" t="n">
        <v>34</v>
      </c>
      <c r="H479" s="70" t="n">
        <v>3</v>
      </c>
      <c r="I479" s="68" t="n">
        <v>97</v>
      </c>
      <c r="J479" s="69" t="n">
        <v>4.6</v>
      </c>
      <c r="K479" s="69" t="inlineStr">
        <is>
          <t>https://amazon.com/dp/B0FZKV8YMN</t>
        </is>
      </c>
      <c r="L479" s="114">
        <f>HYPERLINK(Table3559[[#This Row],[Column1]])</f>
        <v/>
      </c>
    </row>
    <row r="480" ht="45" customHeight="1" s="314">
      <c r="A480" s="35" t="inlineStr">
        <is>
          <t>Launch Millennium 30 OBD2 Scanner,Car Code Reader with Full OBD2 Functions,Check Engine Light Car Diagnostic Tool,O2 Sensor/EVAP System/Smog Test/Check I/M Readiness Car Scanner,Lifetime Free Update</t>
        </is>
      </c>
      <c r="B480" s="35" t="inlineStr">
        <is>
          <t>B07L5VQJQB</t>
        </is>
      </c>
      <c r="C480" s="35" t="inlineStr">
        <is>
          <t>Handheld</t>
        </is>
      </c>
      <c r="D480" s="359" t="n">
        <v>32.84</v>
      </c>
      <c r="E480" s="66" t="n">
        <v>738.52</v>
      </c>
      <c r="F480" s="66" t="n">
        <v>98.52</v>
      </c>
      <c r="G480" s="68" t="n">
        <v>21</v>
      </c>
      <c r="H480" s="70" t="n">
        <v>3</v>
      </c>
      <c r="I480" s="68" t="n">
        <v>132</v>
      </c>
      <c r="J480" s="69" t="n">
        <v>3.9</v>
      </c>
      <c r="K480" s="69" t="inlineStr">
        <is>
          <t>https://amazon.com/dp/B07L5VQJQB</t>
        </is>
      </c>
      <c r="L480" s="114">
        <f>HYPERLINK(Table3559[[#This Row],[Column1]])</f>
        <v/>
      </c>
    </row>
    <row r="481" ht="45" customHeight="1" s="314">
      <c r="A481" s="35" t="inlineStr">
        <is>
          <t>Launch X431 1MM0 Plus with PROG3 Tool, All-System Diagnostics, ECU Coding Scan Tool, 39+ Services, Bi-Directional Control, 2-Year Updating</t>
        </is>
      </c>
      <c r="B481" s="35" t="inlineStr">
        <is>
          <t>B0DHZJWCDS</t>
        </is>
      </c>
      <c r="C481" s="35" t="inlineStr">
        <is>
          <t>Tablet</t>
        </is>
      </c>
      <c r="D481" s="359" t="n">
        <v>1818.083333333333</v>
      </c>
      <c r="E481" s="66" t="n">
        <v>145516.02</v>
      </c>
      <c r="F481" s="66" t="n">
        <v>5454.25</v>
      </c>
      <c r="G481" s="68" t="n">
        <v>118</v>
      </c>
      <c r="H481" s="70" t="n">
        <v>3</v>
      </c>
      <c r="I481" s="68" t="n">
        <v>21</v>
      </c>
      <c r="J481" s="69" t="n">
        <v>3.6</v>
      </c>
      <c r="K481" s="69" t="inlineStr">
        <is>
          <t>https://amazon.com/dp/B0DHZJWCDS</t>
        </is>
      </c>
      <c r="L481" s="114">
        <f>HYPERLINK(Table3559[[#This Row],[Column1]])</f>
        <v/>
      </c>
    </row>
    <row r="482" ht="45" customHeight="1" s="314">
      <c r="A482" s="35" t="inlineStr">
        <is>
          <t>Launch X431 SmartLink Heavy-Duty Diagnostic Module, Compatible with X431 PRO3S+,V+,PAD3,PAD7 for 24V HD Trucks &amp; Commercial Vehicles, Support CANFD&amp;DOIP</t>
        </is>
      </c>
      <c r="B482" s="35" t="inlineStr">
        <is>
          <t>B09W5CVX9K</t>
        </is>
      </c>
      <c r="C482" s="35" t="inlineStr">
        <is>
          <t>Handheld</t>
        </is>
      </c>
      <c r="D482" s="359" t="n">
        <v>844.9899999999999</v>
      </c>
      <c r="E482" s="66" t="n">
        <v>30973.89999999999</v>
      </c>
      <c r="F482" s="66" t="n">
        <v>2534.97</v>
      </c>
      <c r="G482" s="68" t="n">
        <v>36</v>
      </c>
      <c r="H482" s="70" t="n">
        <v>3</v>
      </c>
      <c r="I482" s="68" t="n">
        <v>9</v>
      </c>
      <c r="J482" s="69" t="n">
        <v>4.4</v>
      </c>
      <c r="K482" s="69" t="inlineStr">
        <is>
          <t>https://amazon.com/dp/B09W5CVX9K</t>
        </is>
      </c>
      <c r="L482" s="114">
        <f>HYPERLINK(Table3559[[#This Row],[Column1]])</f>
        <v/>
      </c>
    </row>
    <row r="483" ht="45" customHeight="1" s="314">
      <c r="A483" s="35" t="inlineStr">
        <is>
          <t>OBD2 Scanner, LAUNCH Millennium 90 Pro Car Code Reader DIY Full OBDII Scanner Check Engine/ABS/SRS/Transmission Diagnostic Scan Tool, Oil/EPB/BMS/DPF/SAS Reset/ABS Brake Bleed Car Scanner, Free Update</t>
        </is>
      </c>
      <c r="B483" s="35" t="inlineStr">
        <is>
          <t>B08KDLMSM2</t>
        </is>
      </c>
      <c r="C483" s="35" t="inlineStr">
        <is>
          <t>Handheld</t>
        </is>
      </c>
      <c r="D483" s="359" t="n">
        <v>132.08</v>
      </c>
      <c r="E483" s="66" t="n">
        <v>9773.960000000001</v>
      </c>
      <c r="F483" s="66" t="n">
        <v>396.24</v>
      </c>
      <c r="G483" s="68" t="n">
        <v>45</v>
      </c>
      <c r="H483" s="70" t="n">
        <v>3</v>
      </c>
      <c r="I483" s="68" t="n">
        <v>173</v>
      </c>
      <c r="J483" s="69" t="n">
        <v>4.4</v>
      </c>
      <c r="K483" s="69" t="inlineStr">
        <is>
          <t>https://amazon.com/dp/B08KDLMSM2</t>
        </is>
      </c>
      <c r="L483" s="114">
        <f>HYPERLINK(Table3559[[#This Row],[Column1]])</f>
        <v/>
      </c>
    </row>
    <row r="484" ht="30" customHeight="1" s="314">
      <c r="A484" s="35" t="inlineStr">
        <is>
          <t>LAUNCH CAN FD Connector Adapter Cable for CRP Series Scan Tool, Compatible with Creader Professional OBD2 Scanners CRP123X/E/I V3.0, CRP129X/E/I V3.0, CRP129X/E/I Plus V3.0, CRP919X/E Lite</t>
        </is>
      </c>
      <c r="B484" s="35" t="inlineStr">
        <is>
          <t>B0GQZH4WNM</t>
        </is>
      </c>
      <c r="C484" s="35" t="inlineStr">
        <is>
          <t>Tablet</t>
        </is>
      </c>
      <c r="D484" s="359" t="n">
        <v>108.44</v>
      </c>
      <c r="E484" s="66" t="n">
        <v>3727.559230769231</v>
      </c>
      <c r="F484" s="66" t="n">
        <v>325.32</v>
      </c>
      <c r="G484" s="68" t="n">
        <v>4</v>
      </c>
      <c r="H484" s="70" t="n">
        <v>3</v>
      </c>
      <c r="I484" s="68" t="n"/>
      <c r="J484" s="69" t="n"/>
      <c r="K484" s="69" t="inlineStr">
        <is>
          <t>https://amazon.com/dp/B0GQZH4WNM</t>
        </is>
      </c>
      <c r="L484" s="114">
        <f>HYPERLINK(Table3559[[#This Row],[Column1]])</f>
        <v/>
      </c>
    </row>
    <row r="485" ht="45" customHeight="1" s="314">
      <c r="A485" s="35" t="inlineStr">
        <is>
          <t>LAUNCH CRP129MT Pro Motorcycle Scanner,Fully Functional Bidirectional Scanner with Multi Resets,38+ Brands,Motorcycle scan Tool Fits for Harley, Honda, Yamaha, Indian,Suzuki,Polaris,Victory,BMW &amp; More</t>
        </is>
      </c>
      <c r="B485" s="35" t="inlineStr">
        <is>
          <t>B0FYDTN3QS</t>
        </is>
      </c>
      <c r="C485" s="35" t="inlineStr">
        <is>
          <t>Tablet</t>
        </is>
      </c>
      <c r="D485" s="359" t="n">
        <v>497.46</v>
      </c>
      <c r="E485" s="66" t="n">
        <v>19556.6923076923</v>
      </c>
      <c r="F485" s="66" t="n">
        <v>1492.38</v>
      </c>
      <c r="G485" s="68" t="n">
        <v>16</v>
      </c>
      <c r="H485" s="70" t="n">
        <v>3</v>
      </c>
      <c r="I485" s="68" t="n">
        <v>2</v>
      </c>
      <c r="J485" s="69" t="n">
        <v>3.3</v>
      </c>
      <c r="K485" s="69" t="inlineStr">
        <is>
          <t>https://amazon.com/dp/B0FYDTN3QS</t>
        </is>
      </c>
      <c r="L485" s="114">
        <f>HYPERLINK(Table3559[[#This Row],[Column1]])</f>
        <v/>
      </c>
    </row>
    <row r="486" ht="60" customHeight="1" s="314">
      <c r="A486" s="35" t="inlineStr">
        <is>
          <t>LAUNCH X431 Sensor Simulator and Tester 2 Channels Digital S2-2 Sensorbox</t>
        </is>
      </c>
      <c r="B486" s="35" t="inlineStr">
        <is>
          <t>B0CJQY7SYQ</t>
        </is>
      </c>
      <c r="C486" s="35" t="inlineStr">
        <is>
          <t>VCI</t>
        </is>
      </c>
      <c r="D486" s="359" t="n">
        <v>468.76</v>
      </c>
      <c r="E486" s="66" t="n">
        <v>10147.76461538461</v>
      </c>
      <c r="F486" s="66" t="n">
        <v>1406.28</v>
      </c>
      <c r="G486" s="68" t="n">
        <v>17</v>
      </c>
      <c r="H486" s="70" t="n">
        <v>3</v>
      </c>
      <c r="I486" s="68" t="n">
        <v>1</v>
      </c>
      <c r="J486" s="69" t="n">
        <v>5</v>
      </c>
      <c r="K486" s="69" t="inlineStr">
        <is>
          <t>https://amazon.com/dp/B0CJQY7SYQ</t>
        </is>
      </c>
      <c r="L486" s="114">
        <f>HYPERLINK(Table3559[[#This Row],[Column1]])</f>
        <v/>
      </c>
    </row>
    <row r="487" ht="60" customHeight="1" s="314">
      <c r="A487" s="35" t="inlineStr">
        <is>
          <t>LAUNCH CRP 129MT 2-in-1 Motorcycle Diagnostic Tool OBD2 Scanner, Full System Diagnostics with ECU Reset, Car OBD-II Support, Compatible with Harley/Indian/Victory/Ducati/KTM/Honda/Kawasaki and More</t>
        </is>
      </c>
      <c r="B487" s="35" t="inlineStr">
        <is>
          <t>B0FWCHXD6F</t>
        </is>
      </c>
      <c r="C487" s="35" t="inlineStr">
        <is>
          <t>Tablet</t>
        </is>
      </c>
      <c r="D487" s="359" t="n">
        <v>548.91</v>
      </c>
      <c r="E487" s="66" t="n">
        <v>21003.24307692308</v>
      </c>
      <c r="F487" s="66" t="n">
        <v>1646.73</v>
      </c>
      <c r="G487" s="68" t="n">
        <v>9</v>
      </c>
      <c r="H487" s="70" t="n">
        <v>3</v>
      </c>
      <c r="I487" s="68" t="n"/>
      <c r="J487" s="69" t="n"/>
      <c r="K487" s="69" t="inlineStr">
        <is>
          <t>https://amazon.com/dp/B0FWCHXD6F</t>
        </is>
      </c>
      <c r="L487" s="114">
        <f>HYPERLINK(Table3559[[#This Row],[Column1]])</f>
        <v/>
      </c>
    </row>
    <row r="488" ht="45" customHeight="1" s="314">
      <c r="A488" s="35" t="inlineStr">
        <is>
          <t>LAUNCH X431 PRO3 (V+) V5.0 Scanner, 2026 Upgrade All-in-One Bidirectional Scan Tool, Topology Map, Scan HD Trucks, DBSCar VII VCI, 55+ Services&amp;Online Coding, All System,CANFD&amp;DOIP, 2-Year Free Update</t>
        </is>
      </c>
      <c r="B488" s="35" t="inlineStr">
        <is>
          <t>B00NID586M</t>
        </is>
      </c>
      <c r="C488" s="35" t="inlineStr">
        <is>
          <t>Tablet</t>
        </is>
      </c>
      <c r="D488" s="359" t="n">
        <v>1000.946666666667</v>
      </c>
      <c r="E488" s="66" t="n">
        <v>198486.97</v>
      </c>
      <c r="F488" s="66" t="n">
        <v>3002.84</v>
      </c>
      <c r="G488" s="68" t="n">
        <v>188</v>
      </c>
      <c r="H488" s="70" t="n">
        <v>3</v>
      </c>
      <c r="I488" s="68" t="n">
        <v>1401</v>
      </c>
      <c r="J488" s="69" t="n">
        <v>4.3</v>
      </c>
      <c r="K488" s="69" t="inlineStr">
        <is>
          <t>https://amazon.com/dp/B00NID586M</t>
        </is>
      </c>
      <c r="L488" s="114">
        <f>HYPERLINK(Table3559[[#This Row],[Column1]])</f>
        <v/>
      </c>
    </row>
    <row r="489" ht="45" customHeight="1" s="314">
      <c r="A489" s="35" t="inlineStr">
        <is>
          <t>LAUNCH CRP123I V2.0 Elite OBD2 Scanner, 2026 Upgraded Diagnostic Scan Tool with 7 Reset, Oil/SAS/Throttle/Brake/BMS/DPF Reset/ABS Bleeding, Multi System Code Reader, Lifetime Free Update, FCA SGW</t>
        </is>
      </c>
      <c r="B489" s="35" t="inlineStr">
        <is>
          <t>B0DKH9HZNY</t>
        </is>
      </c>
      <c r="C489" s="35" t="inlineStr">
        <is>
          <t>Tablet</t>
        </is>
      </c>
      <c r="D489" s="359" t="n">
        <v>176.64</v>
      </c>
      <c r="E489" s="66" t="n">
        <v>36119.60692307692</v>
      </c>
      <c r="F489" s="66" t="n">
        <v>529.92</v>
      </c>
      <c r="G489" s="68" t="n">
        <v>210</v>
      </c>
      <c r="H489" s="70" t="n">
        <v>3</v>
      </c>
      <c r="I489" s="68" t="n">
        <v>42</v>
      </c>
      <c r="J489" s="69" t="n">
        <v>4.2</v>
      </c>
      <c r="K489" s="69" t="inlineStr">
        <is>
          <t>https://amazon.com/dp/B0DKH9HZNY</t>
        </is>
      </c>
      <c r="L489" s="114">
        <f>HYPERLINK(Table3559[[#This Row],[Column1]])</f>
        <v/>
      </c>
    </row>
    <row r="490" ht="45" customHeight="1" s="314">
      <c r="A490" s="35" t="inlineStr">
        <is>
          <t>LAUNCH X431 PROS V Bidirectional Scan Tool, 2026 Full System Diagnostic Scanner, 2 Years Free Update, Calibration &amp; Matching, 38+ Services, AutoAuth FCA SGW, V.A.G Guided, CAN FD, Same As X431 PRO3</t>
        </is>
      </c>
      <c r="B490" s="35" t="inlineStr">
        <is>
          <t>B098B6HVGG</t>
        </is>
      </c>
      <c r="C490" s="35" t="inlineStr">
        <is>
          <t>Tablet</t>
        </is>
      </c>
      <c r="D490" s="359" t="n">
        <v>476.07</v>
      </c>
      <c r="E490" s="66" t="n">
        <v>37886.48</v>
      </c>
      <c r="F490" s="66" t="n">
        <v>952.14</v>
      </c>
      <c r="G490" s="68" t="n">
        <v>88</v>
      </c>
      <c r="H490" s="70" t="n">
        <v>2</v>
      </c>
      <c r="I490" s="68" t="n">
        <v>74</v>
      </c>
      <c r="J490" s="69" t="n">
        <v>4.1</v>
      </c>
      <c r="K490" s="69" t="inlineStr">
        <is>
          <t>https://amazon.com/dp/B098B6HVGG</t>
        </is>
      </c>
      <c r="L490" s="114">
        <f>HYPERLINK(Table3559[[#This Row],[Column1]])</f>
        <v/>
      </c>
    </row>
    <row r="491" ht="45" customHeight="1" s="314">
      <c r="A491" s="35" t="inlineStr">
        <is>
          <t>LAUNCH TECH USA 301050344 Millennium 80 Reset Tool</t>
        </is>
      </c>
      <c r="B491" s="35" t="inlineStr">
        <is>
          <t>B073WKR8TV</t>
        </is>
      </c>
      <c r="C491" s="35" t="inlineStr">
        <is>
          <t>Handheld</t>
        </is>
      </c>
      <c r="D491" s="359" t="n">
        <v>39.955</v>
      </c>
      <c r="E491" s="66" t="n">
        <v>625.23</v>
      </c>
      <c r="F491" s="66" t="n">
        <v>79.91</v>
      </c>
      <c r="G491" s="68" t="n">
        <v>14</v>
      </c>
      <c r="H491" s="70" t="n">
        <v>2</v>
      </c>
      <c r="I491" s="68" t="n">
        <v>3</v>
      </c>
      <c r="J491" s="69" t="n">
        <v>5</v>
      </c>
      <c r="K491" s="69" t="inlineStr">
        <is>
          <t>https://amazon.com/dp/B073WKR8TV</t>
        </is>
      </c>
      <c r="L491" s="114">
        <f>HYPERLINK(Table3559[[#This Row],[Column1]])</f>
        <v/>
      </c>
    </row>
    <row r="492" ht="60" customHeight="1" s="314">
      <c r="A492" s="35" t="inlineStr">
        <is>
          <t>LAUNCH CRP129I V3.0 OBD2 Scanner, 2026 Lifetime Free Update Scan Tool with 12 Reset, ABS Bleeding/TPMS/Oil/EPB/SAS/BMS/Adblue/Headlamp/Throttle Reset, Injector Coding, Auto VIN, Battery Test</t>
        </is>
      </c>
      <c r="B492" s="35" t="inlineStr">
        <is>
          <t>B0CDRMHDJX</t>
        </is>
      </c>
      <c r="C492" s="35" t="inlineStr">
        <is>
          <t>Tablet</t>
        </is>
      </c>
      <c r="D492" s="359" t="n">
        <v>196.625</v>
      </c>
      <c r="E492" s="66" t="n">
        <v>14442.34</v>
      </c>
      <c r="F492" s="66" t="n">
        <v>393.25</v>
      </c>
      <c r="G492" s="68" t="n">
        <v>58</v>
      </c>
      <c r="H492" s="70" t="n">
        <v>2</v>
      </c>
      <c r="I492" s="68" t="n">
        <v>59</v>
      </c>
      <c r="J492" s="69" t="n">
        <v>4.4</v>
      </c>
      <c r="K492" s="69" t="inlineStr">
        <is>
          <t>https://amazon.com/dp/B0CDRMHDJX</t>
        </is>
      </c>
      <c r="L492" s="114">
        <f>HYPERLINK(Table3559[[#This Row],[Column1]])</f>
        <v/>
      </c>
    </row>
    <row r="493" ht="45" customHeight="1" s="314">
      <c r="A493" s="35" t="inlineStr">
        <is>
          <t>LAUNCH OBD2 Scanner 2026 New CRP129X V2.0 (Upgraded of CRP129X,CRP123X Car Scanner), 12 Resets Scan Tool, Android 8.1 AutoVIN, 4 System Diagnostic Scanner,r, Lifetime Update, 5 Years Backup</t>
        </is>
      </c>
      <c r="B493" s="35" t="inlineStr">
        <is>
          <t>B08JCP3VQQ</t>
        </is>
      </c>
      <c r="C493" s="35" t="inlineStr">
        <is>
          <t>Tablet</t>
        </is>
      </c>
      <c r="D493" s="359" t="n">
        <v>238.98</v>
      </c>
      <c r="E493" s="66" t="n">
        <v>15459.24</v>
      </c>
      <c r="F493" s="66" t="n">
        <v>477.96</v>
      </c>
      <c r="G493" s="68" t="n">
        <v>60</v>
      </c>
      <c r="H493" s="70" t="n">
        <v>2</v>
      </c>
      <c r="I493" s="68" t="n">
        <v>169</v>
      </c>
      <c r="J493" s="69" t="n">
        <v>4</v>
      </c>
      <c r="K493" s="69" t="inlineStr">
        <is>
          <t>https://amazon.com/dp/B08JCP3VQQ</t>
        </is>
      </c>
      <c r="L493" s="114">
        <f>HYPERLINK(Table3559[[#This Row],[Column1]])</f>
        <v/>
      </c>
    </row>
    <row r="494" ht="45" customHeight="1" s="314">
      <c r="A494" s="35" t="inlineStr">
        <is>
          <t>LAUNCH (301050139 CReader VII Code Reader with Oil Light Reset</t>
        </is>
      </c>
      <c r="B494" s="35" t="inlineStr">
        <is>
          <t>B00GNO6L7S</t>
        </is>
      </c>
      <c r="C494" s="35" t="inlineStr">
        <is>
          <t>Handheld</t>
        </is>
      </c>
      <c r="D494" s="359" t="n">
        <v>74.69</v>
      </c>
      <c r="E494" s="66" t="n">
        <v>3066.55</v>
      </c>
      <c r="F494" s="66" t="n">
        <v>149.38</v>
      </c>
      <c r="G494" s="68" t="n">
        <v>43</v>
      </c>
      <c r="H494" s="70" t="n">
        <v>2</v>
      </c>
      <c r="I494" s="68" t="n">
        <v>53</v>
      </c>
      <c r="J494" s="69" t="n">
        <v>4.1</v>
      </c>
      <c r="K494" s="69" t="inlineStr">
        <is>
          <t>https://amazon.com/dp/B00GNO6L7S</t>
        </is>
      </c>
      <c r="L494" s="114">
        <f>HYPERLINK(Table3559[[#This Row],[Column1]])</f>
        <v/>
      </c>
    </row>
    <row r="495" ht="45" customHeight="1" s="314">
      <c r="A495" s="35" t="inlineStr">
        <is>
          <t>LAUNCH SmartLink OBD2 Scanner Extension Cable with RJ45 to DB9/OBD2 Female Adapter, 23cm Compatible with X431 V+, CRP123, Diagun V for iPhone iPad Android, Bi-Directional Controls &amp; ECU Coding</t>
        </is>
      </c>
      <c r="B495" s="35" t="inlineStr">
        <is>
          <t>B0G49TTMTJ</t>
        </is>
      </c>
      <c r="C495" s="35" t="inlineStr">
        <is>
          <t>Tablet</t>
        </is>
      </c>
      <c r="D495" s="359" t="n">
        <v>56.19</v>
      </c>
      <c r="E495" s="66" t="n">
        <v>1299.439230769231</v>
      </c>
      <c r="F495" s="66" t="n">
        <v>112.38</v>
      </c>
      <c r="G495" s="68" t="n">
        <v>3</v>
      </c>
      <c r="H495" s="70" t="n">
        <v>2</v>
      </c>
      <c r="I495" s="68" t="n"/>
      <c r="J495" s="69" t="n"/>
      <c r="K495" s="69" t="inlineStr">
        <is>
          <t>https://amazon.com/dp/B0G49TTMTJ</t>
        </is>
      </c>
      <c r="L495" s="114">
        <f>HYPERLINK(Table3559[[#This Row],[Column1]])</f>
        <v/>
      </c>
    </row>
    <row r="496" ht="45" customHeight="1" s="314">
      <c r="A496" s="35" t="inlineStr">
        <is>
          <t>Launch X431 1MM* Elite with X-PROG3 pr0grammér, K** Pr0gramming Tool, ECU Cl**é, Reading P1*N (All L0st), All System Diagnostic Scan Tool, 39 Services, Bidirectional Scan Tool, FCA AutoAuth, CAN-FD</t>
        </is>
      </c>
      <c r="B496" s="35" t="inlineStr">
        <is>
          <t>B0FCSJKBQ8</t>
        </is>
      </c>
      <c r="C496" s="35" t="inlineStr">
        <is>
          <t>Tablet</t>
        </is>
      </c>
      <c r="D496" s="359" t="n">
        <v>916.855</v>
      </c>
      <c r="E496" s="66" t="n">
        <v>31550.01692307692</v>
      </c>
      <c r="F496" s="66" t="n">
        <v>1833.71</v>
      </c>
      <c r="G496" s="68" t="n">
        <v>19</v>
      </c>
      <c r="H496" s="70" t="n">
        <v>2</v>
      </c>
      <c r="I496" s="68" t="n">
        <v>3</v>
      </c>
      <c r="J496" s="69" t="n">
        <v>5</v>
      </c>
      <c r="K496" s="69" t="inlineStr">
        <is>
          <t>https://amazon.com/dp/B0FCSJKBQ8</t>
        </is>
      </c>
      <c r="L496" s="114">
        <f>HYPERLINK(Table3559[[#This Row],[Column1]])</f>
        <v/>
      </c>
    </row>
    <row r="497" ht="45" customHeight="1" s="314">
      <c r="A497" s="35" t="inlineStr">
        <is>
          <t>LAUNCH CRP DoIP Connector Adapter Cable with USB-C and 16-Pin Male to DB-15 Female Connector for Creader Professional CRP Series Diagnostic Scanner</t>
        </is>
      </c>
      <c r="B497" s="35" t="inlineStr">
        <is>
          <t>B0GKF648YW</t>
        </is>
      </c>
      <c r="C497" s="35" t="inlineStr">
        <is>
          <t>Cable/Adapter</t>
        </is>
      </c>
      <c r="D497" s="359" t="n">
        <v>99.955</v>
      </c>
      <c r="E497" s="66" t="n">
        <v>2414.297692307693</v>
      </c>
      <c r="F497" s="66" t="n">
        <v>199.91</v>
      </c>
      <c r="G497" s="68" t="n">
        <v>2</v>
      </c>
      <c r="H497" s="70" t="n">
        <v>2</v>
      </c>
      <c r="I497" s="68" t="n"/>
      <c r="J497" s="69" t="n"/>
      <c r="K497" s="69" t="inlineStr">
        <is>
          <t>https://amazon.com/dp/B0GKF648YW</t>
        </is>
      </c>
      <c r="L497" s="114">
        <f>HYPERLINK(Table3559[[#This Row],[Column1]])</f>
        <v/>
      </c>
    </row>
    <row r="498" ht="30" customHeight="1" s="314">
      <c r="A498" s="35" t="inlineStr">
        <is>
          <t>LAUNCH Elite ABS Bleeding Scan Tool,Engine Transmission ABS SRS OBD2 Scanner Diagnostic Tool,Throttle Reset Code Reader,Lifetime Online Update,4'' Touch Screen,AUTO VIN,Battery Test,Live Data Graph</t>
        </is>
      </c>
      <c r="B498" s="35" t="inlineStr">
        <is>
          <t>B09CYFY2VD</t>
        </is>
      </c>
      <c r="C498" s="35" t="inlineStr">
        <is>
          <t>Handheld</t>
        </is>
      </c>
      <c r="D498" s="359" t="n">
        <v>114.555</v>
      </c>
      <c r="E498" s="66" t="n">
        <v>5481.05</v>
      </c>
      <c r="F498" s="66" t="n">
        <v>229.11</v>
      </c>
      <c r="G498" s="68" t="n">
        <v>52</v>
      </c>
      <c r="H498" s="70" t="n">
        <v>2</v>
      </c>
      <c r="I498" s="68" t="n">
        <v>100</v>
      </c>
      <c r="J498" s="69" t="n">
        <v>3.1</v>
      </c>
      <c r="K498" s="69" t="inlineStr">
        <is>
          <t>https://amazon.com/dp/B09CYFY2VD</t>
        </is>
      </c>
      <c r="L498" s="114">
        <f>HYPERLINK(Table3559[[#This Row],[Column1]])</f>
        <v/>
      </c>
    </row>
    <row r="499" ht="45" customHeight="1" s="314">
      <c r="A499" s="35" t="inlineStr">
        <is>
          <t>LAUNCH CRE Elite HD-H Heavy Duty Semi Truck Scanner, DPF Forced Regen for Hino, Bidirectional Full System Diesel Diagnostic Scan Tool</t>
        </is>
      </c>
      <c r="B499" s="35" t="inlineStr">
        <is>
          <t>B0F1Y69MX2</t>
        </is>
      </c>
      <c r="C499" s="35" t="inlineStr">
        <is>
          <t>Tablet</t>
        </is>
      </c>
      <c r="D499" s="359" t="n">
        <v>429</v>
      </c>
      <c r="E499" s="66" t="n">
        <v>9526.059999999999</v>
      </c>
      <c r="F499" s="66" t="n">
        <v>858</v>
      </c>
      <c r="G499" s="68" t="n">
        <v>15</v>
      </c>
      <c r="H499" s="70" t="n">
        <v>2</v>
      </c>
      <c r="I499" s="68" t="n"/>
      <c r="J499" s="69" t="n"/>
      <c r="K499" s="69" t="inlineStr">
        <is>
          <t>https://amazon.com/dp/B0F1Y69MX2</t>
        </is>
      </c>
      <c r="L499" s="114">
        <f>HYPERLINK(Table3559[[#This Row],[Column1]])</f>
        <v/>
      </c>
    </row>
    <row r="500" ht="45" customHeight="1" s="314">
      <c r="A500" s="35" t="inlineStr">
        <is>
          <t>LAUNCH CRE Elite HD-is Heavy Duty Semi Truck Scanner, DPF Regen for Isuzu, Bidirectional Full System Diesel Diagnostic Scan Tool</t>
        </is>
      </c>
      <c r="B500" s="35" t="inlineStr">
        <is>
          <t>B0F1Y369PY</t>
        </is>
      </c>
      <c r="C500" s="35" t="inlineStr">
        <is>
          <t>Tablet</t>
        </is>
      </c>
      <c r="D500" s="359" t="n">
        <v>527.95</v>
      </c>
      <c r="E500" s="66" t="n">
        <v>16883.29769230769</v>
      </c>
      <c r="F500" s="66" t="n">
        <v>1055.9</v>
      </c>
      <c r="G500" s="68" t="n">
        <v>30</v>
      </c>
      <c r="H500" s="70" t="n">
        <v>2</v>
      </c>
      <c r="I500" s="68" t="n">
        <v>2</v>
      </c>
      <c r="J500" s="69" t="n">
        <v>5</v>
      </c>
      <c r="K500" s="69" t="inlineStr">
        <is>
          <t>https://amazon.com/dp/B0F1Y369PY</t>
        </is>
      </c>
      <c r="L500" s="114">
        <f>HYPERLINK(Table3559[[#This Row],[Column1]])</f>
        <v/>
      </c>
    </row>
    <row r="501" ht="45" customHeight="1" s="314">
      <c r="A501" s="35" t="inlineStr">
        <is>
          <t>LAUNCH CRP129I OBD2 Scanner, 2026 FCA AutoAuth, Next-Gen, 8 Resets Oil/EPB/SAS/TPMS/BMS/Throttle/DPF Reset/Injector Coding, ABS SRS Transmission Engine Code Reader, Lifetime Free Update</t>
        </is>
      </c>
      <c r="B501" s="35" t="inlineStr">
        <is>
          <t>B0CSW76T88</t>
        </is>
      </c>
      <c r="C501" s="35" t="inlineStr">
        <is>
          <t>Tablet</t>
        </is>
      </c>
      <c r="D501" s="359" t="n">
        <v>277.22</v>
      </c>
      <c r="E501" s="66" t="n">
        <v>19406.69</v>
      </c>
      <c r="F501" s="66" t="n">
        <v>554.4400000000001</v>
      </c>
      <c r="G501" s="68" t="n">
        <v>75</v>
      </c>
      <c r="H501" s="70" t="n">
        <v>2</v>
      </c>
      <c r="I501" s="68" t="n">
        <v>50</v>
      </c>
      <c r="J501" s="69" t="n">
        <v>4.1</v>
      </c>
      <c r="K501" s="69" t="inlineStr">
        <is>
          <t>https://amazon.com/dp/B0CSW76T88</t>
        </is>
      </c>
      <c r="L501" s="114">
        <f>HYPERLINK(Table3559[[#This Row],[Column1]])</f>
        <v/>
      </c>
    </row>
    <row r="502" ht="60" customHeight="1" s="314">
      <c r="A502" s="35" t="inlineStr">
        <is>
          <t>Launch X431 PADIII Scan Tool Global Ver. (Upgraded of X431 V+, X431 PROS) 50+ Reset OE-Level Bi-Directional All System Diagnostic Tool, Free Update</t>
        </is>
      </c>
      <c r="B502" s="35" t="inlineStr">
        <is>
          <t>B0G2Q4PXNC</t>
        </is>
      </c>
      <c r="C502" s="35" t="inlineStr">
        <is>
          <t>Tablet</t>
        </is>
      </c>
      <c r="D502" s="359" t="n">
        <v>921.135</v>
      </c>
      <c r="E502" s="66" t="n">
        <v>20314.52538461538</v>
      </c>
      <c r="F502" s="66" t="n">
        <v>1842.27</v>
      </c>
      <c r="G502" s="68" t="n">
        <v>8</v>
      </c>
      <c r="H502" s="70" t="n">
        <v>2</v>
      </c>
      <c r="I502" s="68" t="n">
        <v>736</v>
      </c>
      <c r="J502" s="69" t="n">
        <v>4.2</v>
      </c>
      <c r="K502" s="69" t="inlineStr">
        <is>
          <t>https://amazon.com/dp/B0G2Q4PXNC</t>
        </is>
      </c>
      <c r="L502" s="114">
        <f>HYPERLINK(Table3559[[#This Row],[Column1]])</f>
        <v/>
      </c>
    </row>
    <row r="503" ht="45" customHeight="1" s="314">
      <c r="A503" s="35" t="inlineStr">
        <is>
          <t>LAUNCH Non-16 Pin Adapter Kit Work for LAUNCH CRP919E BT/ CRP919X BT X431 [X431 V/PROS, X431 V/V+ PRO S+/3S+/5/Mini, PAD III/V/VII] OE-Standard Connectors for 1996-2002 Vehicles</t>
        </is>
      </c>
      <c r="B503" s="35" t="inlineStr">
        <is>
          <t>B0D6276F4J</t>
        </is>
      </c>
      <c r="C503" s="35" t="inlineStr">
        <is>
          <t>Cable/Adapter</t>
        </is>
      </c>
      <c r="D503" s="359" t="n">
        <v>142.78</v>
      </c>
      <c r="E503" s="66" t="n">
        <v>2792.755384615385</v>
      </c>
      <c r="F503" s="66" t="n">
        <v>285.56</v>
      </c>
      <c r="G503" s="68" t="n">
        <v>13</v>
      </c>
      <c r="H503" s="70" t="n">
        <v>2</v>
      </c>
      <c r="I503" s="68" t="n">
        <v>1</v>
      </c>
      <c r="J503" s="69" t="n">
        <v>5</v>
      </c>
      <c r="K503" s="69" t="inlineStr">
        <is>
          <t>https://amazon.com/dp/B0D6276F4J</t>
        </is>
      </c>
      <c r="L503" s="114">
        <f>HYPERLINK(Table3559[[#This Row],[Column1]])</f>
        <v/>
      </c>
    </row>
    <row r="504" ht="45" customHeight="1" s="314">
      <c r="A504" s="35" t="inlineStr">
        <is>
          <t>LAUNCH CRP129E Plus OBD2 Scanner, All-in-ONE Full System Diagnostic Scan Tool, Lifetime Free Update, 12 Reset Oil/TPMS/EPB/SAS/BMS/Throttle Reset, Injector Coding, FCA AutoAuth, Battery Test,Auto VIN</t>
        </is>
      </c>
      <c r="B504" s="35" t="inlineStr">
        <is>
          <t>B0CL2BPJ47</t>
        </is>
      </c>
      <c r="C504" s="35" t="inlineStr">
        <is>
          <t>Tablet</t>
        </is>
      </c>
      <c r="D504" s="359" t="n">
        <v>335.31</v>
      </c>
      <c r="E504" s="66" t="n">
        <v>10408.12384615385</v>
      </c>
      <c r="F504" s="66" t="n">
        <v>670.62</v>
      </c>
      <c r="G504" s="68" t="n">
        <v>38</v>
      </c>
      <c r="H504" s="70" t="n">
        <v>2</v>
      </c>
      <c r="I504" s="68" t="n">
        <v>35</v>
      </c>
      <c r="J504" s="69" t="n">
        <v>4.2</v>
      </c>
      <c r="K504" s="69" t="inlineStr">
        <is>
          <t>https://amazon.com/dp/B0CL2BPJ47</t>
        </is>
      </c>
      <c r="L504" s="114">
        <f>HYPERLINK(Table3559[[#This Row],[Column1]])</f>
        <v/>
      </c>
    </row>
    <row r="505" ht="45" customHeight="1" s="314">
      <c r="A505" s="35" t="inlineStr">
        <is>
          <t>LAUNCH Millennium HD ProA Heavy Duty Truck Scanner All System Diesel Diagnostic Scan Tool with 8 Service Functions, for Freightliner Peterbilt Kenworth Western Star Mack (Use in the US &amp; CAN)</t>
        </is>
      </c>
      <c r="B505" s="35" t="inlineStr">
        <is>
          <t>B08QGK7QJW</t>
        </is>
      </c>
      <c r="C505" s="35" t="inlineStr">
        <is>
          <t>Tablet</t>
        </is>
      </c>
      <c r="D505" s="359" t="n">
        <v>539.455</v>
      </c>
      <c r="E505" s="66" t="n">
        <v>19639.11</v>
      </c>
      <c r="F505" s="66" t="n">
        <v>1078.91</v>
      </c>
      <c r="G505" s="68" t="n">
        <v>41</v>
      </c>
      <c r="H505" s="70" t="n">
        <v>2</v>
      </c>
      <c r="I505" s="68" t="n">
        <v>3</v>
      </c>
      <c r="J505" s="69" t="n">
        <v>3.5</v>
      </c>
      <c r="K505" s="69" t="inlineStr">
        <is>
          <t>https://amazon.com/dp/B08QGK7QJW</t>
        </is>
      </c>
      <c r="L505" s="114">
        <f>HYPERLINK(Table3559[[#This Row],[Column1]])</f>
        <v/>
      </c>
    </row>
    <row r="506" ht="45" customHeight="1" s="314">
      <c r="A506" s="35" t="inlineStr">
        <is>
          <t>2026 LAUNCH CRP129HD Heavy Duty Truck Scanner with DPF Regen, Speed Limit Adjust Reset, Full System Diesel Semi Truck Diagnostic Tool &amp; Code Reader for Cummins Detroit International Paccar</t>
        </is>
      </c>
      <c r="B506" s="35" t="inlineStr">
        <is>
          <t>B0FQB6SXX8</t>
        </is>
      </c>
      <c r="C506" s="35" t="inlineStr">
        <is>
          <t>Tablet</t>
        </is>
      </c>
      <c r="D506" s="359" t="n">
        <v>442.425</v>
      </c>
      <c r="E506" s="66" t="n">
        <v>10303.56153846154</v>
      </c>
      <c r="F506" s="66" t="n">
        <v>884.85</v>
      </c>
      <c r="G506" s="68" t="n">
        <v>7</v>
      </c>
      <c r="H506" s="70" t="n">
        <v>2</v>
      </c>
      <c r="I506" s="68" t="n">
        <v>1</v>
      </c>
      <c r="J506" s="69" t="n">
        <v>4</v>
      </c>
      <c r="K506" s="69" t="inlineStr">
        <is>
          <t>https://amazon.com/dp/B0FQB6SXX8</t>
        </is>
      </c>
      <c r="L506" s="114">
        <f>HYPERLINK(Table3559[[#This Row],[Column1]])</f>
        <v/>
      </c>
    </row>
    <row r="507" ht="45" customHeight="1" s="314">
      <c r="A507" s="35" t="inlineStr">
        <is>
          <t>LAUNCH CR319 OBD2 Scanner, 2026 Upgrade Ver. Engine Fault Code Reader,Support O2 Sensor,Lifetime Free Update,Scanner for All OBDII Protocol Cars Since 1996</t>
        </is>
      </c>
      <c r="B507" s="35" t="inlineStr">
        <is>
          <t>B07N5ZGJ2M</t>
        </is>
      </c>
      <c r="C507" s="35" t="inlineStr">
        <is>
          <t>Handheld</t>
        </is>
      </c>
      <c r="D507" s="359" t="n">
        <v>32.13</v>
      </c>
      <c r="E507" s="66" t="n">
        <v>610.4469230769231</v>
      </c>
      <c r="F507" s="66" t="n">
        <v>32.13</v>
      </c>
      <c r="G507" s="68" t="n">
        <v>24</v>
      </c>
      <c r="H507" s="70" t="n">
        <v>1</v>
      </c>
      <c r="I507" s="68" t="n">
        <v>736</v>
      </c>
      <c r="J507" s="69" t="n">
        <v>4.2</v>
      </c>
      <c r="K507" s="69" t="inlineStr">
        <is>
          <t>https://amazon.com/dp/B07N5ZGJ2M</t>
        </is>
      </c>
      <c r="L507" s="114">
        <f>HYPERLINK(Table3559[[#This Row],[Column1]])</f>
        <v/>
      </c>
    </row>
    <row r="508" ht="45" customHeight="1" s="314">
      <c r="A508" s="35" t="inlineStr">
        <is>
          <t>Launch X431 PRO Dyno Bidirectional Scan Tool, ECU Coding Online Offline, 38 HOT Services, CANFD DoIP, FCA SGW, 8 Expansion Modules</t>
        </is>
      </c>
      <c r="B508" s="35" t="inlineStr">
        <is>
          <t>B0F3D296G2</t>
        </is>
      </c>
      <c r="C508" s="35" t="inlineStr">
        <is>
          <t>Tablet</t>
        </is>
      </c>
      <c r="D508" s="359" t="n">
        <v>431.46</v>
      </c>
      <c r="E508" s="66" t="n">
        <v>6673.500000000001</v>
      </c>
      <c r="F508" s="66" t="n">
        <v>431.46</v>
      </c>
      <c r="G508" s="68" t="n">
        <v>8</v>
      </c>
      <c r="H508" s="70" t="n">
        <v>1</v>
      </c>
      <c r="I508" s="68" t="n">
        <v>1</v>
      </c>
      <c r="J508" s="69" t="n">
        <v>5</v>
      </c>
      <c r="K508" s="69" t="inlineStr">
        <is>
          <t>https://amazon.com/dp/B0F3D296G2</t>
        </is>
      </c>
      <c r="L508" s="114">
        <f>HYPERLINK(Table3559[[#This Row],[Column1]])</f>
        <v/>
      </c>
    </row>
    <row r="509" ht="30" customHeight="1" s="314">
      <c r="A509" s="35" t="inlineStr">
        <is>
          <t>LAUNCH Creader Elite HD-C Heavy Duty Truck Scanner for Caterpillar, All System Active Test Diesel Diagnostic Tool-25 Calibration/Reset Special Service, 4-in-1 Live Graph Data Car Scan Tool</t>
        </is>
      </c>
      <c r="B509" s="35" t="inlineStr">
        <is>
          <t>B0DQ3YVKZS</t>
        </is>
      </c>
      <c r="C509" s="35" t="inlineStr">
        <is>
          <t>Tablet</t>
        </is>
      </c>
      <c r="D509" s="359" t="n">
        <v>505.32</v>
      </c>
      <c r="E509" s="66" t="n">
        <v>3658.106923076923</v>
      </c>
      <c r="F509" s="66" t="n">
        <v>505.32</v>
      </c>
      <c r="G509" s="68" t="n">
        <v>4</v>
      </c>
      <c r="H509" s="70" t="n">
        <v>1</v>
      </c>
      <c r="I509" s="68" t="n"/>
      <c r="J509" s="69" t="n"/>
      <c r="K509" s="69" t="inlineStr">
        <is>
          <t>https://amazon.com/dp/B0DQ3YVKZS</t>
        </is>
      </c>
      <c r="L509" s="114">
        <f>HYPERLINK(Table3559[[#This Row],[Column1]])</f>
        <v/>
      </c>
    </row>
    <row r="510" ht="17" customHeight="1" s="314">
      <c r="A510" s="35" t="inlineStr">
        <is>
          <t>LAUNCH Original X-431 OBD2 Extension Cable 16-Pin Male to Female OBDII Extend Adapter for Car OBD Diagnostic Extender Cord Connector - 1.2ft/36.5cm</t>
        </is>
      </c>
      <c r="B510" s="35" t="inlineStr">
        <is>
          <t>B0DWRVQT25</t>
        </is>
      </c>
      <c r="C510" s="35" t="inlineStr">
        <is>
          <t>Cable/Adapter</t>
        </is>
      </c>
      <c r="D510" s="359" t="n">
        <v>11.58</v>
      </c>
      <c r="E510" s="66" t="n">
        <v>294.7</v>
      </c>
      <c r="F510" s="66" t="n">
        <v>11.58</v>
      </c>
      <c r="G510" s="68" t="n">
        <v>27</v>
      </c>
      <c r="H510" s="70" t="n">
        <v>1</v>
      </c>
      <c r="I510" s="68" t="n">
        <v>11</v>
      </c>
      <c r="J510" s="69" t="n">
        <v>4.8</v>
      </c>
      <c r="K510" s="69" t="inlineStr">
        <is>
          <t>https://amazon.com/dp/B0DWRVQT25</t>
        </is>
      </c>
      <c r="L510" s="114">
        <f>HYPERLINK(Table3559[[#This Row],[Column1]])</f>
        <v/>
      </c>
    </row>
    <row r="511" ht="45" customHeight="1" s="314">
      <c r="A511" s="35" t="inlineStr">
        <is>
          <t>LAUNCH 301050231 CRP 123 Premium</t>
        </is>
      </c>
      <c r="B511" s="35" t="inlineStr">
        <is>
          <t>B01N480P72</t>
        </is>
      </c>
      <c r="C511" s="35" t="inlineStr">
        <is>
          <t>Tablet</t>
        </is>
      </c>
      <c r="D511" s="359" t="n">
        <v>210.29</v>
      </c>
      <c r="E511" s="66" t="n">
        <v>1424.98</v>
      </c>
      <c r="F511" s="66" t="n">
        <v>210.29</v>
      </c>
      <c r="G511" s="68" t="n">
        <v>8</v>
      </c>
      <c r="H511" s="70" t="n">
        <v>1</v>
      </c>
      <c r="I511" s="68" t="n">
        <v>221</v>
      </c>
      <c r="J511" s="69" t="n">
        <v>4</v>
      </c>
      <c r="K511" s="69" t="inlineStr">
        <is>
          <t>https://amazon.com/dp/B01N480P72</t>
        </is>
      </c>
      <c r="L511" s="114">
        <f>HYPERLINK(Table3559[[#This Row],[Column1]])</f>
        <v/>
      </c>
    </row>
    <row r="512" ht="45" customHeight="1" s="314">
      <c r="A512" s="35" t="inlineStr">
        <is>
          <t>LAUNCH X431 Remote Assisted Diagnostic Tool, Heavy Duty Truck Scanner, Bidirectional Diesel Scan Tool for 24V HD Trucks &amp; Commercial Vehicle, Support CANFD&amp;DOIP, Semi Trucks All System Diagnostic Tool</t>
        </is>
      </c>
      <c r="B512" s="35" t="inlineStr">
        <is>
          <t>B0D8FPG2LW</t>
        </is>
      </c>
      <c r="C512" s="35" t="inlineStr">
        <is>
          <t>VCI</t>
        </is>
      </c>
      <c r="D512" s="359" t="n">
        <v>887.4299999999999</v>
      </c>
      <c r="E512" s="66" t="n">
        <v>6290.97</v>
      </c>
      <c r="F512" s="66" t="n">
        <v>887.4299999999999</v>
      </c>
      <c r="G512" s="68" t="n">
        <v>7</v>
      </c>
      <c r="H512" s="70" t="n">
        <v>1</v>
      </c>
      <c r="I512" s="68" t="n">
        <v>1</v>
      </c>
      <c r="J512" s="69" t="n">
        <v>5</v>
      </c>
      <c r="K512" s="69" t="inlineStr">
        <is>
          <t>https://amazon.com/dp/B0D8FPG2LW</t>
        </is>
      </c>
      <c r="L512" s="114">
        <f>HYPERLINK(Table3559[[#This Row],[Column1]])</f>
        <v/>
      </c>
    </row>
    <row r="513" ht="30" customHeight="1" s="314">
      <c r="A513" s="35" t="inlineStr">
        <is>
          <t>2026 LAUNCH CRP909E Elite OBD2 Scanner, OE-Level Full System Car Diagnostic Tool, 28+ Reset Service, Injector Code, SAS, ABS Bleeding, Auto VIN, 2 Years Free Update</t>
        </is>
      </c>
      <c r="B513" s="35" t="inlineStr">
        <is>
          <t>B089Y3T3BJ</t>
        </is>
      </c>
      <c r="C513" s="35" t="inlineStr">
        <is>
          <t>Tablet</t>
        </is>
      </c>
      <c r="D513" s="359" t="n">
        <v>398.75</v>
      </c>
      <c r="E513" s="66" t="n">
        <v>5116.675384615383</v>
      </c>
      <c r="F513" s="66" t="n">
        <v>398.75</v>
      </c>
      <c r="G513" s="68" t="n">
        <v>6</v>
      </c>
      <c r="H513" s="70" t="n">
        <v>1</v>
      </c>
      <c r="I513" s="68" t="n">
        <v>95</v>
      </c>
      <c r="J513" s="69" t="n">
        <v>4.2</v>
      </c>
      <c r="K513" s="69" t="inlineStr">
        <is>
          <t>https://amazon.com/dp/B089Y3T3BJ</t>
        </is>
      </c>
      <c r="L513" s="114">
        <f>HYPERLINK(Table3559[[#This Row],[Column1]])</f>
        <v/>
      </c>
    </row>
    <row r="514" ht="45" customHeight="1" s="314">
      <c r="A514" s="35" t="inlineStr">
        <is>
          <t>LAUNCH Original OBD1 External Power Supply via Battery Clipper Fit for DR15 Female to OBD2 16 Pin Famale Cable with External Power Port</t>
        </is>
      </c>
      <c r="B514" s="35" t="inlineStr">
        <is>
          <t>B0DXNYBDQP</t>
        </is>
      </c>
      <c r="C514" s="35" t="inlineStr">
        <is>
          <t>Other</t>
        </is>
      </c>
      <c r="D514" s="359" t="n">
        <v>20.15</v>
      </c>
      <c r="E514" s="66" t="n">
        <v>272.41</v>
      </c>
      <c r="F514" s="66" t="n">
        <v>20.15</v>
      </c>
      <c r="G514" s="68" t="n">
        <v>15</v>
      </c>
      <c r="H514" s="70" t="n">
        <v>1</v>
      </c>
      <c r="I514" s="68" t="n"/>
      <c r="J514" s="69" t="n"/>
      <c r="K514" s="69" t="inlineStr">
        <is>
          <t>https://amazon.com/dp/B0DXNYBDQP</t>
        </is>
      </c>
      <c r="L514" s="114">
        <f>HYPERLINK(Table3559[[#This Row],[Column1]])</f>
        <v/>
      </c>
    </row>
    <row r="515" ht="45" customHeight="1" s="314">
      <c r="A515" s="35" t="inlineStr">
        <is>
          <t>LAUNCH Original Main Cable for X-431 CRP123i, CRP123e, CRP123x, CRP129i, CRP129e, CRP129x</t>
        </is>
      </c>
      <c r="B515" s="35" t="inlineStr">
        <is>
          <t>B0DZCGJ4D2</t>
        </is>
      </c>
      <c r="C515" s="35" t="inlineStr">
        <is>
          <t>Other</t>
        </is>
      </c>
      <c r="D515" s="359" t="n">
        <v>21.55</v>
      </c>
      <c r="E515" s="66" t="n">
        <v>443.5523076923077</v>
      </c>
      <c r="F515" s="66" t="n">
        <v>21.55</v>
      </c>
      <c r="G515" s="68" t="n">
        <v>17</v>
      </c>
      <c r="H515" s="70" t="n">
        <v>1</v>
      </c>
      <c r="I515" s="68" t="n"/>
      <c r="J515" s="69" t="n"/>
      <c r="K515" s="69" t="inlineStr">
        <is>
          <t>https://amazon.com/dp/B0DZCGJ4D2</t>
        </is>
      </c>
      <c r="L515" s="114">
        <f>HYPERLINK(Table3559[[#This Row],[Column1]])</f>
        <v/>
      </c>
    </row>
    <row r="516" ht="17" customHeight="1" s="314">
      <c r="A516" s="35" t="inlineStr">
        <is>
          <t>Launch CRP 123X Plus 2026 OBD2 Scanner Diagnostic Tool, All System Car Scan Tool Lifetime F.Ree Update, Oil Reset, SAS Calibration, Throttle Adaptation, Auto VIN, Battery Test, Upgraded of CRP123X</t>
        </is>
      </c>
      <c r="B516" s="35" t="inlineStr">
        <is>
          <t>B0GS274MRY</t>
        </is>
      </c>
      <c r="C516" s="35" t="inlineStr">
        <is>
          <t>Tablet</t>
        </is>
      </c>
      <c r="D516" s="359" t="n">
        <v>286.66</v>
      </c>
      <c r="E516" s="66" t="n">
        <v>3461.970769230768</v>
      </c>
      <c r="F516" s="66" t="n">
        <v>286.66</v>
      </c>
      <c r="G516" s="68" t="n">
        <v>1</v>
      </c>
      <c r="H516" s="70" t="n">
        <v>1</v>
      </c>
      <c r="I516" s="68" t="n"/>
      <c r="J516" s="69" t="n"/>
      <c r="K516" s="69" t="inlineStr">
        <is>
          <t>https://amazon.com/dp/B0GS274MRY</t>
        </is>
      </c>
      <c r="L516" s="114">
        <f>HYPERLINK(Table3559[[#This Row],[Column1]])</f>
        <v/>
      </c>
    </row>
    <row r="517" ht="45" customHeight="1" s="314">
      <c r="A517" s="35" t="inlineStr">
        <is>
          <t>Launch CRP129 MT Pro Motorcycle Scanner, OE All System Bidirectional Active Tests, Resets for Harley Honda Yamaha Kawasaki Indian Suzuki Polaris Victory, 38+ Brands, 11 Languages, 2 Years Upgrades</t>
        </is>
      </c>
      <c r="B517" s="35" t="inlineStr">
        <is>
          <t>B0GVQZLFX2</t>
        </is>
      </c>
      <c r="C517" s="35" t="inlineStr">
        <is>
          <t>Tablet</t>
        </is>
      </c>
      <c r="D517" s="359" t="n">
        <v>563.02</v>
      </c>
      <c r="E517" s="66" t="n">
        <v>6799.549230769229</v>
      </c>
      <c r="F517" s="66" t="n">
        <v>563.02</v>
      </c>
      <c r="G517" s="68" t="n">
        <v>1</v>
      </c>
      <c r="H517" s="70" t="n">
        <v>1</v>
      </c>
      <c r="I517" s="68" t="n"/>
      <c r="J517" s="69" t="n"/>
      <c r="K517" s="69" t="inlineStr">
        <is>
          <t>https://amazon.com/dp/B0GVQZLFX2</t>
        </is>
      </c>
      <c r="L517" s="114">
        <f>HYPERLINK(Table3559[[#This Row],[Column1]])</f>
        <v/>
      </c>
    </row>
    <row r="518" ht="17" customHeight="1" s="314">
      <c r="A518" s="35" t="inlineStr">
        <is>
          <t>LAUNCH CRP129 HD Heavy Duty Truck Scanner with DPF Regen Injector Cutoff, Full System Diesel Diagnostic Scan Tool for Cummins Caterpillar Pickup Tractor &amp; More Commercial Vehicle Semi-Trucks</t>
        </is>
      </c>
      <c r="B518" s="35" t="inlineStr">
        <is>
          <t>B0D2XLZ5JX</t>
        </is>
      </c>
      <c r="C518" s="35" t="inlineStr">
        <is>
          <t>Tablet</t>
        </is>
      </c>
      <c r="D518" s="359" t="n">
        <v>499</v>
      </c>
      <c r="E518" s="66" t="n">
        <v>39385.23</v>
      </c>
      <c r="F518" s="66" t="n">
        <v>499</v>
      </c>
      <c r="G518" s="68" t="n">
        <v>74</v>
      </c>
      <c r="H518" s="70" t="n">
        <v>1</v>
      </c>
      <c r="I518" s="68" t="n">
        <v>10</v>
      </c>
      <c r="J518" s="69" t="n">
        <v>4.5</v>
      </c>
      <c r="K518" s="69" t="inlineStr">
        <is>
          <t>https://amazon.com/dp/B0D2XLZ5JX</t>
        </is>
      </c>
      <c r="L518" s="114">
        <f>HYPERLINK(Table3559[[#This Row],[Column1]])</f>
        <v/>
      </c>
    </row>
    <row r="519" ht="30" customHeight="1" s="314">
      <c r="A519" s="35" t="inlineStr">
        <is>
          <t>Launch OBD2 Scanner CRP123I V3.0 Elite, 2026 Lifetime Free WiFi Update Scan Tool, FCA SGW, CANFD&amp;DoIP, SAS/Throttle/Brake/BMS/D-P-F/Oil/ABS Service Multi Systems Car Scanner, Battery Test, Auto VIN</t>
        </is>
      </c>
      <c r="B519" s="35" t="inlineStr">
        <is>
          <t>B0FPXSL6N1</t>
        </is>
      </c>
      <c r="C519" s="35" t="inlineStr">
        <is>
          <t>Tablet</t>
        </is>
      </c>
      <c r="D519" s="359" t="n">
        <v>105.36</v>
      </c>
      <c r="E519" s="66" t="n">
        <v>1236.917692307692</v>
      </c>
      <c r="F519" s="66" t="n">
        <v>105.36</v>
      </c>
      <c r="G519" s="68" t="n">
        <v>4</v>
      </c>
      <c r="H519" s="70" t="n">
        <v>1</v>
      </c>
      <c r="I519" s="68" t="n"/>
      <c r="J519" s="69" t="n"/>
      <c r="K519" s="69" t="inlineStr">
        <is>
          <t>https://amazon.com/dp/B0FPXSL6N1</t>
        </is>
      </c>
      <c r="L519" s="114">
        <f>HYPERLINK(Table3559[[#This Row],[Column1]])</f>
        <v/>
      </c>
    </row>
    <row r="520" ht="45" customHeight="1" s="314">
      <c r="A520" s="35" t="inlineStr">
        <is>
          <t>LAUNCH X431 Elite with X-PROG3, 2026 Professional Diagnostic Scanner with X-PROG3 and DBScar VII VCI, CANFD &amp; DOIP, 38 Services, Bidirectional Control, All System Basic Diagnose, 2 Yrs Update</t>
        </is>
      </c>
      <c r="B520" s="35" t="inlineStr">
        <is>
          <t>B0DCBHDYB6</t>
        </is>
      </c>
      <c r="C520" s="35" t="inlineStr">
        <is>
          <t>Tablet</t>
        </is>
      </c>
      <c r="D520" s="359" t="n">
        <v>1712.9</v>
      </c>
      <c r="E520" s="66" t="n">
        <v>12963.2</v>
      </c>
      <c r="F520" s="66" t="n">
        <v>1712.9</v>
      </c>
      <c r="G520" s="68" t="n">
        <v>10</v>
      </c>
      <c r="H520" s="70" t="n">
        <v>1</v>
      </c>
      <c r="I520" s="68" t="n">
        <v>3</v>
      </c>
      <c r="J520" s="69" t="n">
        <v>1</v>
      </c>
      <c r="K520" s="69" t="inlineStr">
        <is>
          <t>https://amazon.com/dp/B0DCBHDYB6</t>
        </is>
      </c>
      <c r="L520" s="114">
        <f>HYPERLINK(Table3559[[#This Row],[Column1]])</f>
        <v/>
      </c>
    </row>
    <row r="521" ht="45" customHeight="1" s="314">
      <c r="A521" s="35" t="inlineStr">
        <is>
          <t>Launch Creader 200 OBD2 Scanner 2025 Engine/ABS/SRS/Transmission Car Diagnostic Scan Tool, 4 System Code Reader, Auto Vin, Full OBD2 Function, Lifetime Free Update</t>
        </is>
      </c>
      <c r="B521" s="35" t="inlineStr">
        <is>
          <t>B0F7QLD4PV</t>
        </is>
      </c>
      <c r="C521" s="35" t="inlineStr">
        <is>
          <t>Tablet</t>
        </is>
      </c>
      <c r="D521" s="359" t="n">
        <v>107.9</v>
      </c>
      <c r="E521" s="66" t="n">
        <v>6212.35</v>
      </c>
      <c r="F521" s="66" t="n">
        <v>107.9</v>
      </c>
      <c r="G521" s="68" t="n">
        <v>67</v>
      </c>
      <c r="H521" s="70" t="n">
        <v>1</v>
      </c>
      <c r="I521" s="68" t="n">
        <v>4</v>
      </c>
      <c r="J521" s="69" t="n">
        <v>2.9</v>
      </c>
      <c r="K521" s="69" t="inlineStr">
        <is>
          <t>https://amazon.com/dp/B0F7QLD4PV</t>
        </is>
      </c>
      <c r="L521" s="114">
        <f>HYPERLINK(Table3559[[#This Row],[Column1]])</f>
        <v/>
      </c>
    </row>
    <row r="522" ht="45" customHeight="1" s="314">
      <c r="A522" s="35" t="inlineStr">
        <is>
          <t>LAUNCH CRP123E Plus OBD2 Scanner, All System Car Diagnostic Scan Tool with Oil Reset, SAS Calibration, Throttle Adaptation,Battery Test, Auto Vin, FCA Autoauth, Lifetime Free Update</t>
        </is>
      </c>
      <c r="B522" s="35" t="inlineStr">
        <is>
          <t>B0DKHL3V7V</t>
        </is>
      </c>
      <c r="C522" s="35" t="inlineStr">
        <is>
          <t>Tablet</t>
        </is>
      </c>
      <c r="D522" s="359" t="n">
        <v>207.13</v>
      </c>
      <c r="E522" s="66" t="n">
        <v>11336.82692307692</v>
      </c>
      <c r="F522" s="66" t="n">
        <v>207.13</v>
      </c>
      <c r="G522" s="68" t="n">
        <v>46</v>
      </c>
      <c r="H522" s="70" t="n">
        <v>1</v>
      </c>
      <c r="I522" s="68" t="n">
        <v>12</v>
      </c>
      <c r="J522" s="69" t="n">
        <v>3.5</v>
      </c>
      <c r="K522" s="69" t="inlineStr">
        <is>
          <t>https://amazon.com/dp/B0DKHL3V7V</t>
        </is>
      </c>
      <c r="L522" s="114">
        <f>HYPERLINK(Table3559[[#This Row],[Column1]])</f>
        <v/>
      </c>
    </row>
    <row r="523" ht="45" customHeight="1" s="314">
      <c r="A523" s="35" t="inlineStr">
        <is>
          <t>NEW 2026 LAUNCH Scanner International Heavy Duty Truck Cummins MAXXFORCE Diagnostic Scan Tool, Actuation Test,Coding,Special Functions, Full System Diagnosis,Lifetime Free Upgrade</t>
        </is>
      </c>
      <c r="B523" s="35" t="inlineStr">
        <is>
          <t>B0DCNN3ZT5</t>
        </is>
      </c>
      <c r="C523" s="35" t="inlineStr">
        <is>
          <t>Tablet</t>
        </is>
      </c>
      <c r="D523" s="359" t="n">
        <v>277.97</v>
      </c>
      <c r="E523" s="66" t="n">
        <v>12209</v>
      </c>
      <c r="F523" s="66" t="n">
        <v>277.97</v>
      </c>
      <c r="G523" s="68" t="n">
        <v>28</v>
      </c>
      <c r="H523" s="70" t="n">
        <v>1</v>
      </c>
      <c r="I523" s="68" t="n">
        <v>2</v>
      </c>
      <c r="J523" s="69" t="n">
        <v>2.5</v>
      </c>
      <c r="K523" s="69" t="inlineStr">
        <is>
          <t>https://amazon.com/dp/B0DCNN3ZT5</t>
        </is>
      </c>
      <c r="L523" s="114">
        <f>HYPERLINK(Table3559[[#This Row],[Column1]])</f>
        <v/>
      </c>
    </row>
    <row r="524" ht="30" customHeight="1" s="314">
      <c r="A524" s="35" t="inlineStr">
        <is>
          <t>Launch X431 PRO Star OBDII Scanner, All System Diagnostics, ECU Coding, 37+ Services, Full Bi-Directional Scan Tool, FCA SGW, CAN FD/DoIP, Quick Guide, 2 Years Fr-ee Update, Android 10.0</t>
        </is>
      </c>
      <c r="B524" s="35" t="inlineStr">
        <is>
          <t>B0DRNV2NMJ</t>
        </is>
      </c>
      <c r="C524" s="35" t="inlineStr">
        <is>
          <t>Tablet</t>
        </is>
      </c>
      <c r="D524" s="359" t="n">
        <v>658.71</v>
      </c>
      <c r="E524" s="66" t="n">
        <v>6064.01</v>
      </c>
      <c r="F524" s="66" t="n">
        <v>658.71</v>
      </c>
      <c r="G524" s="68" t="n">
        <v>6</v>
      </c>
      <c r="H524" s="70" t="n">
        <v>1</v>
      </c>
      <c r="I524" s="68" t="n"/>
      <c r="J524" s="69" t="n"/>
      <c r="K524" s="69" t="inlineStr">
        <is>
          <t>https://amazon.com/dp/B0DRNV2NMJ</t>
        </is>
      </c>
      <c r="L524" s="114">
        <f>HYPERLINK(Table3559[[#This Row],[Column1]])</f>
        <v/>
      </c>
    </row>
    <row r="525" ht="45" customHeight="1" s="314">
      <c r="A525" s="35" t="inlineStr">
        <is>
          <t>LAUNCH X431 Motorcycle OBD Diagnostic Connector Kit 2.0 with Motorcycle Diagnostic Software Work with LAUNCH X-431 Diagnostic Scanner</t>
        </is>
      </c>
      <c r="B525" s="35" t="inlineStr">
        <is>
          <t>B0FN7RYXGM</t>
        </is>
      </c>
      <c r="C525" s="35" t="inlineStr">
        <is>
          <t>Cable/Adapter</t>
        </is>
      </c>
      <c r="D525" s="359" t="n">
        <v>437.95</v>
      </c>
      <c r="E525" s="66" t="n">
        <v>3732.16923076923</v>
      </c>
      <c r="F525" s="66" t="n">
        <v>437.95</v>
      </c>
      <c r="G525" s="68" t="n">
        <v>3</v>
      </c>
      <c r="H525" s="70" t="n">
        <v>1</v>
      </c>
      <c r="I525" s="68" t="n"/>
      <c r="J525" s="69" t="n"/>
      <c r="K525" s="69" t="inlineStr">
        <is>
          <t>https://amazon.com/dp/B0FN7RYXGM</t>
        </is>
      </c>
      <c r="L525" s="114">
        <f>HYPERLINK(Table3559[[#This Row],[Column1]])</f>
        <v/>
      </c>
    </row>
    <row r="526" ht="45" customHeight="1" s="314">
      <c r="A526" s="35" t="inlineStr">
        <is>
          <t>LAUNCH OBD2 Scanner CRP123I V3.0, 2026 Lifetime Free WiFi Update Scan Tool, FCA SGW, CANFD&amp;DoIP, Oil/ABS/SAS/Throttle/Brake/BMS/DPF Service Multi Systems Car Scanner, Battery Test, Auto VIN</t>
        </is>
      </c>
      <c r="B526" s="35" t="inlineStr">
        <is>
          <t>B08B7VWX7P</t>
        </is>
      </c>
      <c r="C526" s="35" t="inlineStr">
        <is>
          <t>Tablet</t>
        </is>
      </c>
      <c r="D526" s="359" t="n">
        <v>199.33</v>
      </c>
      <c r="E526" s="66" t="n">
        <v>2678.84</v>
      </c>
      <c r="F526" s="66" t="n">
        <v>199.33</v>
      </c>
      <c r="G526" s="68" t="n">
        <v>17</v>
      </c>
      <c r="H526" s="70" t="n">
        <v>1</v>
      </c>
      <c r="I526" s="68" t="n">
        <v>495</v>
      </c>
      <c r="J526" s="69" t="n">
        <v>4.2</v>
      </c>
      <c r="K526" s="69" t="inlineStr">
        <is>
          <t>https://amazon.com/dp/B08B7VWX7P</t>
        </is>
      </c>
      <c r="L526" s="114">
        <f>HYPERLINK(Table3559[[#This Row],[Column1]])</f>
        <v/>
      </c>
    </row>
    <row r="527" ht="45" customHeight="1" s="314">
      <c r="A527" s="35" t="inlineStr">
        <is>
          <t>LAUNCH X431 Pro V5.0 2026 New Generation Automotive Diagnostic Scanner Tool, OEM Bluetooth Bidirectional OBD2 Scan Tool with CANFD &amp; DOIP, 38+ Special Functions for All Cars</t>
        </is>
      </c>
      <c r="B527" s="35" t="inlineStr">
        <is>
          <t>B0FG2CNXWD</t>
        </is>
      </c>
      <c r="C527" s="35" t="inlineStr">
        <is>
          <t>Tablet</t>
        </is>
      </c>
      <c r="D527" s="359" t="n">
        <v>1005</v>
      </c>
      <c r="E527" s="66" t="n">
        <v>18732.26615384616</v>
      </c>
      <c r="F527" s="66" t="n">
        <v>1005</v>
      </c>
      <c r="G527" s="68" t="n">
        <v>14</v>
      </c>
      <c r="H527" s="70" t="n">
        <v>1</v>
      </c>
      <c r="I527" s="68" t="n">
        <v>385</v>
      </c>
      <c r="J527" s="69" t="n">
        <v>4.2</v>
      </c>
      <c r="K527" s="69" t="inlineStr">
        <is>
          <t>https://amazon.com/dp/B0FG2CNXWD</t>
        </is>
      </c>
      <c r="L527" s="114">
        <f>HYPERLINK(Table3559[[#This Row],[Column1]])</f>
        <v/>
      </c>
    </row>
    <row r="528" ht="45" customHeight="1" s="314">
      <c r="A528" s="35" t="inlineStr">
        <is>
          <t>LAUNCH X431 V+ 5.0, SmartLink C Heavy Duty Truck Scanner for Commercial/Passenger Vehicles, J2534 D-PDU, ECU Program, ECU Coding, Topology, 60 Reset, Bi-Directional Scan Tool, All System</t>
        </is>
      </c>
      <c r="B528" s="35" t="inlineStr">
        <is>
          <t>B0BGZQ78JB</t>
        </is>
      </c>
      <c r="C528" s="35" t="inlineStr">
        <is>
          <t>Tablet</t>
        </is>
      </c>
      <c r="D528" s="359" t="n">
        <v>1779</v>
      </c>
      <c r="E528" s="66" t="n">
        <v>15076.37</v>
      </c>
      <c r="F528" s="66" t="n">
        <v>0</v>
      </c>
      <c r="G528" s="68" t="n">
        <v>8</v>
      </c>
      <c r="H528" s="70" t="n">
        <v>0</v>
      </c>
      <c r="I528" s="68" t="n">
        <v>5</v>
      </c>
      <c r="J528" s="69" t="n">
        <v>3.8</v>
      </c>
      <c r="K528" s="69" t="inlineStr">
        <is>
          <t>https://amazon.com/dp/B0BGZQ78JB</t>
        </is>
      </c>
      <c r="L528" s="114">
        <f>HYPERLINK(Table3559[[#This Row],[Column1]])</f>
        <v/>
      </c>
    </row>
    <row r="529" ht="45" customHeight="1" s="314">
      <c r="A529" s="35" t="inlineStr">
        <is>
          <t>LAUNCH Original Adapter for Honda DR15 Male to OBD1 3 Pin Male [Note: Can't Work Alone] for X-431 Diagnostic Scanner</t>
        </is>
      </c>
      <c r="B529" s="35" t="inlineStr">
        <is>
          <t>B0DX6T6JG5</t>
        </is>
      </c>
      <c r="C529" s="35" t="inlineStr">
        <is>
          <t>OBD1</t>
        </is>
      </c>
      <c r="D529" s="359" t="n">
        <v>14.99</v>
      </c>
      <c r="E529" s="66" t="n">
        <v>0</v>
      </c>
      <c r="F529" s="66" t="n">
        <v>0</v>
      </c>
      <c r="G529" s="68" t="n">
        <v>0</v>
      </c>
      <c r="H529" s="70" t="n">
        <v>0</v>
      </c>
      <c r="I529" s="68" t="n"/>
      <c r="J529" s="69" t="n"/>
      <c r="K529" s="69" t="inlineStr">
        <is>
          <t>https://amazon.com/dp/B0DX6T6JG5</t>
        </is>
      </c>
      <c r="L529" s="114">
        <f>HYPERLINK(Table3559[[#This Row],[Column1]])</f>
        <v/>
      </c>
    </row>
    <row r="530" ht="17" customHeight="1" s="314">
      <c r="A530" s="35" t="inlineStr">
        <is>
          <t>LAUNCH Creader Elite HD-in Heavy Duty Truck Scanner for International with 4 System Diagnosis Actuation Test/DP-F Regen/Live Graph Data/Special Service Diesel Diagnostic Tool Lifetime Free Upgrade</t>
        </is>
      </c>
      <c r="B530" s="35" t="inlineStr">
        <is>
          <t>B0DQ4KT4X8</t>
        </is>
      </c>
      <c r="C530" s="35" t="inlineStr">
        <is>
          <t>Tablet</t>
        </is>
      </c>
      <c r="D530" s="359" t="n">
        <v>429</v>
      </c>
      <c r="E530" s="66" t="n">
        <v>0</v>
      </c>
      <c r="F530" s="66" t="n">
        <v>0</v>
      </c>
      <c r="G530" s="68" t="n">
        <v>0</v>
      </c>
      <c r="H530" s="70" t="n">
        <v>0</v>
      </c>
      <c r="I530" s="68" t="n"/>
      <c r="J530" s="69" t="n"/>
      <c r="K530" s="69" t="inlineStr">
        <is>
          <t>https://amazon.com/dp/B0DQ4KT4X8</t>
        </is>
      </c>
      <c r="L530" s="114">
        <f>HYPERLINK(Table3559[[#This Row],[Column1]])</f>
        <v/>
      </c>
    </row>
    <row r="531" ht="45" customHeight="1" s="314">
      <c r="A531" s="35" t="inlineStr">
        <is>
          <t>LAUNCH Creader Elite OBD2 Scanner Fit for Chrysler Dodge Jeep,Full Systems Code Reader with All Free Resets,FCA Autoauth, Active Test,Battery Registration Bi-Directional Diagnostic Scan Tool</t>
        </is>
      </c>
      <c r="B531" s="35" t="inlineStr">
        <is>
          <t>B0C77RGZN7</t>
        </is>
      </c>
      <c r="C531" s="35" t="inlineStr">
        <is>
          <t>Handheld</t>
        </is>
      </c>
      <c r="D531" s="359" t="n">
        <v>133.6725</v>
      </c>
      <c r="E531" s="66" t="n">
        <v>22827.51</v>
      </c>
      <c r="F531" s="66" t="n">
        <v>0</v>
      </c>
      <c r="G531" s="68" t="n">
        <v>158</v>
      </c>
      <c r="H531" s="70" t="n">
        <v>0</v>
      </c>
      <c r="I531" s="68" t="n">
        <v>13</v>
      </c>
      <c r="J531" s="69" t="n">
        <v>3.3</v>
      </c>
      <c r="K531" s="69" t="inlineStr">
        <is>
          <t>https://amazon.com/dp/B0C77RGZN7</t>
        </is>
      </c>
      <c r="L531" s="114">
        <f>HYPERLINK(Table3559[[#This Row],[Column1]])</f>
        <v/>
      </c>
    </row>
    <row r="532" ht="45" customHeight="1" s="314">
      <c r="A532" s="35" t="inlineStr">
        <is>
          <t>2024 LAUNCH X431 Elite OBD2 Scanner, Full System Bi-Directional Diagnostic Scan Tool, All Reset Service Code Reader, AUTO VIN, Battery Registration, Lifetime Free WiFi Update</t>
        </is>
      </c>
      <c r="B532" s="35" t="inlineStr">
        <is>
          <t>B0CKSBCMH7</t>
        </is>
      </c>
      <c r="C532" s="35" t="inlineStr">
        <is>
          <t>Tablet</t>
        </is>
      </c>
      <c r="D532" s="359" t="n">
        <v>119</v>
      </c>
      <c r="E532" s="66" t="n">
        <v>0</v>
      </c>
      <c r="F532" s="66" t="n">
        <v>0</v>
      </c>
      <c r="G532" s="68" t="n">
        <v>0</v>
      </c>
      <c r="H532" s="70" t="n">
        <v>0</v>
      </c>
      <c r="I532" s="68" t="n">
        <v>485</v>
      </c>
      <c r="J532" s="69" t="n">
        <v>4.3</v>
      </c>
      <c r="K532" s="69" t="inlineStr">
        <is>
          <t>https://amazon.com/dp/B0CKSBCMH7</t>
        </is>
      </c>
      <c r="L532" s="114">
        <f>HYPERLINK(Table3559[[#This Row],[Column1]])</f>
        <v/>
      </c>
    </row>
    <row r="533" ht="30" customHeight="1" s="314">
      <c r="A533" s="35" t="inlineStr">
        <is>
          <t>LAUNCH X431 V+ SmartLink HD Heavy Duty Truck Diagnostic Scanner Diesel Vehicle Construction Machinery Agricultural Bus Scan Tool, J2534 ECU Coding, All System Diagnosis, Active Test</t>
        </is>
      </c>
      <c r="B533" s="35" t="inlineStr">
        <is>
          <t>B09TVYSD9Z</t>
        </is>
      </c>
      <c r="C533" s="35" t="inlineStr">
        <is>
          <t>VCI</t>
        </is>
      </c>
      <c r="D533" s="359" t="n">
        <v>1439</v>
      </c>
      <c r="E533" s="66" t="n">
        <v>935.22</v>
      </c>
      <c r="F533" s="66" t="n">
        <v>0</v>
      </c>
      <c r="G533" s="68" t="n">
        <v>1</v>
      </c>
      <c r="H533" s="70" t="n">
        <v>0</v>
      </c>
      <c r="I533" s="68" t="n">
        <v>3</v>
      </c>
      <c r="J533" s="69" t="n">
        <v>5</v>
      </c>
      <c r="K533" s="69" t="inlineStr">
        <is>
          <t>https://amazon.com/dp/B09TVYSD9Z</t>
        </is>
      </c>
      <c r="L533" s="114">
        <f>HYPERLINK(Table3559[[#This Row],[Column1]])</f>
        <v/>
      </c>
    </row>
    <row r="534" ht="45" customHeight="1" s="314">
      <c r="A534" s="35" t="inlineStr">
        <is>
          <t>LAUNCH CRP909E OBD2 Scanner, 2025 New Full System Car Scanner with 28+Reset Functions, Oil,TPMS,SAS,DPF,ABS Bleeding,Throttle,2 Yrs Free Update</t>
        </is>
      </c>
      <c r="B534" s="35" t="inlineStr">
        <is>
          <t>B09N8W7TYM</t>
        </is>
      </c>
      <c r="C534" s="35" t="inlineStr">
        <is>
          <t>Tablet</t>
        </is>
      </c>
      <c r="D534" s="359" t="n">
        <v>397.48</v>
      </c>
      <c r="E534" s="66" t="n">
        <v>16154.41</v>
      </c>
      <c r="F534" s="66" t="n">
        <v>0</v>
      </c>
      <c r="G534" s="68" t="n">
        <v>46</v>
      </c>
      <c r="H534" s="70" t="n">
        <v>0</v>
      </c>
      <c r="I534" s="68" t="n">
        <v>89</v>
      </c>
      <c r="J534" s="69" t="n">
        <v>4.2</v>
      </c>
      <c r="K534" s="69" t="inlineStr">
        <is>
          <t>https://amazon.com/dp/B09N8W7TYM</t>
        </is>
      </c>
      <c r="L534" s="114">
        <f>HYPERLINK(Table3559[[#This Row],[Column1]])</f>
        <v/>
      </c>
    </row>
    <row r="535" ht="45" customHeight="1" s="314">
      <c r="A535" s="35" t="inlineStr">
        <is>
          <t>Launch Code Reader, All Systems Bi-Directional Professional Automotive Diagnostic Scan Tool</t>
        </is>
      </c>
      <c r="B535" s="35" t="inlineStr">
        <is>
          <t>B09PBJGBY2</t>
        </is>
      </c>
      <c r="C535" s="35" t="inlineStr">
        <is>
          <t>Tablet</t>
        </is>
      </c>
      <c r="D535" s="359" t="n">
        <v>119</v>
      </c>
      <c r="E535" s="66" t="n">
        <v>507</v>
      </c>
      <c r="F535" s="66" t="n">
        <v>0</v>
      </c>
      <c r="G535" s="68" t="n">
        <v>3</v>
      </c>
      <c r="H535" s="70" t="n">
        <v>0</v>
      </c>
      <c r="I535" s="68" t="n">
        <v>3</v>
      </c>
      <c r="J535" s="69" t="n">
        <v>5</v>
      </c>
      <c r="K535" s="69" t="inlineStr">
        <is>
          <t>https://amazon.com/dp/B09PBJGBY2</t>
        </is>
      </c>
      <c r="L535" s="114">
        <f>HYPERLINK(Table3559[[#This Row],[Column1]])</f>
        <v/>
      </c>
    </row>
    <row r="536" ht="45" customHeight="1" s="314">
      <c r="A536" s="35" t="inlineStr">
        <is>
          <t>LAUNCH Full System Heavy Duty Truck Scanner, Creader Elite HD International Semi Bidirectional Diesel Diagnostic Scan Tool with DPF Regen, ECU Coding, Actuation Test, 70+ Reset</t>
        </is>
      </c>
      <c r="B536" s="35" t="inlineStr">
        <is>
          <t>B0DHZRS4L2</t>
        </is>
      </c>
      <c r="C536" s="35" t="inlineStr">
        <is>
          <t>Tablet</t>
        </is>
      </c>
      <c r="D536" s="359" t="n">
        <v>399.99</v>
      </c>
      <c r="E536" s="66" t="n">
        <v>822.3</v>
      </c>
      <c r="F536" s="66" t="n">
        <v>0</v>
      </c>
      <c r="G536" s="68" t="n">
        <v>2</v>
      </c>
      <c r="H536" s="70" t="n">
        <v>0</v>
      </c>
      <c r="I536" s="68" t="n">
        <v>1</v>
      </c>
      <c r="J536" s="69" t="n">
        <v>3</v>
      </c>
      <c r="K536" s="69" t="inlineStr">
        <is>
          <t>https://amazon.com/dp/B0DHZRS4L2</t>
        </is>
      </c>
      <c r="L536" s="114">
        <f>HYPERLINK(Table3559[[#This Row],[Column1]])</f>
        <v/>
      </c>
    </row>
    <row r="537" ht="45" customHeight="1" s="314">
      <c r="A537" s="35" t="inlineStr">
        <is>
          <t>LAUNCH CRP909E Elite Full System OBD2 Scanner,2026 OE-Level Car Diagnostic Scan Tool,28+ Reset Service,TPMS,SAS,DPF,ABS Bleeding,2 Years Free Update</t>
        </is>
      </c>
      <c r="B537" s="35" t="inlineStr">
        <is>
          <t>B089XW3CGB</t>
        </is>
      </c>
      <c r="C537" s="35" t="inlineStr">
        <is>
          <t>Tablet</t>
        </is>
      </c>
      <c r="D537" s="359" t="n">
        <v>283.49</v>
      </c>
      <c r="E537" s="66" t="n">
        <v>15919.29</v>
      </c>
      <c r="F537" s="66" t="n">
        <v>0</v>
      </c>
      <c r="G537" s="68" t="n">
        <v>51</v>
      </c>
      <c r="H537" s="70" t="n">
        <v>0</v>
      </c>
      <c r="I537" s="68" t="n">
        <v>509</v>
      </c>
      <c r="J537" s="69" t="n">
        <v>4.1</v>
      </c>
      <c r="K537" s="69" t="inlineStr">
        <is>
          <t>https://amazon.com/dp/B089XW3CGB</t>
        </is>
      </c>
      <c r="L537" s="114">
        <f>HYPERLINK(Table3559[[#This Row],[Column1]])</f>
        <v/>
      </c>
    </row>
    <row r="538" ht="45" customHeight="1" s="314">
      <c r="A538" s="35" t="inlineStr">
        <is>
          <t>Launch Millennium Max Bi-Directional Scan Tool, Full Systems Car Diagnostic Scanner, 29+ Reset Functions, ECU Coding, DoIP &amp; CAN FD Supported, Code Assist, FCA Autoauth, 1 Year Free Update</t>
        </is>
      </c>
      <c r="B538" s="35" t="inlineStr">
        <is>
          <t>B0BT71N6HQ</t>
        </is>
      </c>
      <c r="C538" s="35" t="inlineStr">
        <is>
          <t>Tablet</t>
        </is>
      </c>
      <c r="D538" s="359" t="n">
        <v>521.37</v>
      </c>
      <c r="E538" s="66" t="n">
        <v>530.24</v>
      </c>
      <c r="F538" s="66" t="n">
        <v>0</v>
      </c>
      <c r="G538" s="68" t="n">
        <v>1</v>
      </c>
      <c r="H538" s="70" t="n">
        <v>0</v>
      </c>
      <c r="I538" s="68" t="n">
        <v>2</v>
      </c>
      <c r="J538" s="69" t="n">
        <v>1.6</v>
      </c>
      <c r="K538" s="69" t="inlineStr">
        <is>
          <t>https://amazon.com/dp/B0BT71N6HQ</t>
        </is>
      </c>
      <c r="L538" s="114">
        <f>HYPERLINK(Table3559[[#This Row],[Column1]])</f>
        <v/>
      </c>
    </row>
    <row r="539" ht="45" customHeight="1" s="314">
      <c r="A539" s="35" t="inlineStr">
        <is>
          <t>LAUNCH TECH USA 301050340 Millennium 40</t>
        </is>
      </c>
      <c r="B539" s="35" t="inlineStr">
        <is>
          <t>B073WKRBVS</t>
        </is>
      </c>
      <c r="C539" s="35" t="inlineStr">
        <is>
          <t>Handheld</t>
        </is>
      </c>
      <c r="D539" s="359" t="n">
        <v>42.74</v>
      </c>
      <c r="E539" s="66" t="n">
        <v>0</v>
      </c>
      <c r="F539" s="66" t="n">
        <v>0</v>
      </c>
      <c r="G539" s="68" t="n">
        <v>0</v>
      </c>
      <c r="H539" s="70" t="n">
        <v>0</v>
      </c>
      <c r="I539" s="68" t="n">
        <v>1</v>
      </c>
      <c r="J539" s="69" t="n">
        <v>5</v>
      </c>
      <c r="K539" s="69" t="inlineStr">
        <is>
          <t>https://amazon.com/dp/B073WKRBVS</t>
        </is>
      </c>
      <c r="L539" s="114">
        <f>HYPERLINK(Table3559[[#This Row],[Column1]])</f>
        <v/>
      </c>
    </row>
    <row r="540" ht="30" customHeight="1" s="314">
      <c r="A540" s="35" t="inlineStr">
        <is>
          <t>Heavy Duty Truck Scanner for Cummins, LAUNCH Elite HD-CM All System/Units Active Test Diesel Vehicle Diagnostic Scan Tool,Reset Special Service, 4-in-1 Live Graph Data Car Scan Tool</t>
        </is>
      </c>
      <c r="B540" s="35" t="inlineStr">
        <is>
          <t>B0DQ4JVGCS</t>
        </is>
      </c>
      <c r="C540" s="35" t="inlineStr">
        <is>
          <t>Tablet</t>
        </is>
      </c>
      <c r="D540" s="359" t="n">
        <v>429.99</v>
      </c>
      <c r="E540" s="66" t="n">
        <v>2756.69</v>
      </c>
      <c r="F540" s="66" t="n">
        <v>0</v>
      </c>
      <c r="G540" s="68" t="n">
        <v>6</v>
      </c>
      <c r="H540" s="70" t="n">
        <v>0</v>
      </c>
      <c r="I540" s="68" t="n"/>
      <c r="J540" s="69" t="n"/>
      <c r="K540" s="69" t="inlineStr">
        <is>
          <t>https://amazon.com/dp/B0DQ4JVGCS</t>
        </is>
      </c>
      <c r="L540" s="114">
        <f>HYPERLINK(Table3559[[#This Row],[Column1]])</f>
        <v/>
      </c>
    </row>
    <row r="541" ht="45" customHeight="1" s="314">
      <c r="A541" s="35" t="inlineStr">
        <is>
          <t>Launch CRP129 MT Pro Motorcycle Scanner, OE All System Bidirectional Active Tests, Resets for Harley Honda Yamaha Kawasaki Indian Suzuki Polaris Victory, 38+ Brands, 11 Languages, 2 Years Upgrades</t>
        </is>
      </c>
      <c r="B541" s="35" t="inlineStr">
        <is>
          <t>B0GBWPH47T</t>
        </is>
      </c>
      <c r="C541" s="35" t="inlineStr">
        <is>
          <t>Tablet</t>
        </is>
      </c>
      <c r="D541" s="359" t="n">
        <v>640.96</v>
      </c>
      <c r="E541" s="66" t="n">
        <v>9604.469999999999</v>
      </c>
      <c r="F541" s="66" t="n">
        <v>0</v>
      </c>
      <c r="G541" s="68" t="n">
        <v>17</v>
      </c>
      <c r="H541" s="70" t="n">
        <v>0</v>
      </c>
      <c r="I541" s="68" t="n">
        <v>3</v>
      </c>
      <c r="J541" s="69" t="n">
        <v>3.5</v>
      </c>
      <c r="K541" s="69" t="inlineStr">
        <is>
          <t>https://amazon.com/dp/B0GBWPH47T</t>
        </is>
      </c>
      <c r="L541" s="114">
        <f>HYPERLINK(Table3559[[#This Row],[Column1]])</f>
        <v/>
      </c>
    </row>
    <row r="542" ht="45" customHeight="1" s="314">
      <c r="A542" s="35" t="inlineStr">
        <is>
          <t>LAUNCH CR319 Full OBD2 Functions Scanner Check Engine Code Reader</t>
        </is>
      </c>
      <c r="B542" s="35" t="inlineStr">
        <is>
          <t>B0FY4TMWHK</t>
        </is>
      </c>
      <c r="C542" s="35" t="inlineStr">
        <is>
          <t>Handheld</t>
        </is>
      </c>
      <c r="D542" s="359" t="n">
        <v>61.11</v>
      </c>
      <c r="E542" s="66" t="n">
        <v>0</v>
      </c>
      <c r="F542" s="66" t="n">
        <v>0</v>
      </c>
      <c r="G542" s="68" t="n">
        <v>0</v>
      </c>
      <c r="H542" s="70" t="n">
        <v>0</v>
      </c>
      <c r="I542" s="68" t="n">
        <v>9</v>
      </c>
      <c r="J542" s="69" t="n">
        <v>4.2</v>
      </c>
      <c r="K542" s="69" t="inlineStr">
        <is>
          <t>https://amazon.com/dp/B0FY4TMWHK</t>
        </is>
      </c>
      <c r="L542" s="114">
        <f>HYPERLINK(Table3559[[#This Row],[Column1]])</f>
        <v/>
      </c>
    </row>
    <row r="543" ht="45" customHeight="1" s="314">
      <c r="A543" s="35" t="inlineStr">
        <is>
          <t>2026 LAUNCH Creader Elite for GM Bi-Directional OBD2 Scanner, All Resets Full System Diagnostic Scan Tool, Full OBD2 Code Reader for Buick/Chevrolet/Cadillac/GMC, Lifetime Free Update</t>
        </is>
      </c>
      <c r="B543" s="35" t="inlineStr">
        <is>
          <t>B09XV8VR35</t>
        </is>
      </c>
      <c r="C543" s="35" t="inlineStr">
        <is>
          <t>Handheld</t>
        </is>
      </c>
      <c r="D543" s="359" t="n">
        <v>148.2040243902439</v>
      </c>
      <c r="E543" s="66" t="n">
        <v>115770.05</v>
      </c>
      <c r="F543" s="66" t="n">
        <v>0</v>
      </c>
      <c r="G543" s="68" t="n">
        <v>770</v>
      </c>
      <c r="H543" s="70" t="n">
        <v>0</v>
      </c>
      <c r="I543" s="68" t="n">
        <v>202</v>
      </c>
      <c r="J543" s="69" t="n">
        <v>3.9</v>
      </c>
      <c r="K543" s="69" t="inlineStr">
        <is>
          <t>https://amazon.com/dp/B09XV8VR35</t>
        </is>
      </c>
      <c r="L543" s="114">
        <f>HYPERLINK(Table3559[[#This Row],[Column1]])</f>
        <v/>
      </c>
    </row>
    <row r="544" ht="45" customHeight="1" s="314">
      <c r="A544" s="35" t="inlineStr">
        <is>
          <t>LAUNCH CRP 129 HD Heavy Duty Truck Scanner, All System Diesel Diagnostic DP-F Regen Tool 7+Resets/165 Live Graph Data Code Reader for Cummins, Detroit, Freightliner, International, Paccar &amp;More</t>
        </is>
      </c>
      <c r="B544" s="35" t="inlineStr">
        <is>
          <t>B0DPPQ8DWT</t>
        </is>
      </c>
      <c r="C544" s="35" t="inlineStr">
        <is>
          <t>Tablet</t>
        </is>
      </c>
      <c r="D544" s="359" t="n">
        <v>499.99</v>
      </c>
      <c r="E544" s="66" t="n">
        <v>1199.95</v>
      </c>
      <c r="F544" s="66" t="n">
        <v>0</v>
      </c>
      <c r="G544" s="68" t="n">
        <v>2</v>
      </c>
      <c r="H544" s="70" t="n">
        <v>0</v>
      </c>
      <c r="I544" s="68" t="n"/>
      <c r="J544" s="69" t="n"/>
      <c r="K544" s="69" t="inlineStr">
        <is>
          <t>https://amazon.com/dp/B0DPPQ8DWT</t>
        </is>
      </c>
      <c r="L544" s="114">
        <f>HYPERLINK(Table3559[[#This Row],[Column1]])</f>
        <v/>
      </c>
    </row>
    <row r="545" ht="45" customHeight="1" s="314">
      <c r="A545" s="35" t="inlineStr">
        <is>
          <t>LAUNCH BST880D Battery Tester Diagnostic Scan Tool</t>
        </is>
      </c>
      <c r="B545" s="35" t="inlineStr">
        <is>
          <t>B0BT72CBN3</t>
        </is>
      </c>
      <c r="C545" s="35" t="inlineStr">
        <is>
          <t>Handheld</t>
        </is>
      </c>
      <c r="D545" s="359" t="n">
        <v>311.2</v>
      </c>
      <c r="E545" s="66" t="n">
        <v>575.27</v>
      </c>
      <c r="F545" s="66" t="n">
        <v>0</v>
      </c>
      <c r="G545" s="68" t="n">
        <v>2</v>
      </c>
      <c r="H545" s="70" t="n">
        <v>0</v>
      </c>
      <c r="I545" s="68" t="n"/>
      <c r="J545" s="69" t="n"/>
      <c r="K545" s="69" t="inlineStr">
        <is>
          <t>https://amazon.com/dp/B0BT72CBN3</t>
        </is>
      </c>
      <c r="L545" s="114">
        <f>HYPERLINK(Table3559[[#This Row],[Column1]])</f>
        <v/>
      </c>
    </row>
    <row r="546" ht="45" customHeight="1" s="314">
      <c r="A546" s="35" t="inlineStr">
        <is>
          <t>2026 LAUNCH CRB3001 OBD2 Scanner 12V Car Battery Tester, 2 in 1 Code Reader Scan Tool Automotive Battery Alternator Load Tester,Check Engine Light</t>
        </is>
      </c>
      <c r="B546" s="35" t="inlineStr">
        <is>
          <t>B0B4RYKRR8</t>
        </is>
      </c>
      <c r="C546" s="35" t="inlineStr">
        <is>
          <t>Handheld</t>
        </is>
      </c>
      <c r="D546" s="359" t="n">
        <v>49.99</v>
      </c>
      <c r="E546" s="66" t="n">
        <v>0</v>
      </c>
      <c r="F546" s="66" t="n">
        <v>0</v>
      </c>
      <c r="G546" s="68" t="n">
        <v>0</v>
      </c>
      <c r="H546" s="70" t="n">
        <v>0</v>
      </c>
      <c r="I546" s="68" t="n">
        <v>21</v>
      </c>
      <c r="J546" s="69" t="n">
        <v>3.4</v>
      </c>
      <c r="K546" s="69" t="inlineStr">
        <is>
          <t>https://amazon.com/dp/B0B4RYKRR8</t>
        </is>
      </c>
      <c r="L546" s="114">
        <f>HYPERLINK(Table3559[[#This Row],[Column1]])</f>
        <v/>
      </c>
    </row>
    <row r="547" ht="45" customHeight="1" s="314">
      <c r="A547" s="35" t="inlineStr">
        <is>
          <t>LAUNCH CR319 OBD2 Scanner, Check Engine Code Reader, OBD2 Full Functions</t>
        </is>
      </c>
      <c r="B547" s="35" t="inlineStr">
        <is>
          <t>B07Y5G811Q</t>
        </is>
      </c>
      <c r="C547" s="35" t="inlineStr">
        <is>
          <t>Handheld</t>
        </is>
      </c>
      <c r="D547" s="359" t="n">
        <v>19.99</v>
      </c>
      <c r="E547" s="66" t="n">
        <v>25.79</v>
      </c>
      <c r="F547" s="66" t="n">
        <v>0</v>
      </c>
      <c r="G547" s="68" t="n">
        <v>1</v>
      </c>
      <c r="H547" s="70" t="n">
        <v>0</v>
      </c>
      <c r="I547" s="68" t="n">
        <v>6</v>
      </c>
      <c r="J547" s="69" t="n">
        <v>4.4</v>
      </c>
      <c r="K547" s="69" t="inlineStr">
        <is>
          <t>https://amazon.com/dp/B07Y5G811Q</t>
        </is>
      </c>
      <c r="L547" s="114">
        <f>HYPERLINK(Table3559[[#This Row],[Column1]])</f>
        <v/>
      </c>
    </row>
    <row r="548" ht="45" customHeight="1" s="314">
      <c r="A548" s="35" t="inlineStr">
        <is>
          <t>LAUNCH X431 CRP919X OBD2 Scanner,ECU Coding, bidirectional scan Tool(4000+ Active Tests), CANFD, DOIP, and FCA SGW. 35+ Services, Android 10.0,Full-System Diagnostics</t>
        </is>
      </c>
      <c r="B548" s="35" t="inlineStr">
        <is>
          <t>B0F8NQK491</t>
        </is>
      </c>
      <c r="C548" s="35" t="inlineStr">
        <is>
          <t>Tablet</t>
        </is>
      </c>
      <c r="D548" s="359" t="n">
        <v>888.28</v>
      </c>
      <c r="E548" s="66" t="n">
        <v>1944.8</v>
      </c>
      <c r="F548" s="66" t="n">
        <v>0</v>
      </c>
      <c r="G548" s="68" t="n">
        <v>4</v>
      </c>
      <c r="H548" s="70" t="n">
        <v>0</v>
      </c>
      <c r="I548" s="68" t="n">
        <v>10</v>
      </c>
      <c r="J548" s="69" t="n">
        <v>4.3</v>
      </c>
      <c r="K548" s="69" t="inlineStr">
        <is>
          <t>https://amazon.com/dp/B0F8NQK491</t>
        </is>
      </c>
      <c r="L548" s="114">
        <f>HYPERLINK(Table3559[[#This Row],[Column1]])</f>
        <v/>
      </c>
    </row>
    <row r="549" ht="17" customHeight="1" s="314">
      <c r="A549" s="35" t="inlineStr">
        <is>
          <t>Launch CRP123 V2.0 OBD2 Scanner, 2025 Upgrade 4 Systems Scanner with 3 Reset, Oil, SAS, Throttle Reset, Full OBD2 Code Reader, Free Update Lifetime</t>
        </is>
      </c>
      <c r="B549" s="35" t="inlineStr">
        <is>
          <t>B01FDKNBC0</t>
        </is>
      </c>
      <c r="C549" s="35" t="inlineStr">
        <is>
          <t>Tablet</t>
        </is>
      </c>
      <c r="D549" s="359" t="n">
        <v>137.7628571428571</v>
      </c>
      <c r="E549" s="66" t="n">
        <v>9963.92</v>
      </c>
      <c r="F549" s="66" t="n">
        <v>0</v>
      </c>
      <c r="G549" s="68" t="n">
        <v>72</v>
      </c>
      <c r="H549" s="70" t="n">
        <v>0</v>
      </c>
      <c r="I549" s="68" t="n">
        <v>506</v>
      </c>
      <c r="J549" s="69" t="n">
        <v>4.2</v>
      </c>
      <c r="K549" s="69" t="inlineStr">
        <is>
          <t>https://amazon.com/dp/B01FDKNBC0</t>
        </is>
      </c>
      <c r="L549" s="114">
        <f>HYPERLINK(Table3559[[#This Row],[Column1]])</f>
        <v/>
      </c>
    </row>
    <row r="550" ht="45" customHeight="1" s="314">
      <c r="A550" s="35" t="inlineStr">
        <is>
          <t>LAUNCH Original USB Charging Cable for X431 CRP123i CRP123e CRP123x, CRP129i CRP129e CRP129x, CRP909e CRP909x OBD2 Scanner 5V DC</t>
        </is>
      </c>
      <c r="B550" s="35" t="inlineStr">
        <is>
          <t>B0DZNGCY22</t>
        </is>
      </c>
      <c r="C550" s="35" t="inlineStr">
        <is>
          <t>Cable/Adapter</t>
        </is>
      </c>
      <c r="D550" s="359" t="n">
        <v>12.99</v>
      </c>
      <c r="E550" s="66" t="n">
        <v>241.83</v>
      </c>
      <c r="F550" s="66" t="n">
        <v>0</v>
      </c>
      <c r="G550" s="68" t="n">
        <v>19</v>
      </c>
      <c r="H550" s="70" t="n">
        <v>0</v>
      </c>
      <c r="I550" s="68" t="n">
        <v>3</v>
      </c>
      <c r="J550" s="69" t="n">
        <v>5</v>
      </c>
      <c r="K550" s="69" t="inlineStr">
        <is>
          <t>https://amazon.com/dp/B0DZNGCY22</t>
        </is>
      </c>
      <c r="L550" s="114">
        <f>HYPERLINK(Table3559[[#This Row],[Column1]])</f>
        <v/>
      </c>
    </row>
    <row r="551" ht="45" customHeight="1" s="314">
      <c r="A551" s="35" t="inlineStr">
        <is>
          <t>LAUNCH Elite HD-V Heavy Duty Truck Scanner for Volvo, All System Active Test Diesel Diagnostic Tool, All Calibration/Reset Services Scan Tool for Diesel Vehicle of Volvo, 4-in-1 Live Graph Data</t>
        </is>
      </c>
      <c r="B551" s="35" t="inlineStr">
        <is>
          <t>B0DQ3WWNXC</t>
        </is>
      </c>
      <c r="C551" s="35" t="inlineStr">
        <is>
          <t>Tablet</t>
        </is>
      </c>
      <c r="D551" s="359" t="n">
        <v>429.99</v>
      </c>
      <c r="E551" s="66" t="n">
        <v>0</v>
      </c>
      <c r="F551" s="66" t="n">
        <v>0</v>
      </c>
      <c r="G551" s="68" t="n">
        <v>0</v>
      </c>
      <c r="H551" s="70" t="n">
        <v>0</v>
      </c>
      <c r="I551" s="68" t="n"/>
      <c r="J551" s="69" t="n"/>
      <c r="K551" s="69" t="inlineStr">
        <is>
          <t>https://amazon.com/dp/B0DQ3WWNXC</t>
        </is>
      </c>
      <c r="L551" s="114">
        <f>HYPERLINK(Table3559[[#This Row],[Column1]])</f>
        <v/>
      </c>
    </row>
    <row r="552" ht="45" customHeight="1" s="314">
      <c r="A552" s="35" t="inlineStr">
        <is>
          <t>LAUNCH X431 PADVII Elite, ECU Pr0gramming , HD Trucks Scanner, EVs, MotorCycles Scan, J2534 Pr0gramming Tool, Online Coding, Topology Map, 60+Service, Remote Diagnosis with Smartlink C 2.0</t>
        </is>
      </c>
      <c r="B552" s="35" t="inlineStr">
        <is>
          <t>B0FCMGZV3K</t>
        </is>
      </c>
      <c r="C552" s="35" t="inlineStr">
        <is>
          <t>Tablet</t>
        </is>
      </c>
      <c r="D552" s="359" t="n">
        <v>2796.005</v>
      </c>
      <c r="E552" s="66" t="n">
        <v>39999.48</v>
      </c>
      <c r="F552" s="66" t="n">
        <v>0</v>
      </c>
      <c r="G552" s="68" t="n">
        <v>15</v>
      </c>
      <c r="H552" s="70" t="n">
        <v>0</v>
      </c>
      <c r="I552" s="68" t="n">
        <v>10</v>
      </c>
      <c r="J552" s="69" t="n">
        <v>3.6</v>
      </c>
      <c r="K552" s="69" t="inlineStr">
        <is>
          <t>https://amazon.com/dp/B0FCMGZV3K</t>
        </is>
      </c>
      <c r="L552" s="114">
        <f>HYPERLINK(Table3559[[#This Row],[Column1]])</f>
        <v/>
      </c>
    </row>
    <row r="553" ht="45" customHeight="1" s="314">
      <c r="A553" s="35" t="inlineStr">
        <is>
          <t>Launch Roxi-WiFi</t>
        </is>
      </c>
      <c r="B553" s="35" t="inlineStr">
        <is>
          <t>B07RWFRF2L</t>
        </is>
      </c>
      <c r="C553" s="35" t="inlineStr">
        <is>
          <t>Handheld</t>
        </is>
      </c>
      <c r="D553" s="359" t="n">
        <v>699.99</v>
      </c>
      <c r="E553" s="66" t="n">
        <v>0</v>
      </c>
      <c r="F553" s="66" t="n">
        <v>0</v>
      </c>
      <c r="G553" s="68" t="n">
        <v>0</v>
      </c>
      <c r="H553" s="70" t="n">
        <v>0</v>
      </c>
      <c r="I553" s="68" t="n">
        <v>0</v>
      </c>
      <c r="J553" s="69" t="n"/>
      <c r="K553" s="69" t="inlineStr">
        <is>
          <t>https://amazon.com/dp/B07RWFRF2L</t>
        </is>
      </c>
      <c r="L553" s="114">
        <f>HYPERLINK(Table3559[[#This Row],[Column1]])</f>
        <v/>
      </c>
    </row>
    <row r="554" ht="60" customHeight="1" s="314">
      <c r="A554" s="35" t="inlineStr">
        <is>
          <t>Launch Creader Elite 3.0 Bidirectional Scan Tool fit for Toyota/Lexus, 2026 All Reset Service Code Reader, Full System OBD2 Scanner, ECU Code, AUTO VIN, Battery Registration, Lifetime Free Update</t>
        </is>
      </c>
      <c r="B554" s="35" t="inlineStr">
        <is>
          <t>B0GG9RNRJM</t>
        </is>
      </c>
      <c r="C554" s="35" t="inlineStr">
        <is>
          <t>Tablet</t>
        </is>
      </c>
      <c r="D554" s="359" t="n">
        <v>151.04</v>
      </c>
      <c r="E554" s="66" t="n">
        <v>0</v>
      </c>
      <c r="F554" s="66" t="n">
        <v>0</v>
      </c>
      <c r="G554" s="68" t="n">
        <v>0</v>
      </c>
      <c r="H554" s="70" t="n">
        <v>0</v>
      </c>
      <c r="I554" s="68" t="n"/>
      <c r="J554" s="69" t="n"/>
      <c r="K554" s="69" t="inlineStr">
        <is>
          <t>https://amazon.com/dp/B0GG9RNRJM</t>
        </is>
      </c>
      <c r="L554" s="114">
        <f>HYPERLINK(Table3559[[#This Row],[Column1]])</f>
        <v/>
      </c>
    </row>
    <row r="555" ht="45" customHeight="1" s="314">
      <c r="A555" s="35" t="inlineStr">
        <is>
          <t>LAUNCH Original Adapter for Mercedes-Benz DR15 Male to OBD1 38 Pin Male [Note: Can't Work Alone] for X-431 Diagnostic Scanner</t>
        </is>
      </c>
      <c r="B555" s="35" t="inlineStr">
        <is>
          <t>B0FFLLDNXC</t>
        </is>
      </c>
      <c r="C555" s="35" t="inlineStr">
        <is>
          <t>OBD1</t>
        </is>
      </c>
      <c r="D555" s="359" t="n">
        <v>25.72</v>
      </c>
      <c r="E555" s="66" t="n">
        <v>447.79</v>
      </c>
      <c r="F555" s="66" t="n">
        <v>0</v>
      </c>
      <c r="G555" s="68" t="n">
        <v>23</v>
      </c>
      <c r="H555" s="70" t="n">
        <v>0</v>
      </c>
      <c r="I555" s="68" t="n"/>
      <c r="J555" s="69" t="n"/>
      <c r="K555" s="69" t="inlineStr">
        <is>
          <t>https://amazon.com/dp/B0FFLLDNXC</t>
        </is>
      </c>
      <c r="L555" s="114">
        <f>HYPERLINK(Table3559[[#This Row],[Column1]])</f>
        <v/>
      </c>
    </row>
    <row r="556" ht="45" customHeight="1" s="314">
      <c r="A556" s="35" t="inlineStr">
        <is>
          <t>Launch Millennium 90 Pro OBD2 Scanner, DIY Full OBD Function Car Code Reader, Check Engine/ABS/SRS/Transmission Diagnostic Scan Tool, Oil/EPB/BMS/DPF/SAS Reset/ABS Bleeding Car Scanner, Free Update</t>
        </is>
      </c>
      <c r="B556" s="35" t="inlineStr">
        <is>
          <t>B09G332FWP</t>
        </is>
      </c>
      <c r="C556" s="35" t="inlineStr">
        <is>
          <t>Handheld</t>
        </is>
      </c>
      <c r="D556" s="359" t="n">
        <v>139.99</v>
      </c>
      <c r="E556" s="66" t="n">
        <v>5829.36</v>
      </c>
      <c r="F556" s="66" t="n">
        <v>0</v>
      </c>
      <c r="G556" s="68" t="n">
        <v>46</v>
      </c>
      <c r="H556" s="70" t="n">
        <v>0</v>
      </c>
      <c r="I556" s="68" t="n">
        <v>33</v>
      </c>
      <c r="J556" s="69" t="n">
        <v>4.4</v>
      </c>
      <c r="K556" s="69" t="inlineStr">
        <is>
          <t>https://amazon.com/dp/B09G332FWP</t>
        </is>
      </c>
      <c r="L556" s="114">
        <f>HYPERLINK(Table3559[[#This Row],[Column1]])</f>
        <v/>
      </c>
    </row>
    <row r="557" ht="45" customHeight="1" s="314">
      <c r="A557" s="35" t="inlineStr">
        <is>
          <t>LAUNCH X431 Plus, with X-PROG3 Tool, All-System Diagnostics, Bi-Directional Scan Tool, 39+ Services, ECU Code Scanner, V.A.G Guided, CAN FD&amp;DOIP</t>
        </is>
      </c>
      <c r="B557" s="35" t="inlineStr">
        <is>
          <t>B0DHCN8WKP</t>
        </is>
      </c>
      <c r="C557" s="35" t="inlineStr">
        <is>
          <t>Tablet</t>
        </is>
      </c>
      <c r="D557" s="359" t="n">
        <v>1499</v>
      </c>
      <c r="E557" s="66" t="n">
        <v>15609.17</v>
      </c>
      <c r="F557" s="66" t="n">
        <v>0</v>
      </c>
      <c r="G557" s="68" t="n">
        <v>12</v>
      </c>
      <c r="H557" s="70" t="n">
        <v>0</v>
      </c>
      <c r="I557" s="68" t="n">
        <v>1</v>
      </c>
      <c r="J557" s="69" t="n">
        <v>3</v>
      </c>
      <c r="K557" s="69" t="inlineStr">
        <is>
          <t>https://amazon.com/dp/B0DHCN8WKP</t>
        </is>
      </c>
      <c r="L557" s="114">
        <f>HYPERLINK(Table3559[[#This Row],[Column1]])</f>
        <v/>
      </c>
    </row>
    <row r="558" ht="45" customHeight="1" s="314">
      <c r="A558" s="35" t="inlineStr">
        <is>
          <t>LAUNCH Scanner X431 PRO Star Bidirectional Scan Tool, 2026 8 Inch Car Scanner with ECU Coding, CANFD &amp; DOIP Crankshaft Relearn - All System Diagnostic Tool, 38+ Reset, Active Test, FCA Autoauth</t>
        </is>
      </c>
      <c r="B558" s="35" t="inlineStr">
        <is>
          <t>B0D978QJ71</t>
        </is>
      </c>
      <c r="C558" s="35" t="inlineStr">
        <is>
          <t>Tablet</t>
        </is>
      </c>
      <c r="D558" s="359" t="n">
        <v>799</v>
      </c>
      <c r="E558" s="66" t="n">
        <v>16047.28</v>
      </c>
      <c r="F558" s="66" t="n">
        <v>0</v>
      </c>
      <c r="G558" s="68" t="n">
        <v>23</v>
      </c>
      <c r="H558" s="70" t="n">
        <v>0</v>
      </c>
      <c r="I558" s="68" t="n">
        <v>19</v>
      </c>
      <c r="J558" s="69" t="n">
        <v>4.6</v>
      </c>
      <c r="K558" s="69" t="inlineStr">
        <is>
          <t>https://amazon.com/dp/B0D978QJ71</t>
        </is>
      </c>
      <c r="L558" s="114">
        <f>HYPERLINK(Table3559[[#This Row],[Column1]])</f>
        <v/>
      </c>
    </row>
    <row r="559" ht="45" customHeight="1" s="314">
      <c r="A559" s="35" t="inlineStr">
        <is>
          <t>Launch DBScar VII OBD2 Diagnostic Cable with Adapter, J2534 Reprogramming &amp; ECU Coding Enhanced Compatibility Scanner Tool Cable</t>
        </is>
      </c>
      <c r="B559" s="35" t="inlineStr">
        <is>
          <t>B0G49WNX5Q</t>
        </is>
      </c>
      <c r="C559" s="35" t="inlineStr">
        <is>
          <t>Tablet</t>
        </is>
      </c>
      <c r="D559" s="359" t="n">
        <v>41.99</v>
      </c>
      <c r="E559" s="66" t="n">
        <v>0</v>
      </c>
      <c r="F559" s="66" t="n">
        <v>0</v>
      </c>
      <c r="G559" s="68" t="n">
        <v>0</v>
      </c>
      <c r="H559" s="70" t="n">
        <v>0</v>
      </c>
      <c r="I559" s="68" t="n"/>
      <c r="J559" s="69" t="n"/>
      <c r="K559" s="69" t="inlineStr">
        <is>
          <t>https://amazon.com/dp/B0G49WNX5Q</t>
        </is>
      </c>
      <c r="L559" s="114">
        <f>HYPERLINK(Table3559[[#This Row],[Column1]])</f>
        <v/>
      </c>
    </row>
    <row r="560" ht="45" customHeight="1" s="314">
      <c r="A560" s="35" t="inlineStr">
        <is>
          <t>Launch X431 OBD1 Scanner Cable - Original Launch OBD I Diagnostic Cable Adapter for X431 PAD/V/PAD VII/Scanners, Compatible with GM Ford Chrysler Honda Toyota Nissan Vehicles (16 Pin ALDL Connector)</t>
        </is>
      </c>
      <c r="B560" s="35" t="inlineStr">
        <is>
          <t>B0G49SQ7LD</t>
        </is>
      </c>
      <c r="C560" s="35" t="inlineStr">
        <is>
          <t>Cable/Adapter</t>
        </is>
      </c>
      <c r="D560" s="359" t="n">
        <v>20.99</v>
      </c>
      <c r="E560" s="66" t="n">
        <v>137.27</v>
      </c>
      <c r="F560" s="66" t="n">
        <v>0</v>
      </c>
      <c r="G560" s="68" t="n">
        <v>7</v>
      </c>
      <c r="H560" s="70" t="n">
        <v>0</v>
      </c>
      <c r="I560" s="68" t="n"/>
      <c r="J560" s="69" t="n"/>
      <c r="K560" s="69" t="inlineStr">
        <is>
          <t>https://amazon.com/dp/B0G49SQ7LD</t>
        </is>
      </c>
      <c r="L560" s="114">
        <f>HYPERLINK(Table3559[[#This Row],[Column1]])</f>
        <v/>
      </c>
    </row>
    <row r="561" ht="45" customHeight="1" s="314">
      <c r="A561" s="35" t="inlineStr">
        <is>
          <t>LAUNCH CRP919 New Energy Vehicle Scanner, EV Scan Tool with All System, ECU Coding, Bidirectional Control, 43 Service, CANFD and DOIP, 2 Yers Free Update</t>
        </is>
      </c>
      <c r="B561" s="35" t="inlineStr">
        <is>
          <t>B0F21GPYPT</t>
        </is>
      </c>
      <c r="C561" s="35" t="inlineStr">
        <is>
          <t>Tablet</t>
        </is>
      </c>
      <c r="D561" s="359" t="n">
        <v>549</v>
      </c>
      <c r="E561" s="66" t="n">
        <v>1610.16</v>
      </c>
      <c r="F561" s="66" t="n">
        <v>0</v>
      </c>
      <c r="G561" s="68" t="n">
        <v>4</v>
      </c>
      <c r="H561" s="70" t="n">
        <v>0</v>
      </c>
      <c r="I561" s="68" t="n"/>
      <c r="J561" s="69" t="n"/>
      <c r="K561" s="69" t="inlineStr">
        <is>
          <t>https://amazon.com/dp/B0F21GPYPT</t>
        </is>
      </c>
      <c r="L561" s="114">
        <f>HYPERLINK(Table3559[[#This Row],[Column1]])</f>
        <v/>
      </c>
    </row>
    <row r="562" ht="45" customHeight="1" s="314">
      <c r="A562" s="35" t="inlineStr">
        <is>
          <t>LAUNCH X431 CAN FD Adapter Code Reader Cable CANFD Protocols Car Diagnostic OBD2 Scanner for X431 V/V+/ Pad II/PAD III/ PRO3/ PRO3S+/DIAGUN V/PRO Mini, Compatible with GM, BMW</t>
        </is>
      </c>
      <c r="B562" s="35" t="inlineStr">
        <is>
          <t>B0B8D789HP</t>
        </is>
      </c>
      <c r="C562" s="35" t="inlineStr">
        <is>
          <t>Cable/Adapter</t>
        </is>
      </c>
      <c r="D562" s="359" t="n">
        <v>109</v>
      </c>
      <c r="E562" s="66" t="n">
        <v>425.75</v>
      </c>
      <c r="F562" s="66" t="n">
        <v>0</v>
      </c>
      <c r="G562" s="68" t="n">
        <v>4</v>
      </c>
      <c r="H562" s="70" t="n">
        <v>0</v>
      </c>
      <c r="I562" s="68" t="n">
        <v>2</v>
      </c>
      <c r="J562" s="69" t="n">
        <v>5</v>
      </c>
      <c r="K562" s="69" t="inlineStr">
        <is>
          <t>https://amazon.com/dp/B0B8D789HP</t>
        </is>
      </c>
      <c r="L562" s="114">
        <f>HYPERLINK(Table3559[[#This Row],[Column1]])</f>
        <v/>
      </c>
    </row>
    <row r="563" ht="30" customHeight="1" s="314">
      <c r="A563" s="35" t="inlineStr">
        <is>
          <t>LAUNCH X-431 HTD180 Handheld Laser Tire Tread Depth Gauge with Touch Screen, 0.1mm High Accuracy Real-time Data Tire Health Scan Tool Support Wi-Fi and Bluetooth Connection</t>
        </is>
      </c>
      <c r="B563" s="35" t="inlineStr">
        <is>
          <t>B0FGN4MBD2</t>
        </is>
      </c>
      <c r="C563" s="35" t="inlineStr">
        <is>
          <t>Other</t>
        </is>
      </c>
      <c r="D563" s="359" t="n">
        <v>299</v>
      </c>
      <c r="E563" s="66" t="n">
        <v>3297.49</v>
      </c>
      <c r="F563" s="66" t="n">
        <v>0</v>
      </c>
      <c r="G563" s="68" t="n">
        <v>11</v>
      </c>
      <c r="H563" s="70" t="n">
        <v>0</v>
      </c>
      <c r="I563" s="68" t="n"/>
      <c r="J563" s="69" t="n"/>
      <c r="K563" s="69" t="inlineStr">
        <is>
          <t>https://amazon.com/dp/B0FGN4MBD2</t>
        </is>
      </c>
      <c r="L563" s="114">
        <f>HYPERLINK(Table3559[[#This Row],[Column1]])</f>
        <v/>
      </c>
    </row>
    <row r="564" ht="45" customHeight="1" s="314">
      <c r="A564" s="35" t="inlineStr">
        <is>
          <t>LAUNCH Creader Elite V3.0 for Land Rover Jaguar OBD2 Scanner, Bi-Directional Full Systems Diagnostic Scan Tool, All Reset Services, Active Test, CAN-FD &amp; DOIP, Height Calibration, Lifetime Free Update</t>
        </is>
      </c>
      <c r="B564" s="35" t="inlineStr">
        <is>
          <t>B0GGPBVP63</t>
        </is>
      </c>
      <c r="C564" s="35" t="inlineStr">
        <is>
          <t>Tablet</t>
        </is>
      </c>
      <c r="D564" s="359" t="n">
        <v>209</v>
      </c>
      <c r="E564" s="66" t="n">
        <v>0</v>
      </c>
      <c r="F564" s="66" t="n">
        <v>0</v>
      </c>
      <c r="G564" s="68" t="n">
        <v>0</v>
      </c>
      <c r="H564" s="70" t="n">
        <v>0</v>
      </c>
      <c r="I564" s="68" t="n"/>
      <c r="J564" s="69" t="n"/>
      <c r="K564" s="69" t="inlineStr">
        <is>
          <t>https://amazon.com/dp/B0GGPBVP63</t>
        </is>
      </c>
      <c r="L564" s="114">
        <f>HYPERLINK(Table3559[[#This Row],[Column1]])</f>
        <v/>
      </c>
    </row>
    <row r="565" ht="60" customHeight="1" s="314">
      <c r="A565" s="35" t="inlineStr">
        <is>
          <t>LAUNCH OBD2 Scanner CRP919X Lite, Active Tests &amp; 32+ Reset Services Bidirectional Scan Tool, 2-Year Free Update, OE-Level Full System Scan Tool, ABS Bleeding, BMS/Oil Reset, Auto VIN</t>
        </is>
      </c>
      <c r="B565" s="35" t="inlineStr">
        <is>
          <t>B08BFW6R3N</t>
        </is>
      </c>
      <c r="C565" s="35" t="inlineStr">
        <is>
          <t>Tablet</t>
        </is>
      </c>
      <c r="D565" s="359" t="n">
        <v>405</v>
      </c>
      <c r="E565" s="66" t="n">
        <v>19002.99</v>
      </c>
      <c r="F565" s="66" t="n">
        <v>0</v>
      </c>
      <c r="G565" s="68" t="n">
        <v>53</v>
      </c>
      <c r="H565" s="70" t="n">
        <v>0</v>
      </c>
      <c r="I565" s="68" t="n">
        <v>412</v>
      </c>
      <c r="J565" s="69" t="n">
        <v>4.2</v>
      </c>
      <c r="K565" s="69" t="inlineStr">
        <is>
          <t>https://amazon.com/dp/B08BFW6R3N</t>
        </is>
      </c>
      <c r="L565" s="114">
        <f>HYPERLINK(Table3559[[#This Row],[Column1]])</f>
        <v/>
      </c>
    </row>
    <row r="566" ht="30" customHeight="1" s="314">
      <c r="A566" s="35" t="inlineStr">
        <is>
          <t>LAUNCH X431 PAD V Elite,2026 Scan Tool, ECU Online Code Scan Tool,Topology Map,Bi-Directional Control Scanner,60+ Services,CANFD/DOIP, HD Truck,2 Yrs Free Update</t>
        </is>
      </c>
      <c r="B566" s="35" t="inlineStr">
        <is>
          <t>B0CT8LN72G</t>
        </is>
      </c>
      <c r="C566" s="35" t="inlineStr">
        <is>
          <t>Tablet</t>
        </is>
      </c>
      <c r="D566" s="359" t="n">
        <v>1899</v>
      </c>
      <c r="E566" s="66" t="n">
        <v>11603.08</v>
      </c>
      <c r="F566" s="66" t="n">
        <v>0</v>
      </c>
      <c r="G566" s="68" t="n">
        <v>7</v>
      </c>
      <c r="H566" s="70" t="n">
        <v>0</v>
      </c>
      <c r="I566" s="68" t="n">
        <v>3</v>
      </c>
      <c r="J566" s="69" t="n">
        <v>5</v>
      </c>
      <c r="K566" s="69" t="inlineStr">
        <is>
          <t>https://amazon.com/dp/B0CT8LN72G</t>
        </is>
      </c>
      <c r="L566" s="114">
        <f>HYPERLINK(Table3559[[#This Row],[Column1]])</f>
        <v/>
      </c>
    </row>
    <row r="567" ht="45" customHeight="1" s="314">
      <c r="A567" s="35" t="inlineStr">
        <is>
          <t>2026 LAUNCH X431 Pro Dyno All-in-one Diagnostic scan Tool for All Cars, ECU Coding Bi-Directional Control 38+ Services Full System OBD2 Scanner, CANFD DOIP, AutoAuth FCA SGW, 2 Years Free Update</t>
        </is>
      </c>
      <c r="B567" s="35" t="inlineStr">
        <is>
          <t>B0CGHC72MX</t>
        </is>
      </c>
      <c r="C567" s="35" t="inlineStr">
        <is>
          <t>Tablet</t>
        </is>
      </c>
      <c r="D567" s="359" t="n">
        <v>749</v>
      </c>
      <c r="E567" s="66" t="n">
        <v>32846.21</v>
      </c>
      <c r="F567" s="66" t="n">
        <v>0</v>
      </c>
      <c r="G567" s="68" t="n">
        <v>39</v>
      </c>
      <c r="H567" s="70" t="n">
        <v>0</v>
      </c>
      <c r="I567" s="68" t="n">
        <v>76</v>
      </c>
      <c r="J567" s="69" t="n">
        <v>4.4</v>
      </c>
      <c r="K567" s="69" t="inlineStr">
        <is>
          <t>https://amazon.com/dp/B0CGHC72MX</t>
        </is>
      </c>
      <c r="L567" s="114">
        <f>HYPERLINK(Table3559[[#This Row],[Column1]])</f>
        <v/>
      </c>
    </row>
    <row r="568" ht="45" customHeight="1" s="314">
      <c r="A568" s="35" t="inlineStr">
        <is>
          <t>LAUNCH CRP 123X OR LAUNCH X431 1MM0 Elite</t>
        </is>
      </c>
      <c r="B568" s="35" t="inlineStr">
        <is>
          <t>B0FCXZ7FGB</t>
        </is>
      </c>
      <c r="C568" s="35" t="inlineStr">
        <is>
          <t>Tablet</t>
        </is>
      </c>
      <c r="D568" s="359" t="n">
        <v>1299</v>
      </c>
      <c r="E568" s="66" t="n">
        <v>0</v>
      </c>
      <c r="F568" s="66" t="n">
        <v>0</v>
      </c>
      <c r="G568" s="68" t="n">
        <v>0</v>
      </c>
      <c r="H568" s="70" t="n">
        <v>0</v>
      </c>
      <c r="I568" s="68" t="n">
        <v>186</v>
      </c>
      <c r="J568" s="69" t="n">
        <v>4.3</v>
      </c>
      <c r="K568" s="69" t="inlineStr">
        <is>
          <t>https://amazon.com/dp/B0FCXZ7FGB</t>
        </is>
      </c>
      <c r="L568" s="114">
        <f>HYPERLINK(Table3559[[#This Row],[Column1]])</f>
        <v/>
      </c>
    </row>
    <row r="569" ht="45" customHeight="1" s="314">
      <c r="A569" s="35" t="inlineStr">
        <is>
          <t>LAUNCH Creader Elite HD Cummins Detroit MAXXFORCE Heavy Duty Truck Diesel Diagnostic Scanner Machinery Vessel Scan Tool, Actuation Test, Special Functions,System Diagnosis, Lifetime Free Upgrade</t>
        </is>
      </c>
      <c r="B569" s="35" t="inlineStr">
        <is>
          <t>B0D7HSGQGZ</t>
        </is>
      </c>
      <c r="C569" s="35" t="inlineStr">
        <is>
          <t>Tablet</t>
        </is>
      </c>
      <c r="D569" s="359" t="n">
        <v>429</v>
      </c>
      <c r="E569" s="66" t="n">
        <v>0</v>
      </c>
      <c r="F569" s="66" t="n">
        <v>0</v>
      </c>
      <c r="G569" s="68" t="n">
        <v>0</v>
      </c>
      <c r="H569" s="70" t="n">
        <v>0</v>
      </c>
      <c r="I569" s="68" t="n">
        <v>1</v>
      </c>
      <c r="J569" s="69" t="n">
        <v>5</v>
      </c>
      <c r="K569" s="69" t="inlineStr">
        <is>
          <t>https://amazon.com/dp/B0D7HSGQGZ</t>
        </is>
      </c>
      <c r="L569" s="114">
        <f>HYPERLINK(Table3559[[#This Row],[Column1]])</f>
        <v/>
      </c>
    </row>
    <row r="570" ht="45" customHeight="1" s="314">
      <c r="A570" s="35" t="inlineStr">
        <is>
          <t>LAUNCH Creader Elite HD-Volvo International Isuzu Hino Heavy Duty Truck Cummins Detroit MAXXFORCE Diagnostic Scanner, Diagnosis,Actuation Test,Coding, Special Functions, Lifetime Free Upgrade</t>
        </is>
      </c>
      <c r="B570" s="35" t="inlineStr">
        <is>
          <t>B0DD7T894N</t>
        </is>
      </c>
      <c r="C570" s="35" t="inlineStr">
        <is>
          <t>Tablet</t>
        </is>
      </c>
      <c r="D570" s="359" t="n">
        <v>429</v>
      </c>
      <c r="E570" s="66" t="n">
        <v>20871.51</v>
      </c>
      <c r="F570" s="66" t="n">
        <v>0</v>
      </c>
      <c r="G570" s="68" t="n">
        <v>49</v>
      </c>
      <c r="H570" s="70" t="n">
        <v>0</v>
      </c>
      <c r="I570" s="68" t="n">
        <v>2</v>
      </c>
      <c r="J570" s="69" t="n">
        <v>5</v>
      </c>
      <c r="K570" s="69" t="inlineStr">
        <is>
          <t>https://amazon.com/dp/B0DD7T894N</t>
        </is>
      </c>
      <c r="L570" s="114">
        <f>HYPERLINK(Table3559[[#This Row],[Column1]])</f>
        <v/>
      </c>
    </row>
    <row r="571" ht="17" customHeight="1" s="314">
      <c r="A571" s="35" t="inlineStr">
        <is>
          <t>LAUNCH Creader Elite HD Cummins Detroit MAXXFORCE Caterpillar HD-Volvo International Isuzu Hino Heavy Duty Truck Diesel Diagnostic Scaner,Actuation Test,Coding,Special Functions,Lifetime Free Upgrade</t>
        </is>
      </c>
      <c r="B571" s="35" t="inlineStr">
        <is>
          <t>B0DCNCJ5MM</t>
        </is>
      </c>
      <c r="C571" s="35" t="inlineStr">
        <is>
          <t>Tablet</t>
        </is>
      </c>
      <c r="D571" s="359" t="n">
        <v>429</v>
      </c>
      <c r="E571" s="66" t="n">
        <v>24030.77</v>
      </c>
      <c r="F571" s="66" t="n">
        <v>0</v>
      </c>
      <c r="G571" s="68" t="n">
        <v>55</v>
      </c>
      <c r="H571" s="70" t="n">
        <v>0</v>
      </c>
      <c r="I571" s="68" t="n">
        <v>2</v>
      </c>
      <c r="J571" s="69" t="n">
        <v>5</v>
      </c>
      <c r="K571" s="69" t="inlineStr">
        <is>
          <t>https://amazon.com/dp/B0DCNCJ5MM</t>
        </is>
      </c>
      <c r="L571" s="114">
        <f>HYPERLINK(Table3559[[#This Row],[Column1]])</f>
        <v/>
      </c>
    </row>
    <row r="572" ht="30" customHeight="1" s="314">
      <c r="A572" s="35" t="inlineStr">
        <is>
          <t>LAUNCH X431 PRO3 ACE 2026 Upgraded Bidirectional Scan Tool, DBSCar VII Connector, OEM Topology Map, HD Trucks Scan, 55+ Service, Online Code, All System, CAN FD &amp; DoIP, FCA SGW</t>
        </is>
      </c>
      <c r="B572" s="35" t="inlineStr">
        <is>
          <t>B0DFB9W42Z</t>
        </is>
      </c>
      <c r="C572" s="35" t="inlineStr">
        <is>
          <t>Tablet</t>
        </is>
      </c>
      <c r="D572" s="359" t="n">
        <v>1099</v>
      </c>
      <c r="E572" s="66" t="n">
        <v>17764.86</v>
      </c>
      <c r="F572" s="66" t="n">
        <v>0</v>
      </c>
      <c r="G572" s="68" t="n">
        <v>15</v>
      </c>
      <c r="H572" s="70" t="n">
        <v>0</v>
      </c>
      <c r="I572" s="68" t="n">
        <v>4</v>
      </c>
      <c r="J572" s="69" t="n">
        <v>5</v>
      </c>
      <c r="K572" s="69" t="inlineStr">
        <is>
          <t>https://amazon.com/dp/B0DFB9W42Z</t>
        </is>
      </c>
      <c r="L572" s="114">
        <f>HYPERLINK(Table3559[[#This Row],[Column1]])</f>
        <v/>
      </c>
    </row>
    <row r="573" ht="17" customHeight="1" s="314">
      <c r="A573" s="35" t="inlineStr">
        <is>
          <t>LAUNCH CR301 Two Button Scan Tool</t>
        </is>
      </c>
      <c r="B573" s="35" t="inlineStr">
        <is>
          <t>B07CTYQPF6</t>
        </is>
      </c>
      <c r="C573" s="35" t="inlineStr">
        <is>
          <t>Handheld</t>
        </is>
      </c>
      <c r="D573" s="359" t="n">
        <v>22.92</v>
      </c>
      <c r="E573" s="66" t="n">
        <v>91.69</v>
      </c>
      <c r="F573" s="66" t="n">
        <v>0</v>
      </c>
      <c r="G573" s="68" t="n">
        <v>4</v>
      </c>
      <c r="H573" s="70" t="n">
        <v>0</v>
      </c>
      <c r="I573" s="68" t="n">
        <v>11</v>
      </c>
      <c r="J573" s="69" t="n">
        <v>4.5</v>
      </c>
      <c r="K573" s="69" t="inlineStr">
        <is>
          <t>https://amazon.com/dp/B07CTYQPF6</t>
        </is>
      </c>
      <c r="L573" s="114">
        <f>HYPERLINK(Table3559[[#This Row],[Column1]])</f>
        <v/>
      </c>
    </row>
    <row r="574" ht="45" customHeight="1" s="314">
      <c r="A574" s="35" t="inlineStr">
        <is>
          <t>LAUNCH OBD2 Scanner Diagnostic Scan Tool, Millennium OBD Check Engine Code Reader, One-Click to Check I/M Readiness, Battery Voltage Test, DTC Lookup, Lifetime Update, for All Vehicles After 1996</t>
        </is>
      </c>
      <c r="B574" s="35" t="inlineStr">
        <is>
          <t>B08QGNRKZZ</t>
        </is>
      </c>
      <c r="C574" s="35" t="inlineStr">
        <is>
          <t>Handheld</t>
        </is>
      </c>
      <c r="D574" s="359" t="n">
        <v>68.90000000000001</v>
      </c>
      <c r="E574" s="66" t="n">
        <v>991.1200000000001</v>
      </c>
      <c r="F574" s="66" t="n">
        <v>0</v>
      </c>
      <c r="G574" s="68" t="n">
        <v>24</v>
      </c>
      <c r="H574" s="70" t="n">
        <v>0</v>
      </c>
      <c r="I574" s="68" t="n">
        <v>4</v>
      </c>
      <c r="J574" s="69" t="n">
        <v>5</v>
      </c>
      <c r="K574" s="69" t="inlineStr">
        <is>
          <t>https://amazon.com/dp/B08QGNRKZZ</t>
        </is>
      </c>
      <c r="L574" s="114">
        <f>HYPERLINK(Table3559[[#This Row],[Column1]])</f>
        <v/>
      </c>
    </row>
    <row r="575" ht="45" customHeight="1" s="314">
      <c r="A575" s="35" t="inlineStr">
        <is>
          <t>LAUNCH X431 OBD2 Scanner V+ SmartLink HD All System Heavy Duty Trcuk Diagnostic Scan Tool Diesel Bidirectional Code Reader for Commercial Vehicle with ABS SRS DPF Regen</t>
        </is>
      </c>
      <c r="B575" s="35" t="inlineStr">
        <is>
          <t>B0CX5963CY</t>
        </is>
      </c>
      <c r="C575" s="35" t="inlineStr">
        <is>
          <t>Tablet</t>
        </is>
      </c>
      <c r="D575" s="359" t="n">
        <v>1499</v>
      </c>
      <c r="E575" s="66" t="n">
        <v>23560.38</v>
      </c>
      <c r="F575" s="66" t="n">
        <v>0</v>
      </c>
      <c r="G575" s="68" t="n">
        <v>20</v>
      </c>
      <c r="H575" s="70" t="n">
        <v>0</v>
      </c>
      <c r="I575" s="68" t="n"/>
      <c r="J575" s="69" t="n"/>
      <c r="K575" s="69" t="inlineStr">
        <is>
          <t>https://amazon.com/dp/B0CX5963CY</t>
        </is>
      </c>
      <c r="L575" s="114">
        <f>HYPERLINK(Table3559[[#This Row],[Column1]])</f>
        <v/>
      </c>
    </row>
    <row r="576" ht="17" customHeight="1" s="314">
      <c r="A576" s="35" t="inlineStr">
        <is>
          <t>LAUNCH X431 Creader 5011 V2 TPMS Scan Tool，Tire Pressure Monitoring TPMS Sensor (315+433MHz) Read/Activate/Relearn Scanner,OBD2 Code Reader &amp; 12 Hot Reset, Lifetime Free Update</t>
        </is>
      </c>
      <c r="B576" s="35" t="inlineStr">
        <is>
          <t>B0DQ12V9NH</t>
        </is>
      </c>
      <c r="C576" s="35" t="inlineStr">
        <is>
          <t>Handheld</t>
        </is>
      </c>
      <c r="D576" s="359" t="n">
        <v>209</v>
      </c>
      <c r="E576" s="66" t="n">
        <v>6148.18</v>
      </c>
      <c r="F576" s="66" t="n">
        <v>0</v>
      </c>
      <c r="G576" s="68" t="n">
        <v>26</v>
      </c>
      <c r="H576" s="70" t="n">
        <v>0</v>
      </c>
      <c r="I576" s="68" t="n">
        <v>3</v>
      </c>
      <c r="J576" s="69" t="n">
        <v>5</v>
      </c>
      <c r="K576" s="69" t="inlineStr">
        <is>
          <t>https://amazon.com/dp/B0DQ12V9NH</t>
        </is>
      </c>
      <c r="L576" s="114">
        <f>HYPERLINK(Table3559[[#This Row],[Column1]])</f>
        <v/>
      </c>
    </row>
    <row r="577" ht="60" customHeight="1" s="314">
      <c r="A577" s="35" t="inlineStr">
        <is>
          <t>LAUNCH X431 CRP919 New Energy Vehicle Scanner, 2026 EV Scan Tool with All System, ECU Code, Bidirectional Control, 43 Service, CANFD and DOIP, 2 Years Free Update</t>
        </is>
      </c>
      <c r="B577" s="35" t="inlineStr">
        <is>
          <t>B0DP4KWH9R</t>
        </is>
      </c>
      <c r="C577" s="35" t="inlineStr">
        <is>
          <t>Tablet</t>
        </is>
      </c>
      <c r="D577" s="359" t="n">
        <v>549</v>
      </c>
      <c r="E577" s="66" t="n">
        <v>16922.97</v>
      </c>
      <c r="F577" s="66" t="n">
        <v>0</v>
      </c>
      <c r="G577" s="68" t="n">
        <v>35</v>
      </c>
      <c r="H577" s="70" t="n">
        <v>0</v>
      </c>
      <c r="I577" s="68" t="n">
        <v>7</v>
      </c>
      <c r="J577" s="69" t="n">
        <v>2.7</v>
      </c>
      <c r="K577" s="69" t="inlineStr">
        <is>
          <t>https://amazon.com/dp/B0DP4KWH9R</t>
        </is>
      </c>
      <c r="L577" s="114">
        <f>HYPERLINK(Table3559[[#This Row],[Column1]])</f>
        <v/>
      </c>
    </row>
    <row r="578" ht="17" customHeight="1" s="314">
      <c r="A578" s="35" t="inlineStr">
        <is>
          <t>2024 LAUNCH Creader Elite Bidirectional Scan Tool fit for VW Audi Skoda Seat, Online Coding OBD2 Scanner, Full System All Reset Diagnostic for V.A.G After 1996, Battery Register, Lifetime Update</t>
        </is>
      </c>
      <c r="B578" s="35" t="inlineStr">
        <is>
          <t>B09XV5W3HD</t>
        </is>
      </c>
      <c r="C578" s="35" t="inlineStr">
        <is>
          <t>Handheld</t>
        </is>
      </c>
      <c r="D578" s="359" t="n">
        <v>315.88</v>
      </c>
      <c r="E578" s="66" t="n">
        <v>0</v>
      </c>
      <c r="F578" s="66" t="n">
        <v>0</v>
      </c>
      <c r="G578" s="68" t="n">
        <v>0</v>
      </c>
      <c r="H578" s="70" t="n">
        <v>0</v>
      </c>
      <c r="I578" s="68" t="n">
        <v>175</v>
      </c>
      <c r="J578" s="69" t="n">
        <v>4.1</v>
      </c>
      <c r="K578" s="69" t="inlineStr">
        <is>
          <t>https://amazon.com/dp/B09XV5W3HD</t>
        </is>
      </c>
      <c r="L578" s="114">
        <f>HYPERLINK(Table3559[[#This Row],[Column1]])</f>
        <v/>
      </c>
    </row>
    <row r="579">
      <c r="A579" s="35" t="inlineStr">
        <is>
          <t>LAUNCH X431 PRO Star [2025 Lastest Version] Bi-Directional Diagnostic Scanner, 37+ Services, ECU Coding, Full System OBD2 Scan Tool with CANFD, DoIP, FCA AutoAuth, Quick Guided, 2 Years Free Update</t>
        </is>
      </c>
      <c r="B579" s="35" t="inlineStr">
        <is>
          <t>B0D7W36PVD</t>
        </is>
      </c>
      <c r="C579" s="35" t="inlineStr">
        <is>
          <t>Tablet</t>
        </is>
      </c>
      <c r="D579" s="359" t="n">
        <v>645</v>
      </c>
      <c r="E579" s="66" t="n">
        <v>7750.51</v>
      </c>
      <c r="F579" s="66" t="n">
        <v>0</v>
      </c>
      <c r="G579" s="68" t="n">
        <v>13</v>
      </c>
      <c r="H579" s="70" t="n">
        <v>0</v>
      </c>
      <c r="I579" s="68" t="n">
        <v>7</v>
      </c>
      <c r="J579" s="69" t="n">
        <v>4.7</v>
      </c>
      <c r="K579" s="69" t="inlineStr">
        <is>
          <t>https://amazon.com/dp/B0D7W36PVD</t>
        </is>
      </c>
      <c r="L579" s="114">
        <f>HYPERLINK(Table3559[[#This Row],[Column1]])</f>
        <v/>
      </c>
    </row>
    <row r="580">
      <c r="A580" s="35" t="inlineStr">
        <is>
          <t>LAUNCH X431 PAD V Elite ECU Coding Scan Tool,Topology Map,Full System Diagnostic Scanner,Full Bi-Directional Control &amp; 60+ Reset Functions,Heavy Duty Truck,CAN FD,2 Yrs Update</t>
        </is>
      </c>
      <c r="B580" s="35" t="inlineStr">
        <is>
          <t>B092LYKYF5</t>
        </is>
      </c>
      <c r="C580" s="35" t="inlineStr">
        <is>
          <t>Tablet</t>
        </is>
      </c>
      <c r="D580" s="359" t="n">
        <v>1899</v>
      </c>
      <c r="E580" s="66" t="n">
        <v>23861.84</v>
      </c>
      <c r="F580" s="66" t="n">
        <v>0</v>
      </c>
      <c r="G580" s="68" t="n">
        <v>13</v>
      </c>
      <c r="H580" s="70" t="n">
        <v>0</v>
      </c>
      <c r="I580" s="68" t="n">
        <v>54</v>
      </c>
      <c r="J580" s="69" t="n">
        <v>3.8</v>
      </c>
      <c r="K580" s="69" t="inlineStr">
        <is>
          <t>https://amazon.com/dp/B092LYKYF5</t>
        </is>
      </c>
      <c r="L580" s="114">
        <f>HYPERLINK(Table3559[[#This Row],[Column1]])</f>
        <v/>
      </c>
    </row>
    <row r="581">
      <c r="A581" s="35" t="inlineStr">
        <is>
          <t>LAUNCH Creader Elite HD CRE CUMMIS Full System Heavy Duty Truck Scanner Semi Bidirectional Diesel Diagnostic Scan Tool with DPF Regen, 40+ Reset for Cummins</t>
        </is>
      </c>
      <c r="B581" s="35" t="inlineStr">
        <is>
          <t>B0DHCD4XK4</t>
        </is>
      </c>
      <c r="C581" s="35" t="inlineStr">
        <is>
          <t>Tablet</t>
        </is>
      </c>
      <c r="D581" s="359" t="n">
        <v>429</v>
      </c>
      <c r="E581" s="66" t="n">
        <v>8480.93</v>
      </c>
      <c r="F581" s="66" t="n">
        <v>0</v>
      </c>
      <c r="G581" s="68" t="n">
        <v>19</v>
      </c>
      <c r="H581" s="70" t="n">
        <v>0</v>
      </c>
      <c r="I581" s="68" t="n">
        <v>8</v>
      </c>
      <c r="J581" s="69" t="n">
        <v>4.8</v>
      </c>
      <c r="K581" s="69" t="inlineStr">
        <is>
          <t>https://amazon.com/dp/B0DHCD4XK4</t>
        </is>
      </c>
      <c r="L581" s="114">
        <f>HYPERLINK(Table3559[[#This Row],[Column1]])</f>
        <v/>
      </c>
    </row>
    <row r="582">
      <c r="A582" s="35" t="inlineStr">
        <is>
          <t>LAUNCH X431 SmartLink C V2.0 HD Lite Heavy Duty Diagnostic Module,Diesel Scan Tool for 24V HD Trucks &amp; Commercial Vehicle,CANFD&amp;DOIP,Compatible with 8-inch Tablet X431 PRO V5.0/PROS 5.0/PRO TT/Dyno</t>
        </is>
      </c>
      <c r="B582" s="35" t="inlineStr">
        <is>
          <t>B0FKG56Q8C</t>
        </is>
      </c>
      <c r="C582" s="35" t="inlineStr">
        <is>
          <t>Tablet</t>
        </is>
      </c>
      <c r="D582" s="359" t="n">
        <v>699</v>
      </c>
      <c r="E582" s="66" t="n">
        <v>6220.46</v>
      </c>
      <c r="F582" s="66" t="n">
        <v>0</v>
      </c>
      <c r="G582" s="68" t="n">
        <v>7</v>
      </c>
      <c r="H582" s="70" t="n">
        <v>0</v>
      </c>
      <c r="I582" s="68" t="n">
        <v>1</v>
      </c>
      <c r="J582" s="69" t="n">
        <v>1</v>
      </c>
      <c r="K582" s="69" t="inlineStr">
        <is>
          <t>https://amazon.com/dp/B0FKG56Q8C</t>
        </is>
      </c>
      <c r="L582" s="114">
        <f>HYPERLINK(Table3559[[#This Row],[Column1]])</f>
        <v/>
      </c>
    </row>
    <row r="583">
      <c r="A583" s="35" t="inlineStr">
        <is>
          <t>LAUNCH X431 V+ SmartLink HD Heavy Duty Truck Diagnostic Scanner Diesel Commercial Vehicle Construction Machinery Agricultural Bus Scan Tool, J2534 ECU Coding, All System Diagnosis, Active Test</t>
        </is>
      </c>
      <c r="B583" s="35" t="inlineStr">
        <is>
          <t>B0CF1VLD5R</t>
        </is>
      </c>
      <c r="C583" s="35" t="inlineStr">
        <is>
          <t>Tablet</t>
        </is>
      </c>
      <c r="D583" s="359" t="n">
        <v>1439</v>
      </c>
      <c r="E583" s="66" t="n">
        <v>0</v>
      </c>
      <c r="F583" s="66" t="n">
        <v>0</v>
      </c>
      <c r="G583" s="68" t="n">
        <v>0</v>
      </c>
      <c r="H583" s="70" t="n">
        <v>0</v>
      </c>
      <c r="I583" s="68" t="n">
        <v>2</v>
      </c>
      <c r="J583" s="69" t="n">
        <v>5</v>
      </c>
      <c r="K583" s="69" t="inlineStr">
        <is>
          <t>https://amazon.com/dp/B0CF1VLD5R</t>
        </is>
      </c>
      <c r="L583" s="114">
        <f>HYPERLINK(TABLE583)</f>
        <v/>
      </c>
    </row>
    <row r="584">
      <c r="A584" s="35" t="inlineStr">
        <is>
          <t>Launch X431 PRO3 V+ 5.0, 2026 Upgrade Bluetooth Bi-Directional Scan Tool, OEM Topology Mapping, HD Trucks Diagnosis, Online Coding, 55+ Services, CAN FD AutoAuth FCA SGW, 2-Year Free Update</t>
        </is>
      </c>
      <c r="B584" s="35" t="inlineStr">
        <is>
          <t>B0F1SJ938Y</t>
        </is>
      </c>
      <c r="C584" s="35" t="inlineStr">
        <is>
          <t>Tablet</t>
        </is>
      </c>
      <c r="D584" s="359" t="n">
        <v>1169</v>
      </c>
      <c r="E584" s="66" t="n">
        <v>12263.95</v>
      </c>
      <c r="F584" s="66" t="n">
        <v>0</v>
      </c>
      <c r="G584" s="68" t="n">
        <v>12</v>
      </c>
      <c r="H584" s="70" t="n">
        <v>0</v>
      </c>
      <c r="I584" s="68" t="n">
        <v>3</v>
      </c>
      <c r="J584" s="69" t="n">
        <v>5</v>
      </c>
      <c r="K584" s="69" t="inlineStr">
        <is>
          <t>https://amazon.com/dp/B0F1SJ938Y</t>
        </is>
      </c>
      <c r="L584" s="114">
        <f>HYPERLINK(TABLE584)</f>
        <v/>
      </c>
    </row>
    <row r="585">
      <c r="A585" s="35" t="inlineStr">
        <is>
          <t>LAUNCH X431 PRO Star 2026 Elite Bi-Directional Scan Tool, Full System Diagnostic Scanner with ECU Coding, 38+ Reset Services, CANFD &amp; DOIP, FCA AutoAuth, 2-Year Free Updates, 1996+ OBD2 Vehicles</t>
        </is>
      </c>
      <c r="B585" s="35" t="inlineStr">
        <is>
          <t>B0FQ9MGM32</t>
        </is>
      </c>
      <c r="C585" s="35" t="inlineStr">
        <is>
          <t>Tablet</t>
        </is>
      </c>
      <c r="D585" s="359" t="n">
        <v>526.99</v>
      </c>
      <c r="E585" s="66" t="n">
        <v>2542.06</v>
      </c>
      <c r="F585" s="66" t="n">
        <v>0</v>
      </c>
      <c r="G585" s="68" t="n">
        <v>5</v>
      </c>
      <c r="H585" s="70" t="n">
        <v>0</v>
      </c>
      <c r="I585" s="68" t="n"/>
      <c r="J585" s="69" t="n"/>
      <c r="K585" s="69" t="inlineStr">
        <is>
          <t>https://amazon.com/dp/B0FQ9MGM32</t>
        </is>
      </c>
      <c r="L585" s="114">
        <f>HYPERLINK(TABLE585)</f>
        <v/>
      </c>
    </row>
    <row r="586">
      <c r="A586" s="35" t="inlineStr">
        <is>
          <t>LAUNCH CRP123E Plus OBD2 Scanner, All System Car Diagnostic Scan Tool with Oil Reset, SAS Calibration, Throttle Adaptation,Support FCA,Lifetime Free Update</t>
        </is>
      </c>
      <c r="B586" s="35" t="inlineStr">
        <is>
          <t>B0G3P6W7YX</t>
        </is>
      </c>
      <c r="C586" s="35" t="inlineStr">
        <is>
          <t>Tablet</t>
        </is>
      </c>
      <c r="D586" s="359" t="n">
        <v>199</v>
      </c>
      <c r="E586" s="66" t="n">
        <v>259</v>
      </c>
      <c r="F586" s="66" t="n">
        <v>0</v>
      </c>
      <c r="G586" s="68" t="n">
        <v>1</v>
      </c>
      <c r="H586" s="70" t="n">
        <v>0</v>
      </c>
      <c r="I586" s="68" t="n">
        <v>8</v>
      </c>
      <c r="J586" s="69" t="n">
        <v>4.4</v>
      </c>
      <c r="K586" s="69" t="inlineStr">
        <is>
          <t>https://amazon.com/dp/B0G3P6W7YX</t>
        </is>
      </c>
      <c r="L586" s="114">
        <f>HYPERLINK(TABLE586)</f>
        <v/>
      </c>
    </row>
    <row r="587">
      <c r="A587" s="35" t="inlineStr">
        <is>
          <t>Launch Tech USA Millennium TSAP Plus Activation and Diagnostic Tool for TPMS System</t>
        </is>
      </c>
      <c r="B587" s="35" t="inlineStr">
        <is>
          <t>B07V7Y6C1N</t>
        </is>
      </c>
      <c r="C587" s="35" t="inlineStr">
        <is>
          <t>Handheld</t>
        </is>
      </c>
      <c r="D587" s="359" t="n">
        <v>276.44</v>
      </c>
      <c r="E587" s="66" t="n">
        <v>0</v>
      </c>
      <c r="F587" s="66" t="n">
        <v>0</v>
      </c>
      <c r="G587" s="68" t="n">
        <v>0</v>
      </c>
      <c r="H587" s="70" t="n">
        <v>0</v>
      </c>
      <c r="I587" s="68" t="n">
        <v>1</v>
      </c>
      <c r="J587" s="69" t="n">
        <v>5</v>
      </c>
      <c r="K587" s="69" t="inlineStr">
        <is>
          <t>https://amazon.com/dp/B07V7Y6C1N</t>
        </is>
      </c>
      <c r="L587" s="114">
        <f>HYPERLINK(TABLE587)</f>
        <v/>
      </c>
    </row>
    <row r="588">
      <c r="A588" s="41" t="inlineStr">
        <is>
          <t>Total</t>
        </is>
      </c>
      <c r="B588" s="321" t="n"/>
      <c r="C588" s="365" t="n"/>
      <c r="D588" s="122" t="n"/>
      <c r="E588" s="122" t="n"/>
      <c r="F588" s="122" t="n"/>
      <c r="G588" s="123">
        <f>SUM(G301:G587)</f>
        <v/>
      </c>
      <c r="H588" s="123">
        <f>SUM(H301:H587)</f>
        <v/>
      </c>
      <c r="I588" s="123" t="n"/>
      <c r="J588" s="128" t="n"/>
      <c r="K588" s="41" t="n"/>
    </row>
    <row r="724">
      <c r="A724" s="35" t="n"/>
      <c r="B724" s="35" t="n"/>
      <c r="C724" s="359" t="n"/>
      <c r="D724" s="66" t="n"/>
      <c r="E724" s="66" t="n"/>
      <c r="F724" s="68" t="n"/>
      <c r="G724" s="68" t="n"/>
      <c r="H724" s="68" t="n"/>
      <c r="I724" s="69" t="n"/>
    </row>
    <row r="725">
      <c r="A725" s="35" t="n"/>
      <c r="B725" s="35" t="n"/>
      <c r="C725" s="359" t="n"/>
      <c r="D725" s="66" t="n"/>
      <c r="E725" s="66" t="n"/>
      <c r="F725" s="68" t="n"/>
      <c r="G725" s="68" t="n"/>
      <c r="H725" s="68" t="n"/>
      <c r="I725" s="69" t="n"/>
    </row>
    <row r="726">
      <c r="A726" s="35" t="n"/>
      <c r="B726" s="35" t="n"/>
      <c r="C726" s="359" t="n"/>
      <c r="D726" s="66" t="n"/>
      <c r="E726" s="66" t="n"/>
      <c r="F726" s="68" t="n"/>
      <c r="G726" s="68" t="n"/>
      <c r="H726" s="68" t="n"/>
      <c r="I726" s="69" t="n"/>
    </row>
    <row r="727">
      <c r="A727" s="35" t="n"/>
      <c r="B727" s="35" t="n"/>
      <c r="C727" s="359" t="n"/>
      <c r="D727" s="66" t="n"/>
      <c r="E727" s="66" t="n"/>
      <c r="F727" s="68" t="n"/>
      <c r="G727" s="68" t="n"/>
      <c r="H727" s="68" t="n"/>
      <c r="I727" s="69" t="n"/>
    </row>
    <row r="728">
      <c r="A728" s="35" t="n"/>
      <c r="B728" s="35" t="n"/>
      <c r="C728" s="359" t="n"/>
      <c r="D728" s="66" t="n"/>
      <c r="E728" s="66" t="n"/>
      <c r="F728" s="68" t="n"/>
      <c r="G728" s="68" t="n"/>
      <c r="H728" s="68" t="n"/>
      <c r="I728" s="69" t="n"/>
    </row>
    <row r="729">
      <c r="A729" s="35" t="n"/>
      <c r="B729" s="35" t="n"/>
      <c r="C729" s="359" t="n"/>
      <c r="D729" s="66" t="n"/>
      <c r="E729" s="66" t="n"/>
      <c r="F729" s="68" t="n"/>
      <c r="G729" s="68" t="n"/>
      <c r="H729" s="68" t="n"/>
      <c r="I729" s="69" t="n"/>
    </row>
    <row r="730">
      <c r="A730" s="35" t="n"/>
      <c r="B730" s="35" t="n"/>
      <c r="C730" s="359" t="n"/>
      <c r="D730" s="66" t="n"/>
      <c r="E730" s="66" t="n"/>
      <c r="F730" s="68" t="n"/>
      <c r="G730" s="68" t="n"/>
      <c r="H730" s="68" t="n"/>
      <c r="I730" s="69" t="n"/>
    </row>
    <row r="731">
      <c r="A731" s="35" t="n"/>
      <c r="B731" s="35" t="n"/>
      <c r="C731" s="359" t="n"/>
      <c r="D731" s="66" t="n"/>
      <c r="E731" s="66" t="n"/>
      <c r="F731" s="68" t="n"/>
      <c r="G731" s="68" t="n"/>
      <c r="H731" s="68" t="n"/>
      <c r="I731" s="69" t="n"/>
    </row>
    <row r="732">
      <c r="A732" s="35" t="n"/>
      <c r="B732" s="35" t="n"/>
      <c r="C732" s="359" t="n"/>
      <c r="D732" s="66" t="n"/>
      <c r="E732" s="66" t="n"/>
      <c r="F732" s="68" t="n"/>
      <c r="G732" s="68" t="n"/>
      <c r="H732" s="68" t="n"/>
      <c r="I732" s="69" t="n"/>
    </row>
    <row r="733">
      <c r="A733" s="35" t="n"/>
      <c r="B733" s="35" t="n"/>
      <c r="C733" s="359" t="n"/>
      <c r="D733" s="66" t="n"/>
      <c r="E733" s="66" t="n"/>
      <c r="F733" s="68" t="n"/>
      <c r="G733" s="68" t="n"/>
      <c r="H733" s="68" t="n"/>
      <c r="I733" s="69" t="n"/>
    </row>
    <row r="734">
      <c r="A734" s="35" t="n"/>
      <c r="B734" s="35" t="n"/>
      <c r="C734" s="359" t="n"/>
      <c r="D734" s="66" t="n"/>
      <c r="E734" s="66" t="n"/>
      <c r="F734" s="68" t="n"/>
      <c r="G734" s="68" t="n"/>
      <c r="H734" s="68" t="n"/>
      <c r="I734" s="69" t="n"/>
    </row>
    <row r="735">
      <c r="A735" s="35" t="n"/>
      <c r="B735" s="35" t="n"/>
      <c r="C735" s="359" t="n"/>
      <c r="D735" s="66" t="n"/>
      <c r="E735" s="66" t="n"/>
      <c r="F735" s="68" t="n"/>
      <c r="G735" s="68" t="n"/>
      <c r="H735" s="68" t="n"/>
      <c r="I735" s="69" t="n"/>
    </row>
    <row r="736">
      <c r="A736" s="35" t="n"/>
      <c r="B736" s="35" t="n"/>
      <c r="C736" s="359" t="n"/>
      <c r="D736" s="66" t="n"/>
      <c r="E736" s="66" t="n"/>
      <c r="F736" s="68" t="n"/>
      <c r="G736" s="68" t="n"/>
      <c r="H736" s="68" t="n"/>
      <c r="I736" s="69" t="n"/>
    </row>
    <row r="737">
      <c r="A737" s="35" t="n"/>
      <c r="B737" s="35" t="n"/>
      <c r="C737" s="359" t="n"/>
      <c r="D737" s="66" t="n"/>
      <c r="E737" s="66" t="n"/>
      <c r="F737" s="68" t="n"/>
      <c r="G737" s="68" t="n"/>
      <c r="H737" s="68" t="n"/>
      <c r="I737" s="69" t="n"/>
    </row>
    <row r="738">
      <c r="A738" s="35" t="n"/>
      <c r="B738" s="35" t="n"/>
      <c r="C738" s="359" t="n"/>
      <c r="D738" s="66" t="n"/>
      <c r="E738" s="66" t="n"/>
      <c r="F738" s="68" t="n"/>
      <c r="G738" s="68" t="n"/>
      <c r="H738" s="68" t="n"/>
      <c r="I738" s="69" t="n"/>
    </row>
    <row r="739">
      <c r="A739" s="35" t="n"/>
      <c r="B739" s="35" t="n"/>
      <c r="C739" s="359" t="n"/>
      <c r="D739" s="66" t="n"/>
      <c r="E739" s="66" t="n"/>
      <c r="F739" s="68" t="n"/>
      <c r="G739" s="68" t="n"/>
      <c r="H739" s="68" t="n"/>
      <c r="I739" s="69" t="n"/>
    </row>
    <row r="740">
      <c r="A740" s="35" t="n"/>
      <c r="B740" s="35" t="n"/>
      <c r="C740" s="359" t="n"/>
      <c r="D740" s="66" t="n"/>
      <c r="E740" s="66" t="n"/>
      <c r="F740" s="68" t="n"/>
      <c r="G740" s="68" t="n"/>
      <c r="H740" s="68" t="n"/>
      <c r="I740" s="69" t="n"/>
    </row>
    <row r="741">
      <c r="A741" s="35" t="n"/>
      <c r="B741" s="35" t="n"/>
      <c r="C741" s="359" t="n"/>
      <c r="D741" s="66" t="n"/>
      <c r="E741" s="66" t="n"/>
      <c r="F741" s="68" t="n"/>
      <c r="G741" s="68" t="n"/>
      <c r="H741" s="68" t="n"/>
      <c r="I741" s="69" t="n"/>
    </row>
    <row r="742">
      <c r="A742" s="35" t="n"/>
      <c r="B742" s="35" t="n"/>
      <c r="C742" s="359" t="n"/>
      <c r="D742" s="66" t="n"/>
      <c r="E742" s="66" t="n"/>
      <c r="F742" s="68" t="n"/>
      <c r="G742" s="68" t="n"/>
      <c r="H742" s="68" t="n"/>
      <c r="I742" s="69" t="n"/>
    </row>
    <row r="743">
      <c r="A743" s="35" t="n"/>
      <c r="B743" s="35" t="n"/>
      <c r="C743" s="359" t="n"/>
      <c r="D743" s="66" t="n"/>
      <c r="E743" s="66" t="n"/>
      <c r="F743" s="68" t="n"/>
      <c r="G743" s="68" t="n"/>
      <c r="H743" s="68" t="n"/>
      <c r="I743" s="69" t="n"/>
    </row>
    <row r="744">
      <c r="A744" s="35" t="n"/>
      <c r="B744" s="35" t="n"/>
      <c r="C744" s="359" t="n"/>
      <c r="D744" s="66" t="n"/>
      <c r="E744" s="66" t="n"/>
      <c r="F744" s="68" t="n"/>
      <c r="G744" s="68" t="n"/>
      <c r="H744" s="68" t="n"/>
      <c r="I744" s="69" t="n"/>
    </row>
    <row r="745">
      <c r="A745" s="35" t="n"/>
      <c r="B745" s="35" t="n"/>
      <c r="C745" s="359" t="n"/>
      <c r="D745" s="66" t="n"/>
      <c r="E745" s="66" t="n"/>
      <c r="F745" s="68" t="n"/>
      <c r="G745" s="68" t="n"/>
      <c r="H745" s="68" t="n"/>
      <c r="I745" s="69" t="n"/>
    </row>
    <row r="746">
      <c r="A746" s="35" t="n"/>
      <c r="B746" s="35" t="n"/>
      <c r="C746" s="359" t="n"/>
      <c r="D746" s="66" t="n"/>
      <c r="E746" s="66" t="n"/>
      <c r="F746" s="68" t="n"/>
      <c r="G746" s="68" t="n"/>
      <c r="H746" s="68" t="n"/>
      <c r="I746" s="69" t="n"/>
    </row>
    <row r="747">
      <c r="A747" s="35" t="n"/>
      <c r="B747" s="35" t="n"/>
      <c r="C747" s="359" t="n"/>
      <c r="D747" s="66" t="n"/>
      <c r="E747" s="66" t="n"/>
      <c r="F747" s="68" t="n"/>
      <c r="G747" s="68" t="n"/>
      <c r="H747" s="68" t="n"/>
      <c r="I747" s="69" t="n"/>
    </row>
    <row r="748">
      <c r="A748" s="35" t="n"/>
      <c r="B748" s="35" t="n"/>
      <c r="C748" s="359" t="n"/>
      <c r="D748" s="66" t="n"/>
      <c r="E748" s="66" t="n"/>
      <c r="F748" s="68" t="n"/>
      <c r="G748" s="68" t="n"/>
      <c r="H748" s="68" t="n"/>
      <c r="I748" s="69" t="n"/>
    </row>
    <row r="749">
      <c r="A749" s="35" t="n"/>
      <c r="B749" s="35" t="n"/>
      <c r="C749" s="359" t="n"/>
      <c r="D749" s="66" t="n"/>
      <c r="E749" s="66" t="n"/>
      <c r="F749" s="68" t="n"/>
      <c r="G749" s="68" t="n"/>
      <c r="H749" s="68" t="n"/>
      <c r="I749" s="69" t="n"/>
    </row>
    <row r="750">
      <c r="A750" s="35" t="n"/>
      <c r="B750" s="35" t="n"/>
      <c r="C750" s="359" t="n"/>
      <c r="D750" s="66" t="n"/>
      <c r="E750" s="66" t="n"/>
      <c r="F750" s="68" t="n"/>
      <c r="G750" s="68" t="n"/>
      <c r="H750" s="68" t="n"/>
      <c r="I750" s="69" t="n"/>
    </row>
    <row r="751">
      <c r="A751" s="35" t="n"/>
      <c r="B751" s="35" t="n"/>
      <c r="C751" s="359" t="n"/>
      <c r="D751" s="66" t="n"/>
      <c r="E751" s="66" t="n"/>
      <c r="F751" s="68" t="n"/>
      <c r="G751" s="68" t="n"/>
      <c r="H751" s="68" t="n"/>
      <c r="I751" s="69" t="n"/>
    </row>
    <row r="752">
      <c r="A752" s="35" t="n"/>
      <c r="B752" s="35" t="n"/>
      <c r="C752" s="359" t="n"/>
      <c r="D752" s="66" t="n"/>
      <c r="E752" s="66" t="n"/>
      <c r="F752" s="68" t="n"/>
      <c r="G752" s="68" t="n"/>
      <c r="H752" s="68" t="n"/>
      <c r="I752" s="69" t="n"/>
    </row>
    <row r="753">
      <c r="A753" s="35" t="n"/>
      <c r="B753" s="35" t="n"/>
      <c r="C753" s="359" t="n"/>
      <c r="D753" s="66" t="n"/>
      <c r="E753" s="66" t="n"/>
      <c r="F753" s="68" t="n"/>
      <c r="G753" s="68" t="n"/>
      <c r="H753" s="68" t="n"/>
      <c r="I753" s="69" t="n"/>
    </row>
    <row r="754">
      <c r="A754" s="35" t="n"/>
      <c r="B754" s="35" t="n"/>
      <c r="C754" s="359" t="n"/>
      <c r="D754" s="66" t="n"/>
      <c r="E754" s="66" t="n"/>
      <c r="F754" s="68" t="n"/>
      <c r="G754" s="68" t="n"/>
      <c r="H754" s="68" t="n"/>
      <c r="I754" s="69" t="n"/>
    </row>
    <row r="755">
      <c r="A755" s="35" t="n"/>
      <c r="B755" s="35" t="n"/>
      <c r="C755" s="359" t="n"/>
      <c r="D755" s="66" t="n"/>
      <c r="E755" s="66" t="n"/>
      <c r="F755" s="68" t="n"/>
      <c r="G755" s="68" t="n"/>
      <c r="H755" s="68" t="n"/>
      <c r="I755" s="69" t="n"/>
    </row>
    <row r="756">
      <c r="A756" s="35" t="n"/>
      <c r="B756" s="35" t="n"/>
      <c r="C756" s="359" t="n"/>
      <c r="D756" s="66" t="n"/>
      <c r="E756" s="66" t="n"/>
      <c r="F756" s="68" t="n"/>
      <c r="G756" s="68" t="n"/>
      <c r="H756" s="68" t="n"/>
      <c r="I756" s="69" t="n"/>
    </row>
    <row r="757">
      <c r="A757" s="35" t="n"/>
      <c r="B757" s="35" t="n"/>
      <c r="C757" s="359" t="n"/>
      <c r="D757" s="66" t="n"/>
      <c r="E757" s="66" t="n"/>
      <c r="F757" s="68" t="n"/>
      <c r="G757" s="68" t="n"/>
      <c r="H757" s="68" t="n"/>
      <c r="I757" s="69" t="n"/>
    </row>
    <row r="758">
      <c r="A758" s="35" t="n"/>
      <c r="B758" s="35" t="n"/>
      <c r="C758" s="359" t="n"/>
      <c r="D758" s="66" t="n"/>
      <c r="E758" s="66" t="n"/>
      <c r="F758" s="68" t="n"/>
      <c r="G758" s="68" t="n"/>
      <c r="H758" s="68" t="n"/>
      <c r="I758" s="69" t="n"/>
    </row>
    <row r="759">
      <c r="A759" s="35" t="n"/>
      <c r="B759" s="35" t="n"/>
      <c r="C759" s="359" t="n"/>
      <c r="D759" s="66" t="n"/>
      <c r="E759" s="66" t="n"/>
      <c r="F759" s="68" t="n"/>
      <c r="G759" s="68" t="n"/>
      <c r="H759" s="68" t="n"/>
      <c r="I759" s="69" t="n"/>
    </row>
    <row r="760">
      <c r="A760" s="35" t="n"/>
      <c r="B760" s="35" t="n"/>
      <c r="C760" s="359" t="n"/>
      <c r="D760" s="66" t="n"/>
      <c r="E760" s="66" t="n"/>
      <c r="F760" s="68" t="n"/>
      <c r="G760" s="68" t="n"/>
      <c r="H760" s="68" t="n"/>
      <c r="I760" s="69" t="n"/>
    </row>
    <row r="761">
      <c r="A761" s="35" t="n"/>
      <c r="B761" s="35" t="n"/>
      <c r="C761" s="359" t="n"/>
      <c r="D761" s="66" t="n"/>
      <c r="E761" s="66" t="n"/>
      <c r="F761" s="68" t="n"/>
      <c r="G761" s="68" t="n"/>
      <c r="H761" s="68" t="n"/>
      <c r="I761" s="69" t="n"/>
    </row>
    <row r="762">
      <c r="A762" s="35" t="n"/>
      <c r="B762" s="35" t="n"/>
      <c r="C762" s="359" t="n"/>
      <c r="D762" s="66" t="n"/>
      <c r="E762" s="66" t="n"/>
      <c r="F762" s="68" t="n"/>
      <c r="G762" s="68" t="n"/>
      <c r="H762" s="68" t="n"/>
      <c r="I762" s="69" t="n"/>
    </row>
    <row r="763">
      <c r="A763" s="35" t="n"/>
      <c r="B763" s="35" t="n"/>
      <c r="C763" s="359" t="n"/>
      <c r="D763" s="66" t="n"/>
      <c r="E763" s="66" t="n"/>
      <c r="F763" s="68" t="n"/>
      <c r="G763" s="68" t="n"/>
      <c r="H763" s="68" t="n"/>
      <c r="I763" s="69" t="n"/>
    </row>
    <row r="764">
      <c r="A764" s="35" t="n"/>
      <c r="B764" s="35" t="n"/>
      <c r="C764" s="359" t="n"/>
      <c r="D764" s="66" t="n"/>
      <c r="E764" s="66" t="n"/>
      <c r="F764" s="68" t="n"/>
      <c r="G764" s="68" t="n"/>
      <c r="H764" s="68" t="n"/>
      <c r="I764" s="69" t="n"/>
    </row>
    <row r="765">
      <c r="A765" s="35" t="n"/>
      <c r="B765" s="35" t="n"/>
      <c r="C765" s="359" t="n"/>
      <c r="D765" s="66" t="n"/>
      <c r="E765" s="66" t="n"/>
      <c r="F765" s="68" t="n"/>
      <c r="G765" s="68" t="n"/>
      <c r="H765" s="68" t="n"/>
      <c r="I765" s="69" t="n"/>
    </row>
    <row r="766">
      <c r="A766" s="35" t="n"/>
      <c r="B766" s="35" t="n"/>
      <c r="C766" s="359" t="n"/>
      <c r="D766" s="66" t="n"/>
      <c r="E766" s="66" t="n"/>
      <c r="F766" s="68" t="n"/>
      <c r="G766" s="68" t="n"/>
      <c r="H766" s="68" t="n"/>
      <c r="I766" s="69" t="n"/>
    </row>
    <row r="767">
      <c r="A767" s="35" t="n"/>
      <c r="B767" s="35" t="n"/>
      <c r="C767" s="359" t="n"/>
      <c r="D767" s="66" t="n"/>
      <c r="E767" s="66" t="n"/>
      <c r="F767" s="68" t="n"/>
      <c r="G767" s="68" t="n"/>
      <c r="H767" s="68" t="n"/>
      <c r="I767" s="69" t="n"/>
    </row>
    <row r="768">
      <c r="A768" s="35" t="n"/>
      <c r="B768" s="35" t="n"/>
      <c r="C768" s="359" t="n"/>
      <c r="D768" s="66" t="n"/>
      <c r="E768" s="66" t="n"/>
      <c r="F768" s="68" t="n"/>
      <c r="G768" s="68" t="n"/>
      <c r="H768" s="68" t="n"/>
      <c r="I768" s="69" t="n"/>
    </row>
    <row r="769">
      <c r="A769" s="35" t="n"/>
      <c r="B769" s="35" t="n"/>
      <c r="C769" s="359" t="n"/>
      <c r="D769" s="66" t="n"/>
      <c r="E769" s="66" t="n"/>
      <c r="F769" s="68" t="n"/>
      <c r="G769" s="68" t="n"/>
      <c r="H769" s="68" t="n"/>
      <c r="I769" s="69" t="n"/>
    </row>
    <row r="770">
      <c r="A770" s="35" t="n"/>
      <c r="B770" s="35" t="n"/>
      <c r="C770" s="367" t="n"/>
      <c r="D770" s="118" t="n"/>
      <c r="E770" s="118" t="n"/>
      <c r="F770" s="119" t="n"/>
      <c r="G770" s="119" t="n"/>
      <c r="H770" s="119" t="n"/>
      <c r="I770" s="120" t="n"/>
    </row>
    <row r="771">
      <c r="A771" s="35" t="n"/>
      <c r="B771" s="35" t="n"/>
      <c r="C771" s="367" t="n"/>
      <c r="D771" s="118" t="n"/>
      <c r="E771" s="118" t="n"/>
      <c r="F771" s="119" t="n"/>
      <c r="G771" s="119" t="n"/>
      <c r="H771" s="119" t="n"/>
      <c r="I771" s="120" t="n"/>
    </row>
    <row r="772">
      <c r="A772" s="35" t="n"/>
      <c r="B772" s="35" t="n"/>
      <c r="C772" s="367" t="n"/>
      <c r="D772" s="118" t="n"/>
      <c r="E772" s="118" t="n"/>
      <c r="F772" s="119" t="n"/>
      <c r="G772" s="119" t="n"/>
      <c r="H772" s="119" t="n"/>
      <c r="I772" s="120" t="n"/>
    </row>
    <row r="773">
      <c r="A773" s="35" t="n"/>
      <c r="B773" s="35" t="n"/>
      <c r="C773" s="367" t="n"/>
      <c r="D773" s="118" t="n"/>
      <c r="E773" s="118" t="n"/>
      <c r="F773" s="119" t="n"/>
      <c r="G773" s="119" t="n"/>
      <c r="H773" s="119" t="n"/>
      <c r="I773" s="120" t="n"/>
    </row>
    <row r="774">
      <c r="A774" s="35" t="n"/>
      <c r="B774" s="35" t="n"/>
      <c r="C774" s="367" t="n"/>
      <c r="D774" s="118" t="n"/>
      <c r="E774" s="118" t="n"/>
      <c r="F774" s="119" t="n"/>
      <c r="G774" s="119" t="n"/>
      <c r="H774" s="119" t="n"/>
      <c r="I774" s="120" t="n"/>
    </row>
    <row r="775">
      <c r="A775" s="35" t="n"/>
      <c r="B775" s="35" t="n"/>
      <c r="C775" s="367" t="n"/>
      <c r="D775" s="118" t="n"/>
      <c r="E775" s="118" t="n"/>
      <c r="F775" s="119" t="n"/>
      <c r="G775" s="119" t="n"/>
      <c r="H775" s="119" t="n"/>
      <c r="I775" s="120" t="n"/>
    </row>
    <row r="776">
      <c r="A776" s="35" t="n"/>
      <c r="B776" s="35" t="n"/>
      <c r="C776" s="367" t="n"/>
      <c r="D776" s="118" t="n"/>
      <c r="E776" s="118" t="n"/>
      <c r="F776" s="119" t="n"/>
      <c r="G776" s="119" t="n"/>
      <c r="H776" s="119" t="n"/>
      <c r="I776" s="120" t="n"/>
    </row>
    <row r="777">
      <c r="A777" s="35" t="n"/>
      <c r="B777" s="35" t="n"/>
      <c r="C777" s="367" t="n"/>
      <c r="D777" s="118" t="n"/>
      <c r="E777" s="118" t="n"/>
      <c r="F777" s="119" t="n"/>
      <c r="G777" s="119" t="n"/>
      <c r="H777" s="119" t="n"/>
      <c r="I777" s="120" t="n"/>
    </row>
    <row r="778">
      <c r="A778" s="35" t="n"/>
      <c r="B778" s="35" t="n"/>
      <c r="C778" s="367" t="n"/>
      <c r="D778" s="118" t="n"/>
      <c r="E778" s="118" t="n"/>
      <c r="F778" s="119" t="n"/>
      <c r="G778" s="119" t="n"/>
      <c r="H778" s="119" t="n"/>
      <c r="I778" s="120" t="n"/>
    </row>
    <row r="779">
      <c r="A779" s="35" t="n"/>
      <c r="B779" s="35" t="n"/>
      <c r="C779" s="367" t="n"/>
      <c r="D779" s="118" t="n"/>
      <c r="E779" s="118" t="n"/>
      <c r="F779" s="119" t="n"/>
      <c r="G779" s="119" t="n"/>
      <c r="H779" s="119" t="n"/>
      <c r="I779" s="120" t="n"/>
    </row>
    <row r="780">
      <c r="A780" s="35" t="n"/>
      <c r="B780" s="35" t="n"/>
      <c r="C780" s="367" t="n"/>
      <c r="D780" s="118" t="n"/>
      <c r="E780" s="118" t="n"/>
      <c r="F780" s="119" t="n"/>
      <c r="G780" s="119" t="n"/>
      <c r="H780" s="119" t="n"/>
      <c r="I780" s="120" t="n"/>
    </row>
    <row r="781">
      <c r="A781" s="35" t="n"/>
      <c r="B781" s="35" t="n"/>
      <c r="C781" s="367" t="n"/>
      <c r="D781" s="118" t="n"/>
      <c r="E781" s="118" t="n"/>
      <c r="F781" s="119" t="n"/>
      <c r="G781" s="119" t="n"/>
      <c r="H781" s="119" t="n"/>
      <c r="I781" s="120" t="n"/>
    </row>
    <row r="782">
      <c r="A782" s="35" t="n"/>
      <c r="B782" s="35" t="n"/>
      <c r="C782" s="367" t="n"/>
      <c r="D782" s="118" t="n"/>
      <c r="E782" s="118" t="n"/>
      <c r="F782" s="119" t="n"/>
      <c r="G782" s="119" t="n"/>
      <c r="H782" s="119" t="n"/>
      <c r="I782" s="120" t="n"/>
    </row>
    <row r="783">
      <c r="A783" s="35" t="n"/>
      <c r="B783" s="35" t="n"/>
      <c r="C783" s="367" t="n"/>
      <c r="D783" s="118" t="n"/>
      <c r="E783" s="118" t="n"/>
      <c r="F783" s="119" t="n"/>
      <c r="G783" s="119" t="n"/>
      <c r="H783" s="119" t="n"/>
      <c r="I783" s="120" t="n"/>
    </row>
    <row r="784">
      <c r="A784" s="35" t="n"/>
      <c r="B784" s="35" t="n"/>
      <c r="C784" s="367" t="n"/>
      <c r="D784" s="118" t="n"/>
      <c r="E784" s="118" t="n"/>
      <c r="F784" s="119" t="n"/>
      <c r="G784" s="119" t="n"/>
      <c r="H784" s="119" t="n"/>
      <c r="I784" s="120" t="n"/>
    </row>
    <row r="785">
      <c r="A785" s="35" t="n"/>
      <c r="B785" s="35" t="n"/>
      <c r="C785" s="367" t="n"/>
      <c r="D785" s="118" t="n"/>
      <c r="E785" s="118" t="n"/>
      <c r="F785" s="119" t="n"/>
      <c r="G785" s="119" t="n"/>
      <c r="H785" s="119" t="n"/>
      <c r="I785" s="120" t="n"/>
    </row>
    <row r="786">
      <c r="A786" s="35" t="n"/>
      <c r="B786" s="35" t="n"/>
      <c r="C786" s="367" t="n"/>
      <c r="D786" s="118" t="n"/>
      <c r="E786" s="118" t="n"/>
      <c r="F786" s="119" t="n"/>
      <c r="G786" s="119" t="n"/>
      <c r="H786" s="119" t="n"/>
      <c r="I786" s="120" t="n"/>
    </row>
    <row r="787">
      <c r="A787" s="35" t="n"/>
      <c r="B787" s="35" t="n"/>
      <c r="C787" s="367" t="n"/>
      <c r="D787" s="118" t="n"/>
      <c r="E787" s="118" t="n"/>
      <c r="F787" s="119" t="n"/>
      <c r="G787" s="119" t="n"/>
      <c r="H787" s="119" t="n"/>
      <c r="I787" s="120" t="n"/>
    </row>
    <row r="788">
      <c r="A788" s="35" t="n"/>
      <c r="B788" s="35" t="n"/>
      <c r="C788" s="367" t="n"/>
      <c r="D788" s="118" t="n"/>
      <c r="E788" s="118" t="n"/>
      <c r="F788" s="119" t="n"/>
      <c r="G788" s="119" t="n"/>
      <c r="H788" s="119" t="n"/>
      <c r="I788" s="120" t="n"/>
    </row>
    <row r="789">
      <c r="A789" s="35" t="n"/>
      <c r="B789" s="35" t="n"/>
      <c r="C789" s="367" t="n"/>
      <c r="D789" s="118" t="n"/>
      <c r="E789" s="118" t="n"/>
      <c r="F789" s="119" t="n"/>
      <c r="G789" s="119" t="n"/>
      <c r="H789" s="119" t="n"/>
      <c r="I789" s="120" t="n"/>
    </row>
    <row r="790">
      <c r="A790" s="35" t="n"/>
      <c r="B790" s="35" t="n"/>
      <c r="C790" s="367" t="n"/>
      <c r="D790" s="118" t="n"/>
      <c r="E790" s="118" t="n"/>
      <c r="F790" s="119" t="n"/>
      <c r="G790" s="119" t="n"/>
      <c r="H790" s="119" t="n"/>
      <c r="I790" s="120" t="n"/>
    </row>
    <row r="791">
      <c r="A791" s="35" t="n"/>
      <c r="B791" s="35" t="n"/>
      <c r="C791" s="367" t="n"/>
      <c r="D791" s="118" t="n"/>
      <c r="E791" s="118" t="n"/>
      <c r="F791" s="119" t="n"/>
      <c r="G791" s="119" t="n"/>
      <c r="H791" s="119" t="n"/>
      <c r="I791" s="120" t="n"/>
    </row>
    <row r="792">
      <c r="A792" s="35" t="n"/>
      <c r="B792" s="35" t="n"/>
      <c r="C792" s="367" t="n"/>
      <c r="D792" s="118" t="n"/>
      <c r="E792" s="118" t="n"/>
      <c r="F792" s="119" t="n"/>
      <c r="G792" s="119" t="n"/>
      <c r="H792" s="119" t="n"/>
      <c r="I792" s="120" t="n"/>
    </row>
    <row r="793">
      <c r="A793" s="35" t="n"/>
      <c r="B793" s="35" t="n"/>
      <c r="C793" s="367" t="n"/>
      <c r="D793" s="118" t="n"/>
      <c r="E793" s="118" t="n"/>
      <c r="F793" s="119" t="n"/>
      <c r="G793" s="119" t="n"/>
      <c r="H793" s="119" t="n"/>
      <c r="I793" s="120" t="n"/>
    </row>
    <row r="794">
      <c r="A794" s="35" t="n"/>
      <c r="B794" s="35" t="n"/>
      <c r="C794" s="367" t="n"/>
      <c r="D794" s="118" t="n"/>
      <c r="E794" s="118" t="n"/>
      <c r="F794" s="119" t="n"/>
      <c r="G794" s="119" t="n"/>
      <c r="H794" s="119" t="n"/>
      <c r="I794" s="120" t="n"/>
    </row>
    <row r="795">
      <c r="A795" s="35" t="n"/>
      <c r="B795" s="35" t="n"/>
      <c r="C795" s="367" t="n"/>
      <c r="D795" s="118" t="n"/>
      <c r="E795" s="118" t="n"/>
      <c r="F795" s="119" t="n"/>
      <c r="G795" s="119" t="n"/>
      <c r="H795" s="119" t="n"/>
      <c r="I795" s="120" t="n"/>
    </row>
    <row r="796">
      <c r="A796" s="35" t="n"/>
      <c r="B796" s="35" t="n"/>
      <c r="C796" s="367" t="n"/>
      <c r="D796" s="118" t="n"/>
      <c r="E796" s="118" t="n"/>
      <c r="F796" s="119" t="n"/>
      <c r="G796" s="119" t="n"/>
      <c r="H796" s="119" t="n"/>
      <c r="I796" s="120" t="n"/>
    </row>
    <row r="797">
      <c r="A797" s="35" t="n"/>
      <c r="B797" s="35" t="n"/>
      <c r="C797" s="367" t="n"/>
      <c r="D797" s="118" t="n"/>
      <c r="E797" s="118" t="n"/>
      <c r="F797" s="119" t="n"/>
      <c r="G797" s="119" t="n"/>
      <c r="H797" s="119" t="n"/>
      <c r="I797" s="120" t="n"/>
    </row>
    <row r="798">
      <c r="A798" s="35" t="n"/>
      <c r="B798" s="35" t="n"/>
      <c r="C798" s="367" t="n"/>
      <c r="D798" s="118" t="n"/>
      <c r="E798" s="118" t="n"/>
      <c r="F798" s="119" t="n"/>
      <c r="G798" s="119" t="n"/>
      <c r="H798" s="119" t="n"/>
      <c r="I798" s="120" t="n"/>
    </row>
    <row r="799">
      <c r="A799" s="35" t="n"/>
      <c r="B799" s="35" t="n"/>
      <c r="C799" s="367" t="n"/>
      <c r="D799" s="118" t="n"/>
      <c r="E799" s="118" t="n"/>
      <c r="F799" s="119" t="n"/>
      <c r="G799" s="119" t="n"/>
      <c r="H799" s="119" t="n"/>
      <c r="I799" s="120" t="n"/>
    </row>
    <row r="800">
      <c r="A800" s="35" t="n"/>
      <c r="B800" s="35" t="n"/>
      <c r="C800" s="367" t="n"/>
      <c r="D800" s="118" t="n"/>
      <c r="E800" s="118" t="n"/>
      <c r="F800" s="119" t="n"/>
      <c r="G800" s="119" t="n"/>
      <c r="H800" s="119" t="n"/>
      <c r="I800" s="120" t="n"/>
    </row>
    <row r="801">
      <c r="A801" s="35" t="n"/>
      <c r="B801" s="35" t="n"/>
      <c r="C801" s="367" t="n"/>
      <c r="D801" s="118" t="n"/>
      <c r="E801" s="118" t="n"/>
      <c r="F801" s="119" t="n"/>
      <c r="G801" s="119" t="n"/>
      <c r="H801" s="119" t="n"/>
      <c r="I801" s="120" t="n"/>
    </row>
    <row r="802">
      <c r="A802" s="35" t="n"/>
      <c r="B802" s="35" t="n"/>
      <c r="C802" s="367" t="n"/>
      <c r="D802" s="118" t="n"/>
      <c r="E802" s="118" t="n"/>
      <c r="F802" s="119" t="n"/>
      <c r="G802" s="119" t="n"/>
      <c r="H802" s="119" t="n"/>
      <c r="I802" s="120" t="n"/>
    </row>
    <row r="803">
      <c r="A803" s="35" t="n"/>
      <c r="B803" s="35" t="n"/>
      <c r="C803" s="367" t="n"/>
      <c r="D803" s="118" t="n"/>
      <c r="E803" s="118" t="n"/>
      <c r="F803" s="119" t="n"/>
      <c r="G803" s="119" t="n"/>
      <c r="H803" s="119" t="n"/>
      <c r="I803" s="120" t="n"/>
    </row>
    <row r="804">
      <c r="A804" s="35" t="n"/>
      <c r="B804" s="35" t="n"/>
      <c r="C804" s="367" t="n"/>
      <c r="D804" s="118" t="n"/>
      <c r="E804" s="118" t="n"/>
      <c r="F804" s="119" t="n"/>
      <c r="G804" s="119" t="n"/>
      <c r="H804" s="119" t="n"/>
      <c r="I804" s="120" t="n"/>
    </row>
  </sheetData>
  <mergeCells count="3">
    <mergeCell ref="A1:L5"/>
    <mergeCell ref="A294:L294"/>
    <mergeCell ref="A7:L7"/>
  </mergeCell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46"/>
  <sheetViews>
    <sheetView zoomScaleNormal="100" workbookViewId="0">
      <selection activeCell="C70" sqref="C70"/>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08"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width="27.6640625" bestFit="1" customWidth="1" style="308" min="11" max="11"/>
    <col width="35.6640625" customWidth="1" style="308" min="12" max="12"/>
    <col width="12.6640625" customWidth="1" style="308" min="13" max="16384"/>
  </cols>
  <sheetData>
    <row r="1" ht="15.75" customHeight="1" s="314">
      <c r="A1" s="323" t="inlineStr">
        <is>
          <t>Mucar Monthly Summary</t>
        </is>
      </c>
    </row>
    <row r="2" ht="15.75" customHeight="1" s="314"/>
    <row r="3" ht="15.75" customHeight="1" s="314"/>
    <row r="4" ht="15.75" customHeight="1" s="314"/>
    <row r="5" ht="15.75" customHeight="1" s="314"/>
    <row r="6">
      <c r="B6" s="60" t="n"/>
      <c r="C6" s="366" t="n"/>
      <c r="E6" s="60" t="n"/>
      <c r="F6" s="62" t="n"/>
      <c r="G6" s="62" t="n"/>
      <c r="H6" s="62" t="n"/>
      <c r="I6" s="63" t="n"/>
      <c r="J6" s="60"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271" t="inlineStr">
        <is>
          <t>MUCAR 892BT AI-Assisted Bidirectional Scan Tool, Full System OBD2 Scanner, Bi-Directional OBD2 Scanner Diagnostic Tool,ECU Coding, 35 Services, FCA Autoauth, CANFD and DOIP, Free Lifetime Upgrade</t>
        </is>
      </c>
      <c r="B9" s="271" t="inlineStr">
        <is>
          <t>B0DTK24XKB</t>
        </is>
      </c>
      <c r="C9" s="271" t="inlineStr">
        <is>
          <t>Tablet</t>
        </is>
      </c>
      <c r="D9" s="368" t="n">
        <v>644.8325789473685</v>
      </c>
      <c r="E9" s="273" t="n">
        <v>2958362.81</v>
      </c>
      <c r="F9" s="274" t="n">
        <v>367554.57</v>
      </c>
      <c r="G9" s="275" t="n">
        <v>4804</v>
      </c>
      <c r="H9" s="275" t="n">
        <v>570</v>
      </c>
      <c r="I9" s="275" t="n">
        <v>394</v>
      </c>
      <c r="J9" s="276" t="n">
        <v>4.3</v>
      </c>
      <c r="K9" s="277" t="inlineStr">
        <is>
          <t>https://amazon.com/dp/B0DTK24XKB</t>
        </is>
      </c>
      <c r="L9" s="114">
        <f>HYPERLINK(Table244761[[#This Row],[Column1]])</f>
        <v/>
      </c>
    </row>
    <row r="10" ht="45" customHeight="1" s="314">
      <c r="A10" s="278" t="inlineStr">
        <is>
          <t>OBD2 Scanner, MUCAR 632 Elite AI-Assisted Bidirectional Scan Tool, 15 Reset Services Oil/TPMS/EPB/BMS/SAS/Brake/Throttle Car Scanner Diagnostic Tool, AutoAuth FCA, CANFD, AutoVIN, Lifetime Free Update</t>
        </is>
      </c>
      <c r="B10" s="278" t="inlineStr">
        <is>
          <t>B0FGC7K873</t>
        </is>
      </c>
      <c r="C10" s="278" t="inlineStr">
        <is>
          <t>Tablet</t>
        </is>
      </c>
      <c r="D10" s="369" t="n">
        <v>207.5880847145488</v>
      </c>
      <c r="E10" s="280" t="n">
        <v>1217057.037692308</v>
      </c>
      <c r="F10" s="274" t="n">
        <v>112720.33</v>
      </c>
      <c r="G10" s="281" t="n">
        <v>2237</v>
      </c>
      <c r="H10" s="281" t="n">
        <v>543</v>
      </c>
      <c r="I10" s="281" t="n">
        <v>251</v>
      </c>
      <c r="J10" s="282" t="n">
        <v>4</v>
      </c>
      <c r="K10" s="283" t="inlineStr">
        <is>
          <t>https://amazon.com/dp/B0FGC7K873</t>
        </is>
      </c>
      <c r="L10" s="114">
        <f>HYPERLINK(Table244761[[#This Row],[Column1]])</f>
        <v/>
      </c>
    </row>
    <row r="11" ht="45" customHeight="1" s="314">
      <c r="A11" s="271" t="inlineStr">
        <is>
          <t>OBD2 Scanner, MUCAR 682 AI-Assisted Car Diagnostic Tool, Automotive Bidirectional Scan Tool, FULL Systems Car Diagnostic Scanner, Scanner for Car with 20+ Reset, CAN FD &amp; FCA SGW, Lifetime Free Update</t>
        </is>
      </c>
      <c r="B11" s="271" t="inlineStr">
        <is>
          <t>B0FGC4D4X2</t>
        </is>
      </c>
      <c r="C11" s="271" t="inlineStr">
        <is>
          <t>Tablet</t>
        </is>
      </c>
      <c r="D11" s="368" t="n">
        <v>285.628407079646</v>
      </c>
      <c r="E11" s="273" t="n">
        <v>341471.2299999999</v>
      </c>
      <c r="F11" s="274" t="n">
        <v>32276.01</v>
      </c>
      <c r="G11" s="275" t="n">
        <v>472</v>
      </c>
      <c r="H11" s="275" t="n">
        <v>113</v>
      </c>
      <c r="I11" s="275" t="n">
        <v>91</v>
      </c>
      <c r="J11" s="276" t="n">
        <v>4.5</v>
      </c>
      <c r="K11" s="277" t="inlineStr">
        <is>
          <t>https://amazon.com/dp/B0FGC4D4X2</t>
        </is>
      </c>
      <c r="L11" s="114">
        <f>HYPERLINK(Table244761[[#This Row],[Column1]])</f>
        <v/>
      </c>
    </row>
    <row r="12" ht="45" customHeight="1" s="314">
      <c r="A12" s="278" t="inlineStr">
        <is>
          <t>MUCAR 682 AI-Assisted OBD2 Scanner Bidirectional Scan Tool, Scanner for Car ALL System, OBD2 Scanner Diagnostic Tool with Active Test,Car Diagnostic Scanner with 20+ Reset,CAN FD &amp; FCA SGW,Free Update</t>
        </is>
      </c>
      <c r="B12" s="278" t="inlineStr">
        <is>
          <t>B0G1T4F8Y2</t>
        </is>
      </c>
      <c r="C12" s="278" t="inlineStr">
        <is>
          <t>Tablet</t>
        </is>
      </c>
      <c r="D12" s="369" t="n">
        <v>322.6429268292683</v>
      </c>
      <c r="E12" s="280" t="n">
        <v>320791.7515384615</v>
      </c>
      <c r="F12" s="274" t="n">
        <v>26456.72</v>
      </c>
      <c r="G12" s="281" t="n">
        <v>438</v>
      </c>
      <c r="H12" s="281" t="n">
        <v>82</v>
      </c>
      <c r="I12" s="281" t="n">
        <v>151</v>
      </c>
      <c r="J12" s="282" t="n">
        <v>4.3</v>
      </c>
      <c r="K12" s="283" t="inlineStr">
        <is>
          <t>https://amazon.com/dp/B0G1T4F8Y2</t>
        </is>
      </c>
      <c r="L12" s="114">
        <f>HYPERLINK(Table244761[[#This Row],[Column1]])</f>
        <v/>
      </c>
    </row>
    <row r="13" ht="45" customHeight="1" s="314">
      <c r="A13" s="271" t="inlineStr">
        <is>
          <t>MUCAR AI-Assisted OBD2 Scanner Bluetooth Lifetime Update, BT200 MAX Compatible with ELM327, All System OBD2 Diagnostic Tool with 15 Resets for iOS &amp; Android, CANFD Protocol, Autoauth for FCA SGW</t>
        </is>
      </c>
      <c r="B13" s="271" t="inlineStr">
        <is>
          <t>B0FB9B6KW5</t>
        </is>
      </c>
      <c r="C13" s="271" t="inlineStr">
        <is>
          <t>Tablet</t>
        </is>
      </c>
      <c r="D13" s="368" t="n">
        <v>151.1252666666667</v>
      </c>
      <c r="E13" s="273" t="n">
        <v>216805.3446153846</v>
      </c>
      <c r="F13" s="274" t="n">
        <v>22668.79</v>
      </c>
      <c r="G13" s="275" t="n">
        <v>753</v>
      </c>
      <c r="H13" s="275" t="n">
        <v>150</v>
      </c>
      <c r="I13" s="275" t="n">
        <v>101</v>
      </c>
      <c r="J13" s="276" t="n">
        <v>4.3</v>
      </c>
      <c r="K13" s="277" t="inlineStr">
        <is>
          <t>https://amazon.com/dp/B0FB9B6KW5</t>
        </is>
      </c>
      <c r="L13" s="114">
        <f>HYPERLINK(Table244761[[#This Row],[Column1]])</f>
        <v/>
      </c>
    </row>
    <row r="14" ht="45" customHeight="1" s="314">
      <c r="A14" s="278" t="inlineStr">
        <is>
          <t>MUCAR VO6 Bidirectional Scan Tool, Full Systems Diagnostic OBD2 Scanner, Automotive Diagnostic Scanner for Car, 28+ Services Code Reader, CAN FD, FCA/AutoAuth, Lifetime Free Update=No Subscriptions</t>
        </is>
      </c>
      <c r="B14" s="278" t="inlineStr">
        <is>
          <t>B0CJ33NYSL</t>
        </is>
      </c>
      <c r="C14" s="278" t="inlineStr">
        <is>
          <t>Tablet</t>
        </is>
      </c>
      <c r="D14" s="369" t="n">
        <v>395.8456818181818</v>
      </c>
      <c r="E14" s="280" t="n">
        <v>152072.0023076923</v>
      </c>
      <c r="F14" s="274" t="n">
        <v>17417.21</v>
      </c>
      <c r="G14" s="281" t="n">
        <v>101</v>
      </c>
      <c r="H14" s="281" t="n">
        <v>44</v>
      </c>
      <c r="I14" s="281" t="n">
        <v>33</v>
      </c>
      <c r="J14" s="282" t="n">
        <v>4.6</v>
      </c>
      <c r="K14" s="283" t="inlineStr">
        <is>
          <t>https://amazon.com/dp/B0CJ33NYSL</t>
        </is>
      </c>
      <c r="L14" s="114">
        <f>HYPERLINK(Table244761[[#This Row],[Column1]])</f>
        <v/>
      </c>
    </row>
    <row r="15" ht="45" customHeight="1" s="314">
      <c r="A15" s="271" t="inlineStr">
        <is>
          <t>MUCAR CS90 OBD2 Scanner Diagnostic Tool with 28+ Reset Services, Oil/EPB/SAS/BMS/Injector, ABS Bleeding, Throttle Relearn, ABS SRS Engine Transmission Code Reader, FCA AutoAuth, Lifetime Free Update</t>
        </is>
      </c>
      <c r="B15" s="271" t="inlineStr">
        <is>
          <t>B0FHGWXN2B</t>
        </is>
      </c>
      <c r="C15" s="271" t="inlineStr">
        <is>
          <t>Tablet</t>
        </is>
      </c>
      <c r="D15" s="368" t="n">
        <v>171.2790909090909</v>
      </c>
      <c r="E15" s="273" t="n">
        <v>48930.74307692309</v>
      </c>
      <c r="F15" s="274" t="n">
        <v>5652.21</v>
      </c>
      <c r="G15" s="275" t="n">
        <v>105</v>
      </c>
      <c r="H15" s="275" t="n">
        <v>33</v>
      </c>
      <c r="I15" s="275" t="n">
        <v>60</v>
      </c>
      <c r="J15" s="276" t="n">
        <v>4.3</v>
      </c>
      <c r="K15" s="277" t="inlineStr">
        <is>
          <t>https://amazon.com/dp/B0FHGWXN2B</t>
        </is>
      </c>
      <c r="L15" s="114">
        <f>HYPERLINK(Table244761[[#This Row],[Column1]])</f>
        <v/>
      </c>
    </row>
    <row r="16" ht="45" customHeight="1" s="314">
      <c r="A16" s="278" t="inlineStr">
        <is>
          <t>MUCAR CDL20 Universal OBD2 Scanner, Check Engine Car Code Reader with Full OBD2 Functions, Vehicle Info/MIL/EVAP/Freeze Frame/DTC Library, Diagnostic Scan Tool for All OBD II &amp; EOBD Cars After 1996</t>
        </is>
      </c>
      <c r="B16" s="278" t="inlineStr">
        <is>
          <t>B09GJL2G8W</t>
        </is>
      </c>
      <c r="C16" s="278" t="inlineStr">
        <is>
          <t>Handheld</t>
        </is>
      </c>
      <c r="D16" s="369" t="n">
        <v>27.96621848739496</v>
      </c>
      <c r="E16" s="280" t="n">
        <v>7230.55</v>
      </c>
      <c r="F16" s="274" t="n">
        <v>3327.98</v>
      </c>
      <c r="G16" s="281" t="n">
        <v>313</v>
      </c>
      <c r="H16" s="281" t="n">
        <v>119</v>
      </c>
      <c r="I16" s="281" t="n">
        <v>588</v>
      </c>
      <c r="J16" s="282" t="n">
        <v>4.3</v>
      </c>
      <c r="K16" s="283" t="inlineStr">
        <is>
          <t>https://amazon.com/dp/B09GJL2G8W</t>
        </is>
      </c>
      <c r="L16" s="114">
        <f>HYPERLINK(Table244761[[#This Row],[Column1]])</f>
        <v/>
      </c>
    </row>
    <row r="17" ht="45" customHeight="1" s="314">
      <c r="A17" s="271" t="inlineStr">
        <is>
          <t>MUCAR VO8 OBD2 Scanner Diagnostic Tool with Lifetime Free Update, Full System Bidirectional Scan Tool with 34+ Reset Service, ECU Coding, 3000+ Active Test, Power Balance, Crankshaft Relearn, FCA SGW</t>
        </is>
      </c>
      <c r="B17" s="271" t="inlineStr">
        <is>
          <t>B0G2949TGX</t>
        </is>
      </c>
      <c r="C17" s="271" t="inlineStr">
        <is>
          <t>Tablet</t>
        </is>
      </c>
      <c r="D17" s="368" t="n">
        <v>644.576</v>
      </c>
      <c r="E17" s="273" t="n">
        <v>48521.21923076922</v>
      </c>
      <c r="F17" s="274" t="n">
        <v>3222.88</v>
      </c>
      <c r="G17" s="275" t="n">
        <v>36</v>
      </c>
      <c r="H17" s="275" t="n">
        <v>5</v>
      </c>
      <c r="I17" s="275" t="n">
        <v>2</v>
      </c>
      <c r="J17" s="276" t="n">
        <v>4.5</v>
      </c>
      <c r="K17" s="277" t="inlineStr">
        <is>
          <t>https://amazon.com/dp/B0G2949TGX</t>
        </is>
      </c>
      <c r="L17" s="114">
        <f>HYPERLINK(Table244761[[#This Row],[Column1]])</f>
        <v/>
      </c>
    </row>
    <row r="18" ht="45" customHeight="1" s="314">
      <c r="A18" s="278" t="inlineStr">
        <is>
          <t>MUCAR CS6 OBD2 Scanner Diagnostic Tool, Engine Transmission BCM Car Scanner, ABS Code Reader, SRS TPMS Scan Tool, 7 Reset Service, Oil/EPB/SAS/TPMS/DPF/Throttle/ABS Bleed, Auto VIN, Free Update</t>
        </is>
      </c>
      <c r="B18" s="278" t="inlineStr">
        <is>
          <t>B0CQVL7MMW</t>
        </is>
      </c>
      <c r="C18" s="278" t="inlineStr">
        <is>
          <t>Tablet</t>
        </is>
      </c>
      <c r="D18" s="369" t="n">
        <v>168.7325</v>
      </c>
      <c r="E18" s="280" t="n">
        <v>130487.5569230769</v>
      </c>
      <c r="F18" s="274" t="n">
        <v>2024.79</v>
      </c>
      <c r="G18" s="281" t="n">
        <v>830</v>
      </c>
      <c r="H18" s="281" t="n">
        <v>12</v>
      </c>
      <c r="I18" s="281" t="n">
        <v>165</v>
      </c>
      <c r="J18" s="282" t="n">
        <v>4.4</v>
      </c>
      <c r="K18" s="283" t="inlineStr">
        <is>
          <t>https://amazon.com/dp/B0CQVL7MMW</t>
        </is>
      </c>
      <c r="L18" s="114">
        <f>HYPERLINK(Table244761[[#This Row],[Column1]])</f>
        <v/>
      </c>
    </row>
    <row r="19" ht="45" customHeight="1" s="314">
      <c r="A19" s="271" t="inlineStr">
        <is>
          <t>MUCAR CDE900 OBD2 Scanner, Check Engine System Car Code Reader, Automotive Diagnostic Scan Tool with 4 Inches Touchscreen, Cover 106 Brands, FCA Autoauth, Wireless Update</t>
        </is>
      </c>
      <c r="B19" s="271" t="inlineStr">
        <is>
          <t>B0B2NZTC2S</t>
        </is>
      </c>
      <c r="C19" s="271" t="inlineStr">
        <is>
          <t>Handheld</t>
        </is>
      </c>
      <c r="D19" s="368" t="n">
        <v>102.140625</v>
      </c>
      <c r="E19" s="273" t="n">
        <v>31656.5</v>
      </c>
      <c r="F19" s="274" t="n">
        <v>1634.25</v>
      </c>
      <c r="G19" s="275" t="n">
        <v>315</v>
      </c>
      <c r="H19" s="275" t="n">
        <v>16</v>
      </c>
      <c r="I19" s="275" t="n">
        <v>256</v>
      </c>
      <c r="J19" s="276" t="n">
        <v>4.4</v>
      </c>
      <c r="K19" s="277" t="inlineStr">
        <is>
          <t>https://amazon.com/dp/B0B2NZTC2S</t>
        </is>
      </c>
      <c r="L19" s="114">
        <f>HYPERLINK(Table244761[[#This Row],[Column1]])</f>
        <v/>
      </c>
    </row>
    <row r="20" ht="45" customHeight="1" s="314">
      <c r="A20" s="278" t="inlineStr">
        <is>
          <t>MUCAR BT200 MAX AI OBD2 Bluetooth Scanner, Full System 15 Resets Diagnostic Tools Bi-Directional Control, CAN-FD &amp; FCA Autoauth, AutoVIN, Real-Time Data, ELM327 APP Compatibility, Lifetime Free Update</t>
        </is>
      </c>
      <c r="B20" s="278" t="inlineStr">
        <is>
          <t>B0GFN39XPY</t>
        </is>
      </c>
      <c r="C20" s="278" t="inlineStr">
        <is>
          <t>Tablet</t>
        </is>
      </c>
      <c r="D20" s="369" t="n">
        <v>186.53</v>
      </c>
      <c r="E20" s="280" t="n">
        <v>6758.125384615382</v>
      </c>
      <c r="F20" s="274" t="n">
        <v>559.59</v>
      </c>
      <c r="G20" s="281" t="n">
        <v>3</v>
      </c>
      <c r="H20" s="281" t="n">
        <v>3</v>
      </c>
      <c r="I20" s="281" t="n"/>
      <c r="J20" s="282" t="n"/>
      <c r="K20" s="283" t="inlineStr">
        <is>
          <t>https://amazon.com/dp/B0GFN39XPY</t>
        </is>
      </c>
      <c r="L20" s="114">
        <f>HYPERLINK(Table244761[[#This Row],[Column1]])</f>
        <v/>
      </c>
    </row>
    <row r="21" ht="45" customHeight="1" s="314">
      <c r="A21" s="271" t="inlineStr">
        <is>
          <t>MUCAR CDE900S Bidirectional Scan Tool Fit for Ford, OEM Full Systems Car Code Reader, All Services, Bi Directional OBD2 Scanner with ECU Coding, Wireless Update</t>
        </is>
      </c>
      <c r="B21" s="271" t="inlineStr">
        <is>
          <t>B0DM88GPYD</t>
        </is>
      </c>
      <c r="C21" s="271" t="inlineStr">
        <is>
          <t>Handheld</t>
        </is>
      </c>
      <c r="D21" s="368" t="n">
        <v>145.115</v>
      </c>
      <c r="E21" s="273" t="n">
        <v>6698.51</v>
      </c>
      <c r="F21" s="274" t="n">
        <v>290.23</v>
      </c>
      <c r="G21" s="275" t="n">
        <v>38</v>
      </c>
      <c r="H21" s="275" t="n">
        <v>2</v>
      </c>
      <c r="I21" s="275" t="n">
        <v>19</v>
      </c>
      <c r="J21" s="276" t="n">
        <v>4.2</v>
      </c>
      <c r="K21" s="277" t="inlineStr">
        <is>
          <t>https://amazon.com/dp/B0DM88GPYD</t>
        </is>
      </c>
      <c r="L21" s="114">
        <f>HYPERLINK(Table244761[[#This Row],[Column1]])</f>
        <v/>
      </c>
    </row>
    <row r="22" ht="45" customHeight="1" s="314">
      <c r="A22" s="278" t="inlineStr">
        <is>
          <t>MUCAR CDE900 Elite OBD2 Scanner with 28 Reset Service, Oil/SAS/EPB/BMS/ABS Bleeding, Engine Transmission ABS SRS Car Diagnostic Tool, FCA AutoAuth, Lifetime Free Upgrade</t>
        </is>
      </c>
      <c r="B22" s="278" t="inlineStr">
        <is>
          <t>B0CB3TQNGJ</t>
        </is>
      </c>
      <c r="C22" s="278" t="inlineStr">
        <is>
          <t>Tablet</t>
        </is>
      </c>
      <c r="D22" s="369" t="n">
        <v>126.758</v>
      </c>
      <c r="E22" s="280" t="n">
        <v>11335.84</v>
      </c>
      <c r="F22" s="274" t="n">
        <v>0</v>
      </c>
      <c r="G22" s="281" t="n">
        <v>76</v>
      </c>
      <c r="H22" s="281" t="n">
        <v>0</v>
      </c>
      <c r="I22" s="281" t="n">
        <v>27</v>
      </c>
      <c r="J22" s="282" t="n">
        <v>4.2</v>
      </c>
      <c r="K22" s="283" t="inlineStr">
        <is>
          <t>https://amazon.com/dp/B0CB3TQNGJ</t>
        </is>
      </c>
      <c r="L22" s="114">
        <f>HYPERLINK(Table244761[[#This Row],[Column1]])</f>
        <v/>
      </c>
    </row>
    <row r="23" ht="45" customHeight="1" s="314">
      <c r="A23" s="271" t="inlineStr">
        <is>
          <t>MUCAR CDE900 Lite OBD2 Scanner Diagnostic Tool, All System Car Diagnostic Scan Tool with 5 Hot Services Options, FCA AutoAuth, Lifetime Update, No Subscriptions</t>
        </is>
      </c>
      <c r="B23" s="271" t="inlineStr">
        <is>
          <t>B0BZ4L25CZ</t>
        </is>
      </c>
      <c r="C23" s="271" t="inlineStr">
        <is>
          <t>Tablet</t>
        </is>
      </c>
      <c r="D23" s="368" t="n">
        <v>136.7444444444444</v>
      </c>
      <c r="E23" s="273" t="n">
        <v>26004.63</v>
      </c>
      <c r="F23" s="274" t="n">
        <v>0</v>
      </c>
      <c r="G23" s="275" t="n">
        <v>199</v>
      </c>
      <c r="H23" s="275" t="n">
        <v>0</v>
      </c>
      <c r="I23" s="275" t="n">
        <v>127</v>
      </c>
      <c r="J23" s="276" t="n">
        <v>4.3</v>
      </c>
      <c r="K23" s="277" t="inlineStr">
        <is>
          <t>https://amazon.com/dp/B0BZ4L25CZ</t>
        </is>
      </c>
      <c r="L23" s="114">
        <f>HYPERLINK(Table244761[[#This Row],[Column1]])</f>
        <v/>
      </c>
    </row>
    <row r="24" ht="45" customHeight="1" s="314">
      <c r="A24" s="278" t="n"/>
      <c r="B24" s="278" t="n"/>
      <c r="C24" s="278" t="n"/>
      <c r="D24" s="369" t="n"/>
      <c r="E24" s="280" t="n"/>
      <c r="F24" s="274" t="n"/>
      <c r="G24" s="281" t="n"/>
      <c r="H24" s="281" t="n"/>
      <c r="I24" s="281" t="n"/>
      <c r="J24" s="282" t="n"/>
      <c r="K24" s="283" t="inlineStr">
        <is>
          <t>https://amazon.com/dp/B09GJL2G8W</t>
        </is>
      </c>
      <c r="L24" s="114">
        <f>HYPERLINK(Table244761[[#This Row],[Column1]])</f>
        <v/>
      </c>
    </row>
    <row r="25" ht="17" customHeight="1" s="314">
      <c r="A25" s="41" t="inlineStr">
        <is>
          <t>Total</t>
        </is>
      </c>
      <c r="B25" s="41" t="n"/>
      <c r="C25" s="365" t="n"/>
      <c r="D25" s="365" t="n"/>
      <c r="E25" s="122">
        <f>SUM(E9:E24)</f>
        <v/>
      </c>
      <c r="F25" s="122">
        <f>SUM(F9:F24)</f>
        <v/>
      </c>
      <c r="G25" s="123" t="n"/>
      <c r="H25" s="123" t="n"/>
      <c r="I25" s="123" t="n"/>
      <c r="J25" s="128" t="n"/>
      <c r="K25" s="41" t="n"/>
    </row>
    <row r="28">
      <c r="A28" s="307" t="inlineStr">
        <is>
          <t>Rank by Units</t>
        </is>
      </c>
    </row>
    <row r="29" ht="17" customHeight="1" s="314">
      <c r="A29" s="46" t="inlineStr">
        <is>
          <t>Product Name</t>
        </is>
      </c>
      <c r="B29" s="47" t="inlineStr">
        <is>
          <t>ASIN</t>
        </is>
      </c>
      <c r="C29" s="47" t="inlineStr">
        <is>
          <t>Type</t>
        </is>
      </c>
      <c r="D29" s="345" t="inlineStr">
        <is>
          <t>Avg Price</t>
        </is>
      </c>
      <c r="E29" s="49" t="inlineStr">
        <is>
          <t>Estimated 12mo Revenue</t>
        </is>
      </c>
      <c r="F29" s="47" t="inlineStr">
        <is>
          <t>Monthly Rev</t>
        </is>
      </c>
      <c r="G29" s="51" t="inlineStr">
        <is>
          <t>Estimated 12mo Units</t>
        </is>
      </c>
      <c r="H29" s="54" t="inlineStr">
        <is>
          <t>Monthly Units</t>
        </is>
      </c>
      <c r="I29" s="51" t="inlineStr">
        <is>
          <t># of Reviews</t>
        </is>
      </c>
      <c r="J29" s="52" t="inlineStr">
        <is>
          <t xml:space="preserve">Tool Rating </t>
        </is>
      </c>
      <c r="K29" s="52" t="inlineStr">
        <is>
          <t>Column1</t>
        </is>
      </c>
      <c r="L29" s="346" t="inlineStr">
        <is>
          <t>Link</t>
        </is>
      </c>
    </row>
    <row r="30" ht="45" customHeight="1" s="314">
      <c r="A30" s="35" t="inlineStr">
        <is>
          <t>MUCAR 892BT AI-Assisted Bidirectional Scan Tool, Full System OBD2 Scanner, Bi-Directional OBD2 Scanner Diagnostic Tool,ECU Coding, 35 Services, FCA Autoauth, CANFD and DOIP, Free Lifetime Upgrade</t>
        </is>
      </c>
      <c r="B30" s="35" t="inlineStr">
        <is>
          <t>B0DTK24XKB</t>
        </is>
      </c>
      <c r="C30" s="35" t="inlineStr">
        <is>
          <t>Tablet</t>
        </is>
      </c>
      <c r="D30" s="228" t="n">
        <v>644.8325789473685</v>
      </c>
      <c r="E30" s="228" t="n">
        <v>2958362.81</v>
      </c>
      <c r="F30" s="228" t="n">
        <v>367554.57</v>
      </c>
      <c r="G30" s="228" t="n">
        <v>4804</v>
      </c>
      <c r="H30" s="229" t="n">
        <v>570</v>
      </c>
      <c r="I30" s="228" t="n">
        <v>394</v>
      </c>
      <c r="J30" s="228" t="n">
        <v>4.3</v>
      </c>
      <c r="K30" s="228" t="inlineStr">
        <is>
          <t>https://amazon.com/dp/B0DTK24XKB</t>
        </is>
      </c>
      <c r="L30" s="114">
        <f>HYPERLINK(Table254862[[#This Row],[Column1]])</f>
        <v/>
      </c>
    </row>
    <row r="31" ht="45" customHeight="1" s="314">
      <c r="A31" s="35" t="inlineStr">
        <is>
          <t>OBD2 Scanner, MUCAR 632 Elite AI-Assisted Bidirectional Scan Tool, 15 Reset Services Oil/TPMS/EPB/BMS/SAS/Brake/Throttle Car Scanner Diagnostic Tool, AutoAuth FCA, CANFD, AutoVIN, Lifetime Free Update</t>
        </is>
      </c>
      <c r="B31" s="35" t="inlineStr">
        <is>
          <t>B0FGC7K873</t>
        </is>
      </c>
      <c r="C31" s="35" t="inlineStr">
        <is>
          <t>Tablet</t>
        </is>
      </c>
      <c r="D31" s="228" t="n">
        <v>207.5880847145488</v>
      </c>
      <c r="E31" s="228" t="n">
        <v>1217057.037692308</v>
      </c>
      <c r="F31" s="228" t="n">
        <v>112720.33</v>
      </c>
      <c r="G31" s="228" t="n">
        <v>2237</v>
      </c>
      <c r="H31" s="229" t="n">
        <v>543</v>
      </c>
      <c r="I31" s="228" t="n">
        <v>251</v>
      </c>
      <c r="J31" s="228" t="n">
        <v>4</v>
      </c>
      <c r="K31" s="228" t="inlineStr">
        <is>
          <t>https://amazon.com/dp/B0FGC7K873</t>
        </is>
      </c>
      <c r="L31" s="114">
        <f>HYPERLINK(Table254862[[#This Row],[Column1]])</f>
        <v/>
      </c>
    </row>
    <row r="32" ht="45" customHeight="1" s="314">
      <c r="A32" s="35" t="inlineStr">
        <is>
          <t>MUCAR AI-Assisted OBD2 Scanner Bluetooth Lifetime Update, BT200 MAX Compatible with ELM327, All System OBD2 Diagnostic Tool with 15 Resets for iOS &amp; Android, CANFD Protocol, Autoauth for FCA SGW</t>
        </is>
      </c>
      <c r="B32" s="35" t="inlineStr">
        <is>
          <t>B0FB9B6KW5</t>
        </is>
      </c>
      <c r="C32" s="35" t="inlineStr">
        <is>
          <t>Tablet</t>
        </is>
      </c>
      <c r="D32" s="228" t="n">
        <v>151.1252666666667</v>
      </c>
      <c r="E32" s="228" t="n">
        <v>216805.3446153846</v>
      </c>
      <c r="F32" s="228" t="n">
        <v>22668.79</v>
      </c>
      <c r="G32" s="228" t="n">
        <v>753</v>
      </c>
      <c r="H32" s="229" t="n">
        <v>150</v>
      </c>
      <c r="I32" s="228" t="n">
        <v>101</v>
      </c>
      <c r="J32" s="228" t="n">
        <v>4.3</v>
      </c>
      <c r="K32" s="228" t="inlineStr">
        <is>
          <t>https://amazon.com/dp/B0FB9B6KW5</t>
        </is>
      </c>
      <c r="L32" s="114">
        <f>HYPERLINK(Table254862[[#This Row],[Column1]])</f>
        <v/>
      </c>
    </row>
    <row r="33" ht="45" customHeight="1" s="314">
      <c r="A33" s="35" t="inlineStr">
        <is>
          <t>MUCAR CDL20 Universal OBD2 Scanner, Check Engine Car Code Reader with Full OBD2 Functions, Vehicle Info/MIL/EVAP/Freeze Frame/DTC Library, Diagnostic Scan Tool for All OBD II &amp; EOBD Cars After 1996</t>
        </is>
      </c>
      <c r="B33" s="35" t="inlineStr">
        <is>
          <t>B09GJL2G8W</t>
        </is>
      </c>
      <c r="C33" s="35" t="inlineStr">
        <is>
          <t>Handheld</t>
        </is>
      </c>
      <c r="D33" s="228" t="n">
        <v>27.96621848739496</v>
      </c>
      <c r="E33" s="228" t="n">
        <v>7230.55</v>
      </c>
      <c r="F33" s="228" t="n">
        <v>3327.98</v>
      </c>
      <c r="G33" s="228" t="n">
        <v>313</v>
      </c>
      <c r="H33" s="229" t="n">
        <v>119</v>
      </c>
      <c r="I33" s="228" t="n">
        <v>588</v>
      </c>
      <c r="J33" s="228" t="n">
        <v>4.3</v>
      </c>
      <c r="K33" s="228" t="inlineStr">
        <is>
          <t>https://amazon.com/dp/B09GJL2G8W</t>
        </is>
      </c>
      <c r="L33" s="114">
        <f>HYPERLINK(Table254862[[#This Row],[Column1]])</f>
        <v/>
      </c>
    </row>
    <row r="34" ht="45" customHeight="1" s="314">
      <c r="A34" s="35" t="inlineStr">
        <is>
          <t>OBD2 Scanner, MUCAR 682 AI-Assisted Car Diagnostic Tool, Automotive Bidirectional Scan Tool, FULL Systems Car Diagnostic Scanner, Scanner for Car with 20+ Reset, CAN FD &amp; FCA SGW, Lifetime Free Update</t>
        </is>
      </c>
      <c r="B34" s="35" t="inlineStr">
        <is>
          <t>B0FGC4D4X2</t>
        </is>
      </c>
      <c r="C34" s="35" t="inlineStr">
        <is>
          <t>Tablet</t>
        </is>
      </c>
      <c r="D34" s="228" t="n">
        <v>285.628407079646</v>
      </c>
      <c r="E34" s="228" t="n">
        <v>341471.2299999999</v>
      </c>
      <c r="F34" s="228" t="n">
        <v>32276.01</v>
      </c>
      <c r="G34" s="228" t="n">
        <v>472</v>
      </c>
      <c r="H34" s="229" t="n">
        <v>113</v>
      </c>
      <c r="I34" s="228" t="n">
        <v>91</v>
      </c>
      <c r="J34" s="228" t="n">
        <v>4.5</v>
      </c>
      <c r="K34" s="228" t="inlineStr">
        <is>
          <t>https://amazon.com/dp/B0FGC4D4X2</t>
        </is>
      </c>
      <c r="L34" s="114">
        <f>HYPERLINK(Table254862[[#This Row],[Column1]])</f>
        <v/>
      </c>
    </row>
    <row r="35" ht="45" customHeight="1" s="314">
      <c r="A35" s="35" t="inlineStr">
        <is>
          <t>MUCAR 682 AI-Assisted OBD2 Scanner Bidirectional Scan Tool, Scanner for Car ALL System, OBD2 Scanner Diagnostic Tool with Active Test,Car Diagnostic Scanner with 20+ Reset,CAN FD &amp; FCA SGW,Free Update</t>
        </is>
      </c>
      <c r="B35" s="35" t="inlineStr">
        <is>
          <t>B0G1T4F8Y2</t>
        </is>
      </c>
      <c r="C35" s="35" t="inlineStr">
        <is>
          <t>Tablet</t>
        </is>
      </c>
      <c r="D35" s="228" t="n">
        <v>322.6429268292683</v>
      </c>
      <c r="E35" s="228" t="n">
        <v>320791.7515384615</v>
      </c>
      <c r="F35" s="228" t="n">
        <v>26456.72</v>
      </c>
      <c r="G35" s="228" t="n">
        <v>438</v>
      </c>
      <c r="H35" s="229" t="n">
        <v>82</v>
      </c>
      <c r="I35" s="228" t="n">
        <v>151</v>
      </c>
      <c r="J35" s="228" t="n">
        <v>4.3</v>
      </c>
      <c r="K35" s="228" t="inlineStr">
        <is>
          <t>https://amazon.com/dp/B0G1T4F8Y2</t>
        </is>
      </c>
      <c r="L35" s="114">
        <f>HYPERLINK(Table254862[[#This Row],[Column1]])</f>
        <v/>
      </c>
    </row>
    <row r="36" ht="45" customHeight="1" s="314">
      <c r="A36" s="35" t="inlineStr">
        <is>
          <t>MUCAR VO6 Bidirectional Scan Tool, Full Systems Diagnostic OBD2 Scanner, Automotive Diagnostic Scanner for Car, 28+ Services Code Reader, CAN FD, FCA/AutoAuth, Lifetime Free Update=No Subscriptions</t>
        </is>
      </c>
      <c r="B36" s="35" t="inlineStr">
        <is>
          <t>B0CJ33NYSL</t>
        </is>
      </c>
      <c r="C36" s="35" t="inlineStr">
        <is>
          <t>Tablet</t>
        </is>
      </c>
      <c r="D36" s="228" t="n">
        <v>395.8456818181818</v>
      </c>
      <c r="E36" s="228" t="n">
        <v>152072.0023076923</v>
      </c>
      <c r="F36" s="228" t="n">
        <v>17417.21</v>
      </c>
      <c r="G36" s="228" t="n">
        <v>101</v>
      </c>
      <c r="H36" s="229" t="n">
        <v>44</v>
      </c>
      <c r="I36" s="228" t="n">
        <v>33</v>
      </c>
      <c r="J36" s="228" t="n">
        <v>4.6</v>
      </c>
      <c r="K36" s="228" t="inlineStr">
        <is>
          <t>https://amazon.com/dp/B0CJ33NYSL</t>
        </is>
      </c>
      <c r="L36" s="114">
        <f>HYPERLINK(Table254862[[#This Row],[Column1]])</f>
        <v/>
      </c>
    </row>
    <row r="37" ht="45" customHeight="1" s="314">
      <c r="A37" s="35" t="inlineStr">
        <is>
          <t>MUCAR CS90 OBD2 Scanner Diagnostic Tool with 28+ Reset Services, Oil/EPB/SAS/BMS/Injector, ABS Bleeding, Throttle Relearn, ABS SRS Engine Transmission Code Reader, FCA AutoAuth, Lifetime Free Update</t>
        </is>
      </c>
      <c r="B37" s="35" t="inlineStr">
        <is>
          <t>B0FHGWXN2B</t>
        </is>
      </c>
      <c r="C37" s="35" t="inlineStr">
        <is>
          <t>Tablet</t>
        </is>
      </c>
      <c r="D37" s="228" t="n">
        <v>171.2790909090909</v>
      </c>
      <c r="E37" s="228" t="n">
        <v>48930.74307692309</v>
      </c>
      <c r="F37" s="228" t="n">
        <v>5652.21</v>
      </c>
      <c r="G37" s="228" t="n">
        <v>105</v>
      </c>
      <c r="H37" s="229" t="n">
        <v>33</v>
      </c>
      <c r="I37" s="228" t="n">
        <v>60</v>
      </c>
      <c r="J37" s="228" t="n">
        <v>4.3</v>
      </c>
      <c r="K37" s="228" t="inlineStr">
        <is>
          <t>https://amazon.com/dp/B0FHGWXN2B</t>
        </is>
      </c>
      <c r="L37" s="114">
        <f>HYPERLINK(Table254862[[#This Row],[Column1]])</f>
        <v/>
      </c>
    </row>
    <row r="38" ht="45" customHeight="1" s="314">
      <c r="A38" s="35" t="inlineStr">
        <is>
          <t>MUCAR CDE900 OBD2 Scanner, Check Engine System Car Code Reader, Automotive Diagnostic Scan Tool with 4 Inches Touchscreen, Cover 106 Brands, FCA Autoauth, Wireless Update</t>
        </is>
      </c>
      <c r="B38" s="35" t="inlineStr">
        <is>
          <t>B0B2NZTC2S</t>
        </is>
      </c>
      <c r="C38" s="35" t="inlineStr">
        <is>
          <t>Handheld</t>
        </is>
      </c>
      <c r="D38" s="228" t="n">
        <v>102.140625</v>
      </c>
      <c r="E38" s="228" t="n">
        <v>31656.5</v>
      </c>
      <c r="F38" s="228" t="n">
        <v>1634.25</v>
      </c>
      <c r="G38" s="228" t="n">
        <v>315</v>
      </c>
      <c r="H38" s="229" t="n">
        <v>16</v>
      </c>
      <c r="I38" s="228" t="n">
        <v>256</v>
      </c>
      <c r="J38" s="228" t="n">
        <v>4.4</v>
      </c>
      <c r="K38" s="228" t="inlineStr">
        <is>
          <t>https://amazon.com/dp/B0B2NZTC2S</t>
        </is>
      </c>
      <c r="L38" s="114">
        <f>HYPERLINK(Table254862[[#This Row],[Column1]])</f>
        <v/>
      </c>
    </row>
    <row r="39" ht="45" customHeight="1" s="314">
      <c r="A39" s="35" t="inlineStr">
        <is>
          <t>MUCAR CS6 OBD2 Scanner Diagnostic Tool, Engine Transmission BCM Car Scanner, ABS Code Reader, SRS TPMS Scan Tool, 7 Reset Service, Oil/EPB/SAS/TPMS/DPF/Throttle/ABS Bleed, Auto VIN, Free Update</t>
        </is>
      </c>
      <c r="B39" s="35" t="inlineStr">
        <is>
          <t>B0CQVL7MMW</t>
        </is>
      </c>
      <c r="C39" s="35" t="inlineStr">
        <is>
          <t>Tablet</t>
        </is>
      </c>
      <c r="D39" s="228" t="n">
        <v>168.7325</v>
      </c>
      <c r="E39" s="228" t="n">
        <v>130487.5569230769</v>
      </c>
      <c r="F39" s="228" t="n">
        <v>2024.79</v>
      </c>
      <c r="G39" s="228" t="n">
        <v>830</v>
      </c>
      <c r="H39" s="229" t="n">
        <v>12</v>
      </c>
      <c r="I39" s="228" t="n">
        <v>165</v>
      </c>
      <c r="J39" s="228" t="n">
        <v>4.4</v>
      </c>
      <c r="K39" s="228" t="inlineStr">
        <is>
          <t>https://amazon.com/dp/B0CQVL7MMW</t>
        </is>
      </c>
      <c r="L39" s="114">
        <f>HYPERLINK(Table254862[[#This Row],[Column1]])</f>
        <v/>
      </c>
    </row>
    <row r="40" ht="45" customHeight="1" s="314">
      <c r="A40" s="35" t="inlineStr">
        <is>
          <t>MUCAR VO8 OBD2 Scanner Diagnostic Tool with Lifetime Free Update, Full System Bidirectional Scan Tool with 34+ Reset Service, ECU Coding, 3000+ Active Test, Power Balance, Crankshaft Relearn, FCA SGW</t>
        </is>
      </c>
      <c r="B40" s="35" t="inlineStr">
        <is>
          <t>B0G2949TGX</t>
        </is>
      </c>
      <c r="C40" s="35" t="inlineStr">
        <is>
          <t>Tablet</t>
        </is>
      </c>
      <c r="D40" s="228" t="n">
        <v>644.576</v>
      </c>
      <c r="E40" s="228" t="n">
        <v>48521.21923076922</v>
      </c>
      <c r="F40" s="228" t="n">
        <v>3222.88</v>
      </c>
      <c r="G40" s="228" t="n">
        <v>36</v>
      </c>
      <c r="H40" s="229" t="n">
        <v>5</v>
      </c>
      <c r="I40" s="228" t="n">
        <v>2</v>
      </c>
      <c r="J40" s="228" t="n">
        <v>4.5</v>
      </c>
      <c r="K40" s="228" t="inlineStr">
        <is>
          <t>https://amazon.com/dp/B0G2949TGX</t>
        </is>
      </c>
      <c r="L40" s="114">
        <f>HYPERLINK(Table254862[[#This Row],[Column1]])</f>
        <v/>
      </c>
    </row>
    <row r="41" ht="45" customHeight="1" s="314">
      <c r="A41" s="35" t="inlineStr">
        <is>
          <t>MUCAR BT200 MAX AI OBD2 Bluetooth Scanner, Full System 15 Resets Diagnostic Tools Bi-Directional Control, CAN-FD &amp; FCA Autoauth, AutoVIN, Real-Time Data, ELM327 APP Compatibility, Lifetime Free Update</t>
        </is>
      </c>
      <c r="B41" s="35" t="inlineStr">
        <is>
          <t>B0GFN39XPY</t>
        </is>
      </c>
      <c r="C41" s="35" t="inlineStr">
        <is>
          <t>Tablet</t>
        </is>
      </c>
      <c r="D41" s="228" t="n">
        <v>186.53</v>
      </c>
      <c r="E41" s="228" t="n">
        <v>6758.125384615382</v>
      </c>
      <c r="F41" s="228" t="n">
        <v>559.59</v>
      </c>
      <c r="G41" s="228" t="n">
        <v>3</v>
      </c>
      <c r="H41" s="229" t="n">
        <v>3</v>
      </c>
      <c r="I41" s="228" t="n"/>
      <c r="J41" s="228" t="n"/>
      <c r="K41" s="228" t="inlineStr">
        <is>
          <t>https://amazon.com/dp/B0GFN39XPY</t>
        </is>
      </c>
      <c r="L41" s="114">
        <f>HYPERLINK(Table254862[[#This Row],[Column1]])</f>
        <v/>
      </c>
    </row>
    <row r="42" ht="45" customHeight="1" s="314">
      <c r="A42" s="35" t="inlineStr">
        <is>
          <t>MUCAR CDE900S Bidirectional Scan Tool Fit for Ford, OEM Full Systems Car Code Reader, All Services, Bi Directional OBD2 Scanner with ECU Coding, Wireless Update</t>
        </is>
      </c>
      <c r="B42" s="35" t="inlineStr">
        <is>
          <t>B0DM88GPYD</t>
        </is>
      </c>
      <c r="C42" s="35" t="inlineStr">
        <is>
          <t>Handheld</t>
        </is>
      </c>
      <c r="D42" s="228" t="n">
        <v>145.115</v>
      </c>
      <c r="E42" s="228" t="n">
        <v>6698.51</v>
      </c>
      <c r="F42" s="228" t="n">
        <v>290.23</v>
      </c>
      <c r="G42" s="228" t="n">
        <v>38</v>
      </c>
      <c r="H42" s="229" t="n">
        <v>2</v>
      </c>
      <c r="I42" s="228" t="n">
        <v>19</v>
      </c>
      <c r="J42" s="228" t="n">
        <v>4.2</v>
      </c>
      <c r="K42" s="228" t="inlineStr">
        <is>
          <t>https://amazon.com/dp/B0DM88GPYD</t>
        </is>
      </c>
      <c r="L42" s="114">
        <f>HYPERLINK(Table254862[[#This Row],[Column1]])</f>
        <v/>
      </c>
    </row>
    <row r="43" ht="45" customHeight="1" s="314">
      <c r="A43" s="35" t="inlineStr">
        <is>
          <t>MUCAR CDE900 Elite OBD2 Scanner with 28 Reset Service, Oil/SAS/EPB/BMS/ABS Bleeding, Engine Transmission ABS SRS Car Diagnostic Tool, FCA AutoAuth, Lifetime Free Upgrade</t>
        </is>
      </c>
      <c r="B43" s="35" t="inlineStr">
        <is>
          <t>B0CB3TQNGJ</t>
        </is>
      </c>
      <c r="C43" s="35" t="inlineStr">
        <is>
          <t>Tablet</t>
        </is>
      </c>
      <c r="D43" s="228" t="n">
        <v>126.758</v>
      </c>
      <c r="E43" s="228" t="n">
        <v>11335.84</v>
      </c>
      <c r="F43" s="228" t="n">
        <v>0</v>
      </c>
      <c r="G43" s="228" t="n">
        <v>76</v>
      </c>
      <c r="H43" s="229" t="n">
        <v>0</v>
      </c>
      <c r="I43" s="228" t="n">
        <v>27</v>
      </c>
      <c r="J43" s="228" t="n">
        <v>4.2</v>
      </c>
      <c r="K43" s="228" t="inlineStr">
        <is>
          <t>https://amazon.com/dp/B0CB3TQNGJ</t>
        </is>
      </c>
      <c r="L43" s="114">
        <f>HYPERLINK(Table254862[[#This Row],[Column1]])</f>
        <v/>
      </c>
    </row>
    <row r="44" ht="45" customHeight="1" s="314">
      <c r="A44" s="35" t="inlineStr">
        <is>
          <t>MUCAR CDE900 Lite OBD2 Scanner Diagnostic Tool, All System Car Diagnostic Scan Tool with 5 Hot Services Options, FCA AutoAuth, Lifetime Update, No Subscriptions</t>
        </is>
      </c>
      <c r="B44" s="35" t="inlineStr">
        <is>
          <t>B0BZ4L25CZ</t>
        </is>
      </c>
      <c r="C44" s="35" t="inlineStr">
        <is>
          <t>Tablet</t>
        </is>
      </c>
      <c r="D44" s="228" t="n">
        <v>136.7444444444444</v>
      </c>
      <c r="E44" s="228" t="n">
        <v>26004.63</v>
      </c>
      <c r="F44" s="228" t="n">
        <v>0</v>
      </c>
      <c r="G44" s="228" t="n">
        <v>199</v>
      </c>
      <c r="H44" s="229" t="n">
        <v>0</v>
      </c>
      <c r="I44" s="228" t="n">
        <v>127</v>
      </c>
      <c r="J44" s="228" t="n">
        <v>4.3</v>
      </c>
      <c r="K44" s="228" t="inlineStr">
        <is>
          <t>https://amazon.com/dp/B0BZ4L25CZ</t>
        </is>
      </c>
      <c r="L44" s="114">
        <f>HYPERLINK(Table254862[[#This Row],[Column1]])</f>
        <v/>
      </c>
    </row>
    <row r="45" ht="45" customHeight="1" s="314">
      <c r="A45" s="35" t="n"/>
      <c r="B45" s="35" t="n"/>
      <c r="C45" s="35" t="n"/>
      <c r="D45" s="228" t="n"/>
      <c r="E45" s="228" t="n"/>
      <c r="F45" s="228" t="n"/>
      <c r="G45" s="228" t="n"/>
      <c r="H45" s="229" t="n"/>
      <c r="I45" s="228" t="n"/>
      <c r="J45" s="228" t="n"/>
      <c r="K45" s="228" t="n"/>
      <c r="L45" s="114">
        <f>HYPERLINK(Table254862[[#This Row],[Column1]])</f>
        <v/>
      </c>
    </row>
    <row r="46" ht="17" customHeight="1" s="314">
      <c r="A46" s="41" t="inlineStr">
        <is>
          <t>Total</t>
        </is>
      </c>
      <c r="B46" s="41" t="n"/>
      <c r="C46" s="365" t="n"/>
      <c r="D46" s="122" t="n"/>
      <c r="E46" s="122" t="n"/>
      <c r="F46" s="122" t="n"/>
      <c r="G46" s="123">
        <f>SUM(G30:G45)</f>
        <v/>
      </c>
      <c r="H46" s="123">
        <f>SUM(H30:H45)</f>
        <v/>
      </c>
      <c r="I46" s="123" t="n"/>
      <c r="J46" s="128" t="n"/>
      <c r="K46" s="41" t="n"/>
    </row>
  </sheetData>
  <mergeCells count="3">
    <mergeCell ref="A1:L5"/>
    <mergeCell ref="A28:L28"/>
    <mergeCell ref="A7:L7"/>
  </mergeCells>
  <hyperlinks>
    <hyperlink xmlns:r="http://schemas.openxmlformats.org/officeDocument/2006/relationships" ref="K9" r:id="rId1"/>
    <hyperlink xmlns:r="http://schemas.openxmlformats.org/officeDocument/2006/relationships" ref="K10"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15" r:id="rId7"/>
    <hyperlink xmlns:r="http://schemas.openxmlformats.org/officeDocument/2006/relationships" ref="K16" r:id="rId8"/>
    <hyperlink xmlns:r="http://schemas.openxmlformats.org/officeDocument/2006/relationships" ref="K17" r:id="rId9"/>
    <hyperlink xmlns:r="http://schemas.openxmlformats.org/officeDocument/2006/relationships" ref="K18" r:id="rId10"/>
    <hyperlink xmlns:r="http://schemas.openxmlformats.org/officeDocument/2006/relationships" ref="K19" r:id="rId11"/>
    <hyperlink xmlns:r="http://schemas.openxmlformats.org/officeDocument/2006/relationships" ref="K20" r:id="rId12"/>
    <hyperlink xmlns:r="http://schemas.openxmlformats.org/officeDocument/2006/relationships" ref="K21" r:id="rId13"/>
    <hyperlink xmlns:r="http://schemas.openxmlformats.org/officeDocument/2006/relationships" ref="K22" r:id="rId14"/>
    <hyperlink xmlns:r="http://schemas.openxmlformats.org/officeDocument/2006/relationships" ref="K23" r:id="rId15"/>
    <hyperlink xmlns:r="http://schemas.openxmlformats.org/officeDocument/2006/relationships" ref="K24" r:id="rId16"/>
  </hyperlinks>
  <pageMargins left="0.7" right="0.7" top="0.75" bottom="0.75" header="0.3" footer="0.3"/>
  <pageSetup orientation="portrait"/>
  <tableParts count="2">
    <tablePart xmlns:r="http://schemas.openxmlformats.org/officeDocument/2006/relationships" r:id="rId17"/>
    <tablePart xmlns:r="http://schemas.openxmlformats.org/officeDocument/2006/relationships" r:id="rId18"/>
  </tableParts>
</worksheet>
</file>

<file path=xl/worksheets/sheet19.xml><?xml version="1.0" encoding="utf-8"?>
<worksheet xmlns="http://schemas.openxmlformats.org/spreadsheetml/2006/main">
  <sheetPr>
    <outlinePr summaryBelow="1" summaryRight="1"/>
    <pageSetUpPr/>
  </sheetPr>
  <dimension ref="A1:L26"/>
  <sheetViews>
    <sheetView workbookViewId="0">
      <selection activeCell="N23" sqref="N23"/>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 customWidth="1" style="308" min="11" max="11"/>
    <col width="35.6640625" customWidth="1" style="308" min="12" max="12"/>
    <col width="12.6640625" customWidth="1" style="308" min="13" max="16384"/>
  </cols>
  <sheetData>
    <row r="1">
      <c r="A1" s="317" t="inlineStr">
        <is>
          <t>OBDeleven Monthly Summary</t>
        </is>
      </c>
    </row>
    <row r="2"/>
    <row r="3"/>
    <row r="4"/>
    <row r="5"/>
    <row r="6">
      <c r="B6" s="60" t="n"/>
      <c r="C6" s="366" t="n"/>
      <c r="E6" s="60" t="n"/>
      <c r="F6" s="62" t="n"/>
      <c r="G6" s="62" t="n"/>
      <c r="H6" s="62" t="n"/>
      <c r="I6" s="63" t="n"/>
      <c r="J6" s="60" t="n"/>
    </row>
    <row r="7">
      <c r="A7" s="307" t="inlineStr">
        <is>
          <t xml:space="preserve">Rank by Revenue </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OBDeleven 3 Diagnostic Tool Scanner for Audi Seat Cupra Skoda Volkswagen BMW Mini Toyota Ford Mercedes-Benz (Android &amp; iOS)</t>
        </is>
      </c>
      <c r="B9" s="35" t="inlineStr">
        <is>
          <t>B0FH794MQC</t>
        </is>
      </c>
      <c r="C9" s="35" t="inlineStr">
        <is>
          <t>Dongle</t>
        </is>
      </c>
      <c r="D9" s="359" t="n">
        <v>127.6966708542714</v>
      </c>
      <c r="E9" s="66" t="n">
        <v>795999.7284615384</v>
      </c>
      <c r="F9" s="67" t="n">
        <v>101646.55</v>
      </c>
      <c r="G9" s="68" t="n">
        <v>3360</v>
      </c>
      <c r="H9" s="68" t="n">
        <v>796</v>
      </c>
      <c r="I9" s="68" t="n">
        <v>180</v>
      </c>
      <c r="J9" s="69" t="n">
        <v>3.8</v>
      </c>
      <c r="K9" s="69" t="inlineStr">
        <is>
          <t>https://amazon.com/dp/B0FH794MQC</t>
        </is>
      </c>
      <c r="L9" s="114">
        <f>HYPERLINK(Table393767[[#This Row],[Column1]])</f>
        <v/>
      </c>
    </row>
    <row r="10" ht="30" customHeight="1" s="314">
      <c r="A10" s="35" t="inlineStr">
        <is>
          <t>OBDeleven 3 Pro Pack OBD2 Diagnostic Tool Scanner for Audi Seat Cupra Skoda Volkswagen BMW Mini Toyota Ford Mercedes-Benz (OBDeleven 3 PRO)</t>
        </is>
      </c>
      <c r="B10" s="35" t="inlineStr">
        <is>
          <t>B0FH574J2P</t>
        </is>
      </c>
      <c r="C10" s="35" t="inlineStr">
        <is>
          <t>Dongle</t>
        </is>
      </c>
      <c r="D10" s="359" t="n">
        <v>185.175</v>
      </c>
      <c r="E10" s="66" t="n">
        <v>790297.336923077</v>
      </c>
      <c r="F10" s="67" t="n">
        <v>88884</v>
      </c>
      <c r="G10" s="68" t="n">
        <v>2531</v>
      </c>
      <c r="H10" s="68" t="n">
        <v>480</v>
      </c>
      <c r="I10" s="68" t="n">
        <v>224</v>
      </c>
      <c r="J10" s="69" t="n">
        <v>3.8</v>
      </c>
      <c r="K10" s="69" t="inlineStr">
        <is>
          <t>https://amazon.com/dp/B0FH574J2P</t>
        </is>
      </c>
      <c r="L10" s="114">
        <f>HYPERLINK(Table393767[[#This Row],[Column1]])</f>
        <v/>
      </c>
    </row>
    <row r="11" ht="45" customHeight="1" s="314">
      <c r="A11" s="35" t="inlineStr">
        <is>
          <t>OBDeleven 3 Ultimate Professional Code Reader OBD2 Bluetooth Diagnostic Scan Tool Fault Reader (Android and iOS)</t>
        </is>
      </c>
      <c r="B11" s="35" t="inlineStr">
        <is>
          <t>B0FH7DP71C</t>
        </is>
      </c>
      <c r="C11" s="35" t="inlineStr">
        <is>
          <t>Dongle</t>
        </is>
      </c>
      <c r="D11" s="359" t="n">
        <v>334.73671875</v>
      </c>
      <c r="E11" s="66" t="n">
        <v>219692.6415384615</v>
      </c>
      <c r="F11" s="67" t="n">
        <v>21423.15</v>
      </c>
      <c r="G11" s="68" t="n">
        <v>422</v>
      </c>
      <c r="H11" s="68" t="n">
        <v>64</v>
      </c>
      <c r="I11" s="68" t="n">
        <v>42</v>
      </c>
      <c r="J11" s="69" t="n">
        <v>3.6</v>
      </c>
      <c r="K11" s="69" t="inlineStr">
        <is>
          <t>https://amazon.com/dp/B0FH7DP71C</t>
        </is>
      </c>
      <c r="L11" s="114">
        <f>HYPERLINK(Table393767[[#This Row],[Column1]])</f>
        <v/>
      </c>
    </row>
    <row r="12" ht="30" customHeight="1" s="314">
      <c r="A12" s="35" t="inlineStr">
        <is>
          <t>OBDeleven OBD2 Diagnostic Tool Scanner for Audi Seat Cupra Skoda Volkswagen BMW Mini Toyota (Android &amp; iOS, Next Gen Device) (Ultimate Pack)</t>
        </is>
      </c>
      <c r="B12" s="35" t="inlineStr">
        <is>
          <t>B07L75WTTT</t>
        </is>
      </c>
      <c r="C12" s="35" t="inlineStr">
        <is>
          <t>Dongle</t>
        </is>
      </c>
      <c r="D12" s="359" t="n">
        <v>262.3908333333333</v>
      </c>
      <c r="E12" s="66" t="n">
        <v>184752.11</v>
      </c>
      <c r="F12" s="67" t="n">
        <v>3148.69</v>
      </c>
      <c r="G12" s="68" t="n">
        <v>699</v>
      </c>
      <c r="H12" s="68" t="n">
        <v>12</v>
      </c>
      <c r="I12" s="68" t="n">
        <v>8502</v>
      </c>
      <c r="J12" s="69" t="n">
        <v>4</v>
      </c>
      <c r="K12" s="69" t="inlineStr">
        <is>
          <t>https://amazon.com/dp/B07L75WTTT</t>
        </is>
      </c>
      <c r="L12" s="114">
        <f>HYPERLINK(Table393767[[#This Row],[Column1]])</f>
        <v/>
      </c>
    </row>
    <row r="13" ht="45" customHeight="1" s="314">
      <c r="A13" s="35" t="inlineStr">
        <is>
          <t>OBDeleven OBD2 Diagnostic Tool Scanner for Audi Seat Cupra Skoda Volkswagen BMW Mini Toyota (Android &amp; iOS, Next Gen Device) (Pro Pack)</t>
        </is>
      </c>
      <c r="B13" s="35" t="inlineStr">
        <is>
          <t>B00OTG9KGG</t>
        </is>
      </c>
      <c r="C13" s="35" t="inlineStr">
        <is>
          <t>Dongle</t>
        </is>
      </c>
      <c r="D13" s="359" t="n">
        <v>155.1797826086957</v>
      </c>
      <c r="E13" s="66" t="n">
        <v>577552.8700000001</v>
      </c>
      <c r="F13" s="67" t="n">
        <v>0</v>
      </c>
      <c r="G13" s="68" t="n">
        <v>3785</v>
      </c>
      <c r="H13" s="68" t="n">
        <v>0</v>
      </c>
      <c r="I13" s="68" t="n">
        <v>8448</v>
      </c>
      <c r="J13" s="69" t="n">
        <v>3.9</v>
      </c>
      <c r="K13" s="69" t="inlineStr">
        <is>
          <t>https://amazon.com/dp/B00OTG9KGG</t>
        </is>
      </c>
      <c r="L13" s="114">
        <f>HYPERLINK(Table393767[[#This Row],[Column1]])</f>
        <v/>
      </c>
    </row>
    <row r="14" ht="30" customHeight="1" s="314">
      <c r="A14" s="35" t="n"/>
      <c r="B14" s="35" t="n"/>
      <c r="C14" s="35" t="n"/>
      <c r="D14" s="359" t="n"/>
      <c r="E14" s="66" t="n"/>
      <c r="F14" s="67" t="n"/>
      <c r="G14" s="68" t="n"/>
      <c r="H14" s="68" t="n"/>
      <c r="I14" s="68" t="n"/>
      <c r="J14" s="69" t="n"/>
      <c r="K14" s="69" t="n"/>
      <c r="L14" s="114">
        <f>HYPERLINK(Table393767[[#This Row],[Column1]])</f>
        <v/>
      </c>
    </row>
    <row r="15" ht="17" customHeight="1" s="314">
      <c r="A15" s="41" t="inlineStr">
        <is>
          <t>Total</t>
        </is>
      </c>
      <c r="B15" s="41" t="n"/>
      <c r="C15" s="365" t="n"/>
      <c r="D15" s="365" t="n"/>
      <c r="E15" s="122">
        <f>SUM(E9:E14)</f>
        <v/>
      </c>
      <c r="F15" s="122">
        <f>SUM(F9:F14)</f>
        <v/>
      </c>
      <c r="G15" s="123" t="n"/>
      <c r="H15" s="123" t="n"/>
      <c r="I15" s="123" t="n"/>
      <c r="J15" s="128" t="n"/>
      <c r="K15" s="41" t="n"/>
      <c r="L15" s="40" t="n"/>
    </row>
    <row r="18">
      <c r="A18" s="307" t="inlineStr">
        <is>
          <t>Rank by Units</t>
        </is>
      </c>
    </row>
    <row r="19" ht="17" customHeight="1" s="314">
      <c r="A19" s="46" t="inlineStr">
        <is>
          <t>Product Name</t>
        </is>
      </c>
      <c r="B19" s="47" t="inlineStr">
        <is>
          <t>ASIN</t>
        </is>
      </c>
      <c r="C19" s="47" t="inlineStr">
        <is>
          <t>Type</t>
        </is>
      </c>
      <c r="D19" s="345" t="inlineStr">
        <is>
          <t>Avg Price</t>
        </is>
      </c>
      <c r="E19" s="49" t="inlineStr">
        <is>
          <t>Estimated 12mo Revenue</t>
        </is>
      </c>
      <c r="F19" s="47" t="inlineStr">
        <is>
          <t>Monthly Rev</t>
        </is>
      </c>
      <c r="G19" s="51" t="inlineStr">
        <is>
          <t>Estimated 12mo Units</t>
        </is>
      </c>
      <c r="H19" s="54" t="inlineStr">
        <is>
          <t>Monthly Units</t>
        </is>
      </c>
      <c r="I19" s="51" t="inlineStr">
        <is>
          <t># of Reviews</t>
        </is>
      </c>
      <c r="J19" s="52" t="inlineStr">
        <is>
          <t xml:space="preserve">Tool Rating </t>
        </is>
      </c>
      <c r="K19" s="52" t="inlineStr">
        <is>
          <t>Column1</t>
        </is>
      </c>
      <c r="L19" s="346" t="inlineStr">
        <is>
          <t>Link</t>
        </is>
      </c>
    </row>
    <row r="20" ht="30" customHeight="1" s="314">
      <c r="A20" s="35" t="inlineStr">
        <is>
          <t>OBDeleven 3 Diagnostic Tool Scanner for Audi Seat Cupra Skoda Volkswagen BMW Mini Toyota Ford Mercedes-Benz (Android &amp; iOS)</t>
        </is>
      </c>
      <c r="B20" s="35" t="inlineStr">
        <is>
          <t>B0FH794MQC</t>
        </is>
      </c>
      <c r="C20" s="35" t="inlineStr">
        <is>
          <t>Dongle</t>
        </is>
      </c>
      <c r="D20" s="359" t="n">
        <v>127.6966708542714</v>
      </c>
      <c r="E20" s="66" t="n">
        <v>795999.7284615384</v>
      </c>
      <c r="F20" s="66" t="n">
        <v>101646.55</v>
      </c>
      <c r="G20" s="68" t="n">
        <v>3360</v>
      </c>
      <c r="H20" s="70" t="n">
        <v>796</v>
      </c>
      <c r="I20" s="68" t="n">
        <v>180</v>
      </c>
      <c r="J20" s="69" t="n">
        <v>3.8</v>
      </c>
      <c r="K20" s="69" t="inlineStr">
        <is>
          <t>https://amazon.com/dp/B0FH794MQC</t>
        </is>
      </c>
      <c r="L20" s="114">
        <f>HYPERLINK(Table404668[[#This Row],[Column1]])</f>
        <v/>
      </c>
    </row>
    <row r="21" ht="30" customHeight="1" s="314">
      <c r="A21" s="35" t="inlineStr">
        <is>
          <t>OBDeleven 3 Pro Pack OBD2 Diagnostic Tool Scanner for Audi Seat Cupra Skoda Volkswagen BMW Mini Toyota Ford Mercedes-Benz (OBDeleven 3 PRO)</t>
        </is>
      </c>
      <c r="B21" s="35" t="inlineStr">
        <is>
          <t>B0FH574J2P</t>
        </is>
      </c>
      <c r="C21" s="35" t="inlineStr">
        <is>
          <t>Dongle</t>
        </is>
      </c>
      <c r="D21" s="359" t="n">
        <v>185.175</v>
      </c>
      <c r="E21" s="66" t="n">
        <v>790297.336923077</v>
      </c>
      <c r="F21" s="66" t="n">
        <v>88884</v>
      </c>
      <c r="G21" s="68" t="n">
        <v>2531</v>
      </c>
      <c r="H21" s="70" t="n">
        <v>480</v>
      </c>
      <c r="I21" s="68" t="n">
        <v>224</v>
      </c>
      <c r="J21" s="69" t="n">
        <v>3.8</v>
      </c>
      <c r="K21" s="69" t="inlineStr">
        <is>
          <t>https://amazon.com/dp/B0FH574J2P</t>
        </is>
      </c>
      <c r="L21" s="114">
        <f>HYPERLINK(Table404668[[#This Row],[Column1]])</f>
        <v/>
      </c>
    </row>
    <row r="22" ht="45" customHeight="1" s="314">
      <c r="A22" s="35" t="inlineStr">
        <is>
          <t>OBDeleven 3 Ultimate Professional Code Reader OBD2 Bluetooth Diagnostic Scan Tool Fault Reader (Android and iOS)</t>
        </is>
      </c>
      <c r="B22" s="35" t="inlineStr">
        <is>
          <t>B0FH7DP71C</t>
        </is>
      </c>
      <c r="C22" s="35" t="inlineStr">
        <is>
          <t>Dongle</t>
        </is>
      </c>
      <c r="D22" s="359" t="n">
        <v>334.73671875</v>
      </c>
      <c r="E22" s="66" t="n">
        <v>219692.6415384615</v>
      </c>
      <c r="F22" s="66" t="n">
        <v>21423.15</v>
      </c>
      <c r="G22" s="68" t="n">
        <v>422</v>
      </c>
      <c r="H22" s="70" t="n">
        <v>64</v>
      </c>
      <c r="I22" s="68" t="n">
        <v>42</v>
      </c>
      <c r="J22" s="69" t="n">
        <v>3.6</v>
      </c>
      <c r="K22" s="69" t="inlineStr">
        <is>
          <t>https://amazon.com/dp/B0FH7DP71C</t>
        </is>
      </c>
      <c r="L22" s="114">
        <f>HYPERLINK(Table404668[[#This Row],[Column1]])</f>
        <v/>
      </c>
    </row>
    <row r="23" ht="30" customHeight="1" s="314">
      <c r="A23" s="35" t="inlineStr">
        <is>
          <t>OBDeleven OBD2 Diagnostic Tool Scanner for Audi Seat Cupra Skoda Volkswagen BMW Mini Toyota (Android &amp; iOS, Next Gen Device) (Ultimate Pack)</t>
        </is>
      </c>
      <c r="B23" s="35" t="inlineStr">
        <is>
          <t>B07L75WTTT</t>
        </is>
      </c>
      <c r="C23" s="35" t="inlineStr">
        <is>
          <t>Dongle</t>
        </is>
      </c>
      <c r="D23" s="359" t="n">
        <v>262.3908333333333</v>
      </c>
      <c r="E23" s="66" t="n">
        <v>184752.11</v>
      </c>
      <c r="F23" s="66" t="n">
        <v>3148.69</v>
      </c>
      <c r="G23" s="68" t="n">
        <v>699</v>
      </c>
      <c r="H23" s="70" t="n">
        <v>12</v>
      </c>
      <c r="I23" s="68" t="n">
        <v>8502</v>
      </c>
      <c r="J23" s="69" t="n">
        <v>4</v>
      </c>
      <c r="K23" s="69" t="inlineStr">
        <is>
          <t>https://amazon.com/dp/B07L75WTTT</t>
        </is>
      </c>
      <c r="L23" s="114">
        <f>HYPERLINK(Table404668[[#This Row],[Column1]])</f>
        <v/>
      </c>
    </row>
    <row r="24" ht="45" customHeight="1" s="314">
      <c r="A24" s="35" t="inlineStr">
        <is>
          <t>OBDeleven OBD2 Diagnostic Tool Scanner for Audi Seat Cupra Skoda Volkswagen BMW Mini Toyota (Android &amp; iOS, Next Gen Device) (Pro Pack)</t>
        </is>
      </c>
      <c r="B24" s="35" t="inlineStr">
        <is>
          <t>B00OTG9KGG</t>
        </is>
      </c>
      <c r="C24" s="35" t="inlineStr">
        <is>
          <t>Dongle</t>
        </is>
      </c>
      <c r="D24" s="359" t="n">
        <v>155.1797826086957</v>
      </c>
      <c r="E24" s="66" t="n">
        <v>577552.8700000001</v>
      </c>
      <c r="F24" s="66" t="n">
        <v>0</v>
      </c>
      <c r="G24" s="68" t="n">
        <v>3785</v>
      </c>
      <c r="H24" s="70" t="n">
        <v>0</v>
      </c>
      <c r="I24" s="68" t="n">
        <v>8448</v>
      </c>
      <c r="J24" s="69" t="n">
        <v>3.9</v>
      </c>
      <c r="K24" s="69" t="inlineStr">
        <is>
          <t>https://amazon.com/dp/B00OTG9KGG</t>
        </is>
      </c>
      <c r="L24" s="114">
        <f>HYPERLINK(Table404668[[#This Row],[Column1]])</f>
        <v/>
      </c>
    </row>
    <row r="25" ht="30" customHeight="1" s="314">
      <c r="A25" s="35" t="n"/>
      <c r="B25" s="35" t="n"/>
      <c r="C25" s="35" t="n"/>
      <c r="D25" s="359" t="n"/>
      <c r="E25" s="66" t="n"/>
      <c r="F25" s="66" t="n"/>
      <c r="G25" s="68" t="n"/>
      <c r="H25" s="70" t="n"/>
      <c r="I25" s="68" t="n"/>
      <c r="J25" s="69" t="n"/>
      <c r="K25" s="69" t="n"/>
      <c r="L25" s="114">
        <f>HYPERLINK(Table404668[[#This Row],[Column1]])</f>
        <v/>
      </c>
    </row>
    <row r="26" ht="17" customHeight="1" s="314">
      <c r="A26" s="41" t="inlineStr">
        <is>
          <t>Total</t>
        </is>
      </c>
      <c r="B26" s="41" t="n"/>
      <c r="C26" s="365" t="n"/>
      <c r="D26" s="122" t="n"/>
      <c r="E26" s="122" t="n"/>
      <c r="F26" s="122" t="n"/>
      <c r="G26" s="123">
        <f>SUM(G20:G25)</f>
        <v/>
      </c>
      <c r="H26" s="123">
        <f>SUM(H20:H25)</f>
        <v/>
      </c>
      <c r="I26" s="123" t="n"/>
      <c r="J26" s="128" t="n"/>
      <c r="K26" s="41" t="n"/>
      <c r="L26" s="40" t="n"/>
    </row>
  </sheetData>
  <mergeCells count="3">
    <mergeCell ref="A1:L5"/>
    <mergeCell ref="A7:L7"/>
    <mergeCell ref="A18:L18"/>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0.xml><?xml version="1.0" encoding="utf-8"?>
<worksheet xmlns="http://schemas.openxmlformats.org/spreadsheetml/2006/main">
  <sheetPr codeName="Sheet15">
    <outlinePr summaryBelow="1" summaryRight="1"/>
    <pageSetUpPr/>
  </sheetPr>
  <dimension ref="A1:L22"/>
  <sheetViews>
    <sheetView topLeftCell="B1" workbookViewId="0">
      <selection activeCell="N12" sqref="N12"/>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7.6640625" customWidth="1" style="308" min="11" max="11"/>
    <col width="35.6640625" customWidth="1" style="308" min="12" max="12"/>
    <col width="12.6640625" customWidth="1" style="308" min="13" max="16384"/>
  </cols>
  <sheetData>
    <row r="1">
      <c r="A1" s="317" t="inlineStr">
        <is>
          <t>OBDLink Monthly Summary</t>
        </is>
      </c>
    </row>
    <row r="2"/>
    <row r="3"/>
    <row r="4"/>
    <row r="5"/>
    <row r="6">
      <c r="B6" s="60" t="n"/>
      <c r="C6" s="366" t="n"/>
      <c r="E6" s="60" t="n"/>
      <c r="F6" s="62" t="n"/>
      <c r="G6" s="62" t="n"/>
      <c r="H6" s="62" t="n"/>
      <c r="I6" s="63" t="n"/>
      <c r="J6" s="60" t="n"/>
    </row>
    <row r="7">
      <c r="A7" s="307" t="inlineStr">
        <is>
          <t xml:space="preserve">Rank by Revenue </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17" customHeight="1" s="314">
      <c r="A9" s="35" t="inlineStr">
        <is>
          <t>OBDLink MX+ OBD2 Bluetooth Scanner for iPhone, Android, and Windows</t>
        </is>
      </c>
      <c r="B9" s="35" t="inlineStr">
        <is>
          <t>B07JFRFJG6</t>
        </is>
      </c>
      <c r="C9" s="35" t="inlineStr">
        <is>
          <t>Dongle</t>
        </is>
      </c>
      <c r="D9" s="359" t="n">
        <v>139.9370678733032</v>
      </c>
      <c r="E9" s="66" t="n">
        <v>8184360.079999999</v>
      </c>
      <c r="F9" s="67" t="n">
        <v>773152.3</v>
      </c>
      <c r="G9" s="68" t="n">
        <v>58485</v>
      </c>
      <c r="H9" s="68" t="n">
        <v>5525</v>
      </c>
      <c r="I9" s="68" t="n">
        <v>15161</v>
      </c>
      <c r="J9" s="69" t="n">
        <v>4.6</v>
      </c>
      <c r="K9" s="69" t="inlineStr">
        <is>
          <t>https://amazon.com/dp/B07JFRFJG6</t>
        </is>
      </c>
      <c r="L9" s="114">
        <f>HYPERLINK(Table3969[[#This Row],[Column1]])</f>
        <v/>
      </c>
    </row>
    <row r="10" ht="17" customHeight="1" s="314">
      <c r="A10" s="35" t="inlineStr">
        <is>
          <t>OBDLink EX FORScan OBD Adapter</t>
        </is>
      </c>
      <c r="B10" s="35" t="inlineStr">
        <is>
          <t>B081VQVD3F</t>
        </is>
      </c>
      <c r="C10" s="35" t="inlineStr">
        <is>
          <t>Cable/Adapter</t>
        </is>
      </c>
      <c r="D10" s="359" t="n">
        <v>69.9357231857215</v>
      </c>
      <c r="E10" s="66" t="n">
        <v>4332347.02</v>
      </c>
      <c r="F10" s="67" t="n">
        <v>415348.26</v>
      </c>
      <c r="G10" s="68" t="n">
        <v>64051</v>
      </c>
      <c r="H10" s="68" t="n">
        <v>5939</v>
      </c>
      <c r="I10" s="68" t="n">
        <v>9945</v>
      </c>
      <c r="J10" s="69" t="n">
        <v>4.8</v>
      </c>
      <c r="K10" s="69" t="inlineStr">
        <is>
          <t>https://amazon.com/dp/B081VQVD3F</t>
        </is>
      </c>
      <c r="L10" s="114">
        <f>HYPERLINK(Table3969[[#This Row],[Column1]])</f>
        <v/>
      </c>
    </row>
    <row r="11" ht="30" customHeight="1" s="314">
      <c r="A11" s="35" t="inlineStr">
        <is>
          <t>OBDLink CX Bimmercode Bluetooth 5.1 OBD2 Adapter for BMW/Mini, Works with iPhone/iOS &amp; Android, Car Coding, OBD II Diagnostic Scanner</t>
        </is>
      </c>
      <c r="B11" s="35" t="inlineStr">
        <is>
          <t>B08NFLL3NT</t>
        </is>
      </c>
      <c r="C11" s="35" t="inlineStr">
        <is>
          <t>Dongle</t>
        </is>
      </c>
      <c r="D11" s="359" t="n">
        <v>79.93206907184705</v>
      </c>
      <c r="E11" s="66" t="n">
        <v>2543869.91</v>
      </c>
      <c r="F11" s="67" t="n">
        <v>259219.7</v>
      </c>
      <c r="G11" s="68" t="n">
        <v>31823</v>
      </c>
      <c r="H11" s="68" t="n">
        <v>3243</v>
      </c>
      <c r="I11" s="68" t="n">
        <v>4326</v>
      </c>
      <c r="J11" s="69" t="n">
        <v>4.6</v>
      </c>
      <c r="K11" s="69" t="inlineStr">
        <is>
          <t>https://amazon.com/dp/B08NFLL3NT</t>
        </is>
      </c>
      <c r="L11" s="114">
        <f>HYPERLINK(Table3969[[#This Row],[Column1]])</f>
        <v/>
      </c>
    </row>
    <row r="12" ht="30" customHeight="1" s="314">
      <c r="A12" s="35" t="inlineStr">
        <is>
          <t>OBDLink LX Bluetooth 3.0 OBD2 Adapter for Motoscan, Torque, Hybrid Assistant (Android Only), OBD II Diagnostic Scanner</t>
        </is>
      </c>
      <c r="B12" s="35" t="inlineStr">
        <is>
          <t>B00H9S71LW</t>
        </is>
      </c>
      <c r="C12" s="35" t="inlineStr">
        <is>
          <t>Dongle</t>
        </is>
      </c>
      <c r="D12" s="359" t="n">
        <v>89.97955390334573</v>
      </c>
      <c r="E12" s="66" t="n">
        <v>654587.6</v>
      </c>
      <c r="F12" s="67" t="n">
        <v>48409</v>
      </c>
      <c r="G12" s="68" t="n">
        <v>7279</v>
      </c>
      <c r="H12" s="68" t="n">
        <v>538</v>
      </c>
      <c r="I12" s="68" t="n">
        <v>7554</v>
      </c>
      <c r="J12" s="69" t="n">
        <v>4.5</v>
      </c>
      <c r="K12" s="69" t="inlineStr">
        <is>
          <t>https://amazon.com/dp/B00H9S71LW</t>
        </is>
      </c>
      <c r="L12" s="114">
        <f>HYPERLINK(Table3969[[#This Row],[Column1]])</f>
        <v/>
      </c>
    </row>
    <row r="13" ht="17" customHeight="1" s="314">
      <c r="A13" s="41" t="inlineStr">
        <is>
          <t>Total</t>
        </is>
      </c>
      <c r="B13" s="41" t="n"/>
      <c r="C13" s="365" t="n"/>
      <c r="D13" s="365" t="n"/>
      <c r="E13" s="122">
        <f>SUM(E9:E12)</f>
        <v/>
      </c>
      <c r="F13" s="122">
        <f>SUM(F9:F12)</f>
        <v/>
      </c>
      <c r="G13" s="123" t="n"/>
      <c r="H13" s="123" t="n"/>
      <c r="I13" s="123" t="n"/>
      <c r="J13" s="128" t="n"/>
      <c r="K13" s="41" t="n"/>
      <c r="L13" s="40" t="n"/>
    </row>
    <row r="16">
      <c r="A16" s="307" t="inlineStr">
        <is>
          <t>Rank by Units</t>
        </is>
      </c>
    </row>
    <row r="17" ht="17" customHeight="1" s="314">
      <c r="A17" s="46" t="inlineStr">
        <is>
          <t>Product Name</t>
        </is>
      </c>
      <c r="B17" s="47" t="inlineStr">
        <is>
          <t>ASIN</t>
        </is>
      </c>
      <c r="C17" s="47" t="inlineStr">
        <is>
          <t>Type</t>
        </is>
      </c>
      <c r="D17" s="345" t="inlineStr">
        <is>
          <t>Avg Price</t>
        </is>
      </c>
      <c r="E17" s="49" t="inlineStr">
        <is>
          <t>Estimated 12mo Revenue</t>
        </is>
      </c>
      <c r="F17" s="47" t="inlineStr">
        <is>
          <t>Monthly Rev</t>
        </is>
      </c>
      <c r="G17" s="51" t="inlineStr">
        <is>
          <t>Estimated 12mo Units</t>
        </is>
      </c>
      <c r="H17" s="54" t="inlineStr">
        <is>
          <t>Monthly Units</t>
        </is>
      </c>
      <c r="I17" s="51" t="inlineStr">
        <is>
          <t># of Reviews</t>
        </is>
      </c>
      <c r="J17" s="52" t="inlineStr">
        <is>
          <t xml:space="preserve">Tool Rating </t>
        </is>
      </c>
      <c r="K17" s="52" t="inlineStr">
        <is>
          <t>Column1</t>
        </is>
      </c>
      <c r="L17" s="346" t="inlineStr">
        <is>
          <t>Link</t>
        </is>
      </c>
    </row>
    <row r="18" ht="17" customHeight="1" s="314">
      <c r="A18" s="35" t="inlineStr">
        <is>
          <t>OBDLink EX FORScan OBD Adapter</t>
        </is>
      </c>
      <c r="B18" s="35" t="inlineStr">
        <is>
          <t>B081VQVD3F</t>
        </is>
      </c>
      <c r="C18" s="35" t="inlineStr">
        <is>
          <t>Cable/Adapter</t>
        </is>
      </c>
      <c r="D18" s="359" t="n">
        <v>69.9357231857215</v>
      </c>
      <c r="E18" s="66" t="n">
        <v>4332347.02</v>
      </c>
      <c r="F18" s="66" t="n">
        <v>415348.26</v>
      </c>
      <c r="G18" s="68" t="n">
        <v>64051</v>
      </c>
      <c r="H18" s="70" t="n">
        <v>5939</v>
      </c>
      <c r="I18" s="68" t="n">
        <v>9945</v>
      </c>
      <c r="J18" s="69" t="n">
        <v>4.8</v>
      </c>
      <c r="K18" s="69" t="inlineStr">
        <is>
          <t>https://amazon.com/dp/B081VQVD3F</t>
        </is>
      </c>
      <c r="L18" s="114">
        <f>HYPERLINK(Table4070[[#This Row],[Column1]])</f>
        <v/>
      </c>
    </row>
    <row r="19" ht="17" customHeight="1" s="314">
      <c r="A19" s="35" t="inlineStr">
        <is>
          <t>OBDLink MX+ OBD2 Bluetooth Scanner for iPhone, Android, and Windows</t>
        </is>
      </c>
      <c r="B19" s="35" t="inlineStr">
        <is>
          <t>B07JFRFJG6</t>
        </is>
      </c>
      <c r="C19" s="35" t="inlineStr">
        <is>
          <t>Dongle</t>
        </is>
      </c>
      <c r="D19" s="359" t="n">
        <v>139.9370678733032</v>
      </c>
      <c r="E19" s="66" t="n">
        <v>8184360.079999999</v>
      </c>
      <c r="F19" s="66" t="n">
        <v>773152.3</v>
      </c>
      <c r="G19" s="68" t="n">
        <v>58485</v>
      </c>
      <c r="H19" s="70" t="n">
        <v>5525</v>
      </c>
      <c r="I19" s="68" t="n">
        <v>15161</v>
      </c>
      <c r="J19" s="69" t="n">
        <v>4.6</v>
      </c>
      <c r="K19" s="69" t="inlineStr">
        <is>
          <t>https://amazon.com/dp/B07JFRFJG6</t>
        </is>
      </c>
      <c r="L19" s="114">
        <f>HYPERLINK(Table4070[[#This Row],[Column1]])</f>
        <v/>
      </c>
    </row>
    <row r="20" ht="30" customHeight="1" s="314">
      <c r="A20" s="35" t="inlineStr">
        <is>
          <t>OBDLink CX Bimmercode Bluetooth 5.1 OBD2 Adapter for BMW/Mini, Works with iPhone/iOS &amp; Android, Car Coding, OBD II Diagnostic Scanner</t>
        </is>
      </c>
      <c r="B20" s="35" t="inlineStr">
        <is>
          <t>B08NFLL3NT</t>
        </is>
      </c>
      <c r="C20" s="35" t="inlineStr">
        <is>
          <t>Dongle</t>
        </is>
      </c>
      <c r="D20" s="359" t="n">
        <v>79.93206907184705</v>
      </c>
      <c r="E20" s="66" t="n">
        <v>2543869.91</v>
      </c>
      <c r="F20" s="66" t="n">
        <v>259219.7</v>
      </c>
      <c r="G20" s="68" t="n">
        <v>31823</v>
      </c>
      <c r="H20" s="70" t="n">
        <v>3243</v>
      </c>
      <c r="I20" s="68" t="n">
        <v>4326</v>
      </c>
      <c r="J20" s="69" t="n">
        <v>4.6</v>
      </c>
      <c r="K20" s="69" t="inlineStr">
        <is>
          <t>https://amazon.com/dp/B08NFLL3NT</t>
        </is>
      </c>
      <c r="L20" s="114">
        <f>HYPERLINK(Table4070[[#This Row],[Column1]])</f>
        <v/>
      </c>
    </row>
    <row r="21" ht="30" customHeight="1" s="314">
      <c r="A21" s="35" t="inlineStr">
        <is>
          <t>OBDLink LX Bluetooth 3.0 OBD2 Adapter for Motoscan, Torque, Hybrid Assistant (Android Only), OBD II Diagnostic Scanner</t>
        </is>
      </c>
      <c r="B21" s="35" t="inlineStr">
        <is>
          <t>B00H9S71LW</t>
        </is>
      </c>
      <c r="C21" s="35" t="inlineStr">
        <is>
          <t>Dongle</t>
        </is>
      </c>
      <c r="D21" s="359" t="n">
        <v>89.97955390334573</v>
      </c>
      <c r="E21" s="66" t="n">
        <v>654587.6</v>
      </c>
      <c r="F21" s="66" t="n">
        <v>48409</v>
      </c>
      <c r="G21" s="68" t="n">
        <v>7279</v>
      </c>
      <c r="H21" s="70" t="n">
        <v>538</v>
      </c>
      <c r="I21" s="68" t="n">
        <v>7554</v>
      </c>
      <c r="J21" s="69" t="n">
        <v>4.5</v>
      </c>
      <c r="K21" s="69" t="inlineStr">
        <is>
          <t>https://amazon.com/dp/B00H9S71LW</t>
        </is>
      </c>
      <c r="L21" s="114">
        <f>HYPERLINK(Table4070[[#This Row],[Column1]])</f>
        <v/>
      </c>
    </row>
    <row r="22" ht="17" customHeight="1" s="314">
      <c r="A22" s="41" t="inlineStr">
        <is>
          <t>Total</t>
        </is>
      </c>
      <c r="B22" s="41" t="n"/>
      <c r="C22" s="365" t="n"/>
      <c r="D22" s="122" t="n"/>
      <c r="E22" s="122" t="n"/>
      <c r="F22" s="122" t="n"/>
      <c r="G22" s="123">
        <f>SUM(G18:G21)</f>
        <v/>
      </c>
      <c r="H22" s="123">
        <f>SUM(H18:H21)</f>
        <v/>
      </c>
      <c r="I22" s="123" t="n"/>
      <c r="J22" s="128" t="n"/>
      <c r="K22" s="41" t="n"/>
      <c r="L22" s="40" t="n"/>
    </row>
  </sheetData>
  <mergeCells count="3">
    <mergeCell ref="A1:L5"/>
    <mergeCell ref="A16:L1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codeName="Sheet14">
    <outlinePr summaryBelow="1" summaryRight="1"/>
    <pageSetUpPr/>
  </sheetPr>
  <dimension ref="A1:L66"/>
  <sheetViews>
    <sheetView topLeftCell="A2" zoomScaleNormal="100" workbookViewId="0">
      <selection activeCell="N13" sqref="N13"/>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9.6640625" customWidth="1" style="308" min="11" max="11"/>
    <col width="35.6640625" customWidth="1" style="308" min="12" max="12"/>
    <col width="12.6640625" customWidth="1" style="308" min="13" max="16384"/>
  </cols>
  <sheetData>
    <row r="1">
      <c r="A1" s="317" t="inlineStr">
        <is>
          <t>OPUS | IVS Monthly Summary</t>
        </is>
      </c>
    </row>
    <row r="2"/>
    <row r="3"/>
    <row r="4"/>
    <row r="5"/>
    <row r="6">
      <c r="A6" s="34" t="n"/>
      <c r="B6" s="34" t="n"/>
      <c r="C6" s="358" t="n"/>
      <c r="D6" s="56" t="n"/>
      <c r="E6" s="56" t="n"/>
      <c r="F6" s="57" t="n"/>
      <c r="G6" s="57" t="n"/>
      <c r="H6" s="57" t="n"/>
      <c r="I6" s="58" t="n"/>
      <c r="J6" s="59"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Opus IVS Mongoose-Plus J2534 OEM Vehicle Interface Cable - Toyota/Lexus/Scion OEM Reprogramming and Diagnostics</t>
        </is>
      </c>
      <c r="B9" s="35" t="inlineStr">
        <is>
          <t>B097NFNZBG</t>
        </is>
      </c>
      <c r="C9" s="35" t="inlineStr">
        <is>
          <t>Cable/Adapter</t>
        </is>
      </c>
      <c r="D9" s="359" t="n">
        <v>575.2684816753926</v>
      </c>
      <c r="E9" s="66" t="n">
        <v>1216009.94</v>
      </c>
      <c r="F9" s="67" t="n">
        <v>109876.28</v>
      </c>
      <c r="G9" s="68" t="n">
        <v>2117</v>
      </c>
      <c r="H9" s="68" t="n">
        <v>191</v>
      </c>
      <c r="I9" s="68" t="n">
        <v>335</v>
      </c>
      <c r="J9" s="69" t="n">
        <v>4.4</v>
      </c>
      <c r="K9" s="69" t="inlineStr">
        <is>
          <t>https://amazon.com/dp/B097NFNZBG</t>
        </is>
      </c>
      <c r="L9" s="114">
        <f>HYPERLINK(Table4171[[#This Row],[Column1]])</f>
        <v/>
      </c>
    </row>
    <row r="10" ht="17" customHeight="1" s="314">
      <c r="A10" s="35" t="inlineStr">
        <is>
          <t>Opus IVS CarDAQ-Plus 3 All Makes J2534 Reprogramming Tool</t>
        </is>
      </c>
      <c r="B10" s="35" t="inlineStr">
        <is>
          <t>B09SP8F2X6</t>
        </is>
      </c>
      <c r="C10" s="35" t="inlineStr">
        <is>
          <t>Other</t>
        </is>
      </c>
      <c r="D10" s="359" t="n">
        <v>1900.98</v>
      </c>
      <c r="E10" s="66" t="n">
        <v>857580.9700000001</v>
      </c>
      <c r="F10" s="67" t="n">
        <v>74138.22</v>
      </c>
      <c r="G10" s="68" t="n">
        <v>450</v>
      </c>
      <c r="H10" s="68" t="n">
        <v>39</v>
      </c>
      <c r="I10" s="68" t="n">
        <v>84</v>
      </c>
      <c r="J10" s="69" t="n">
        <v>4.4</v>
      </c>
      <c r="K10" s="69" t="inlineStr">
        <is>
          <t>https://amazon.com/dp/B09SP8F2X6</t>
        </is>
      </c>
      <c r="L10" s="114">
        <f>HYPERLINK(Table4171[[#This Row],[Column1]])</f>
        <v/>
      </c>
    </row>
    <row r="11" ht="30" customHeight="1" s="314">
      <c r="A11" s="35" t="inlineStr">
        <is>
          <t>Opus IVS CarDAQ-Plus 3 All Makes J2534 Reprogramming Tool - Bluetooth</t>
        </is>
      </c>
      <c r="B11" s="35" t="inlineStr">
        <is>
          <t>B09SNVC9JR</t>
        </is>
      </c>
      <c r="C11" s="35" t="inlineStr">
        <is>
          <t>Other</t>
        </is>
      </c>
      <c r="D11" s="359" t="n">
        <v>2287.939333333333</v>
      </c>
      <c r="E11" s="66" t="n">
        <v>427463.5999999999</v>
      </c>
      <c r="F11" s="67" t="n">
        <v>34319.09</v>
      </c>
      <c r="G11" s="68" t="n">
        <v>192</v>
      </c>
      <c r="H11" s="68" t="n">
        <v>15</v>
      </c>
      <c r="I11" s="68" t="n">
        <v>84</v>
      </c>
      <c r="J11" s="69" t="n">
        <v>4.4</v>
      </c>
      <c r="K11" s="69" t="inlineStr">
        <is>
          <t>https://amazon.com/dp/B09SNVC9JR</t>
        </is>
      </c>
      <c r="L11" s="114">
        <f>HYPERLINK(Table4171[[#This Row],[Column1]])</f>
        <v/>
      </c>
    </row>
    <row r="12" ht="30" customHeight="1" s="314">
      <c r="A12" s="35" t="inlineStr">
        <is>
          <t>Opus IVS Mongoose-Plus J2534 OEM Vehicle Interface Cable - Nissan/Infiniti OEM Reprogramming and Diagnostics</t>
        </is>
      </c>
      <c r="B12" s="35" t="inlineStr">
        <is>
          <t>B097NFTXMD</t>
        </is>
      </c>
      <c r="C12" s="35" t="inlineStr">
        <is>
          <t>Cable/Adapter</t>
        </is>
      </c>
      <c r="D12" s="359" t="n">
        <v>579.0662962962963</v>
      </c>
      <c r="E12" s="66" t="n">
        <v>99913.98</v>
      </c>
      <c r="F12" s="67" t="n">
        <v>31269.58</v>
      </c>
      <c r="G12" s="68" t="n">
        <v>173</v>
      </c>
      <c r="H12" s="68" t="n">
        <v>54</v>
      </c>
      <c r="I12" s="68" t="n">
        <v>335</v>
      </c>
      <c r="J12" s="69" t="n">
        <v>4.4</v>
      </c>
      <c r="K12" s="69" t="inlineStr">
        <is>
          <t>https://amazon.com/dp/B097NFTXMD</t>
        </is>
      </c>
      <c r="L12" s="114">
        <f>HYPERLINK(Table4171[[#This Row],[Column1]])</f>
        <v/>
      </c>
    </row>
    <row r="13" ht="30" customHeight="1" s="314">
      <c r="A13" s="35" t="inlineStr">
        <is>
          <t>Opus IVS CarDAQ-Pro All Makes J2534 Reprogramming Tool and Remote Assisted Programming Plus IVS360</t>
        </is>
      </c>
      <c r="B13" s="35" t="inlineStr">
        <is>
          <t>B0BJQMTY48</t>
        </is>
      </c>
      <c r="C13" s="35" t="inlineStr">
        <is>
          <t>Other</t>
        </is>
      </c>
      <c r="D13" s="359" t="n">
        <v>2478.37</v>
      </c>
      <c r="E13" s="66" t="n">
        <v>248660.66</v>
      </c>
      <c r="F13" s="67" t="n">
        <v>29740.44</v>
      </c>
      <c r="G13" s="68" t="n">
        <v>97</v>
      </c>
      <c r="H13" s="68" t="n">
        <v>12</v>
      </c>
      <c r="I13" s="68" t="n">
        <v>84</v>
      </c>
      <c r="J13" s="69" t="n">
        <v>4.4</v>
      </c>
      <c r="K13" s="69" t="inlineStr">
        <is>
          <t>https://amazon.com/dp/B0BJQMTY48</t>
        </is>
      </c>
      <c r="L13" s="114">
        <f>HYPERLINK(Table4171[[#This Row],[Column1]])</f>
        <v/>
      </c>
    </row>
    <row r="14" ht="30" customHeight="1" s="314">
      <c r="A14" s="35" t="inlineStr">
        <is>
          <t>Mongoose-Plus J2534 OEM Vehicle Interface Cable - VW/Audi OEM Reprogramming and Diagnostics</t>
        </is>
      </c>
      <c r="B14" s="35" t="inlineStr">
        <is>
          <t>B097NGHP7S</t>
        </is>
      </c>
      <c r="C14" s="35" t="inlineStr">
        <is>
          <t>Cable/Adapter</t>
        </is>
      </c>
      <c r="D14" s="359" t="n">
        <v>572.7123255813954</v>
      </c>
      <c r="E14" s="66" t="n">
        <v>89781.14000000001</v>
      </c>
      <c r="F14" s="67" t="n">
        <v>24626.63</v>
      </c>
      <c r="G14" s="68" t="n">
        <v>157</v>
      </c>
      <c r="H14" s="68" t="n">
        <v>43</v>
      </c>
      <c r="I14" s="68" t="n">
        <v>335</v>
      </c>
      <c r="J14" s="69" t="n">
        <v>4.4</v>
      </c>
      <c r="K14" s="69" t="inlineStr">
        <is>
          <t>https://amazon.com/dp/B097NGHP7S</t>
        </is>
      </c>
      <c r="L14" s="114">
        <f>HYPERLINK(Table4171[[#This Row],[Column1]])</f>
        <v/>
      </c>
    </row>
    <row r="15" ht="30" customHeight="1" s="314">
      <c r="A15" s="35" t="inlineStr">
        <is>
          <t>Opus IVS Mongoose-Plus J2534 OEM Vehicle Interface Cable - Honda/Acura OEM Reprogramming and Diagnostics</t>
        </is>
      </c>
      <c r="B15" s="35" t="inlineStr">
        <is>
          <t>B097NH743T</t>
        </is>
      </c>
      <c r="C15" s="35" t="inlineStr">
        <is>
          <t>Cable/Adapter</t>
        </is>
      </c>
      <c r="D15" s="359" t="n">
        <v>568.9572093023256</v>
      </c>
      <c r="E15" s="66" t="n">
        <v>93055.99000000001</v>
      </c>
      <c r="F15" s="67" t="n">
        <v>24465.16</v>
      </c>
      <c r="G15" s="68" t="n">
        <v>163</v>
      </c>
      <c r="H15" s="68" t="n">
        <v>43</v>
      </c>
      <c r="I15" s="68" t="n">
        <v>335</v>
      </c>
      <c r="J15" s="69" t="n">
        <v>4.4</v>
      </c>
      <c r="K15" s="69" t="inlineStr">
        <is>
          <t>https://amazon.com/dp/B097NH743T</t>
        </is>
      </c>
      <c r="L15" s="114">
        <f>HYPERLINK(Table4171[[#This Row],[Column1]])</f>
        <v/>
      </c>
    </row>
    <row r="16" ht="30" customHeight="1" s="314">
      <c r="A16" s="35" t="inlineStr">
        <is>
          <t>Opus IVS Mongoose-Plus J2534 OEM Vehicle Interface Cable - Designed for Chrysler/Dodge/Jeep OEM Reprogramming and Diagnostics</t>
        </is>
      </c>
      <c r="B16" s="35" t="inlineStr">
        <is>
          <t>B0BJW311DC</t>
        </is>
      </c>
      <c r="C16" s="35" t="inlineStr">
        <is>
          <t>Cable/Adapter</t>
        </is>
      </c>
      <c r="D16" s="359" t="n">
        <v>573.5211904761904</v>
      </c>
      <c r="E16" s="66" t="n">
        <v>92120.20999999999</v>
      </c>
      <c r="F16" s="67" t="n">
        <v>24087.89</v>
      </c>
      <c r="G16" s="68" t="n">
        <v>160</v>
      </c>
      <c r="H16" s="68" t="n">
        <v>42</v>
      </c>
      <c r="I16" s="68" t="n">
        <v>335</v>
      </c>
      <c r="J16" s="69" t="n">
        <v>4.4</v>
      </c>
      <c r="K16" s="69" t="inlineStr">
        <is>
          <t>https://amazon.com/dp/B0BJW311DC</t>
        </is>
      </c>
      <c r="L16" s="114">
        <f>HYPERLINK(Table4171[[#This Row],[Column1]])</f>
        <v/>
      </c>
    </row>
    <row r="17" ht="30" customHeight="1" s="314">
      <c r="A17" s="35" t="inlineStr">
        <is>
          <t>Opus IVS Mongoose-Plus J2534 OEM Vehicle Interface Cable - OEM Reprogramming and Diagnostics for Subaru</t>
        </is>
      </c>
      <c r="B17" s="35" t="inlineStr">
        <is>
          <t>B0CP73XSS8</t>
        </is>
      </c>
      <c r="C17" s="35" t="inlineStr">
        <is>
          <t>Cable/Adapter</t>
        </is>
      </c>
      <c r="D17" s="359" t="n">
        <v>580.04425</v>
      </c>
      <c r="E17" s="66" t="n">
        <v>119246.8369230769</v>
      </c>
      <c r="F17" s="67" t="n">
        <v>23201.77</v>
      </c>
      <c r="G17" s="68" t="n">
        <v>130</v>
      </c>
      <c r="H17" s="68" t="n">
        <v>40</v>
      </c>
      <c r="I17" s="68" t="n">
        <v>335</v>
      </c>
      <c r="J17" s="69" t="n">
        <v>4.4</v>
      </c>
      <c r="K17" s="69" t="inlineStr">
        <is>
          <t>https://amazon.com/dp/B0CP73XSS8</t>
        </is>
      </c>
      <c r="L17" s="114">
        <f>HYPERLINK(Table4171[[#This Row],[Column1]])</f>
        <v/>
      </c>
    </row>
    <row r="18" ht="30" customHeight="1" s="314">
      <c r="A18" s="35" t="inlineStr">
        <is>
          <t>Opus IVS Mongoose-Plus Toyota/Lexus/Scion J2534 OEM Vehicle Interface Bluetooth Wireless - OEM Reprogramming and Diagnostics</t>
        </is>
      </c>
      <c r="B18" s="35" t="inlineStr">
        <is>
          <t>B097NGSRDK</t>
        </is>
      </c>
      <c r="C18" s="35" t="inlineStr">
        <is>
          <t>Dongle</t>
        </is>
      </c>
      <c r="D18" s="359" t="n">
        <v>697.2820689655173</v>
      </c>
      <c r="E18" s="66" t="n">
        <v>46268.57999999999</v>
      </c>
      <c r="F18" s="67" t="n">
        <v>20221.18</v>
      </c>
      <c r="G18" s="68" t="n">
        <v>66</v>
      </c>
      <c r="H18" s="68" t="n">
        <v>29</v>
      </c>
      <c r="I18" s="68" t="n">
        <v>335</v>
      </c>
      <c r="J18" s="69" t="n">
        <v>4.4</v>
      </c>
      <c r="K18" s="69" t="inlineStr">
        <is>
          <t>https://amazon.com/dp/B097NGSRDK</t>
        </is>
      </c>
      <c r="L18" s="114">
        <f>HYPERLINK(Table4171[[#This Row],[Column1]])</f>
        <v/>
      </c>
    </row>
    <row r="19" ht="30" customHeight="1" s="314">
      <c r="A19" s="35" t="inlineStr">
        <is>
          <t>Opus IVS Mongoose-Plus J2534 OEM Vehicle Interface Cable - GM OEM Reprogramming and Diagnostics</t>
        </is>
      </c>
      <c r="B19" s="35" t="inlineStr">
        <is>
          <t>B09D574Q3M</t>
        </is>
      </c>
      <c r="C19" s="35" t="inlineStr">
        <is>
          <t>Cable/Adapter</t>
        </is>
      </c>
      <c r="D19" s="359" t="n">
        <v>559.6605882352941</v>
      </c>
      <c r="E19" s="66" t="n">
        <v>96229.37999999999</v>
      </c>
      <c r="F19" s="67" t="n">
        <v>9514.23</v>
      </c>
      <c r="G19" s="68" t="n">
        <v>167</v>
      </c>
      <c r="H19" s="68" t="n">
        <v>17</v>
      </c>
      <c r="I19" s="68" t="n">
        <v>335</v>
      </c>
      <c r="J19" s="69" t="n">
        <v>4.4</v>
      </c>
      <c r="K19" s="69" t="inlineStr">
        <is>
          <t>https://amazon.com/dp/B09D574Q3M</t>
        </is>
      </c>
      <c r="L19" s="114">
        <f>HYPERLINK(Table4171[[#This Row],[Column1]])</f>
        <v/>
      </c>
    </row>
    <row r="20" ht="45" customHeight="1" s="314">
      <c r="A20" s="35" t="inlineStr">
        <is>
          <t>Opus IVS Mongoose-Plus J2534 OEM Vehicle Interface Cable - Ford/Lincoln/Mercury OEM Reprogramming and Diagnostics.</t>
        </is>
      </c>
      <c r="B20" s="35" t="inlineStr">
        <is>
          <t>B097NHQ7ZW</t>
        </is>
      </c>
      <c r="C20" s="35" t="inlineStr">
        <is>
          <t>Cable/Adapter</t>
        </is>
      </c>
      <c r="D20" s="359" t="n">
        <v>581.7871428571428</v>
      </c>
      <c r="E20" s="66" t="n">
        <v>352210.37</v>
      </c>
      <c r="F20" s="67" t="n">
        <v>4072.51</v>
      </c>
      <c r="G20" s="68" t="n">
        <v>606</v>
      </c>
      <c r="H20" s="68" t="n">
        <v>7</v>
      </c>
      <c r="I20" s="68" t="n">
        <v>335</v>
      </c>
      <c r="J20" s="69" t="n">
        <v>4.4</v>
      </c>
      <c r="K20" s="69" t="inlineStr">
        <is>
          <t>https://amazon.com/dp/B097NHQ7ZW</t>
        </is>
      </c>
      <c r="L20" s="114">
        <f>HYPERLINK(Table4171[[#This Row],[Column1]])</f>
        <v/>
      </c>
    </row>
    <row r="21" ht="30" customHeight="1" s="314">
      <c r="A21" s="35" t="inlineStr">
        <is>
          <t>Opus IVS Mongoose-Plus J2534 OEM Bluetooth Wireless Vehicle Interface Cable - Ford/Lincoln/Mercury OEM Reprogramming and Diagnostics</t>
        </is>
      </c>
      <c r="B21" s="35" t="inlineStr">
        <is>
          <t>B097NGVRQ7</t>
        </is>
      </c>
      <c r="C21" s="35" t="inlineStr">
        <is>
          <t>Dongle</t>
        </is>
      </c>
      <c r="D21" s="359" t="n">
        <v>670.22</v>
      </c>
      <c r="E21" s="66" t="n">
        <v>31738.2</v>
      </c>
      <c r="F21" s="67" t="n">
        <v>4021.32</v>
      </c>
      <c r="G21" s="68" t="n">
        <v>48</v>
      </c>
      <c r="H21" s="68" t="n">
        <v>6</v>
      </c>
      <c r="I21" s="68" t="n">
        <v>335</v>
      </c>
      <c r="J21" s="69" t="n">
        <v>4.4</v>
      </c>
      <c r="K21" s="69" t="inlineStr">
        <is>
          <t>https://amazon.com/dp/B097NGVRQ7</t>
        </is>
      </c>
      <c r="L21" s="114">
        <f>HYPERLINK(Table4171[[#This Row],[Column1]])</f>
        <v/>
      </c>
    </row>
    <row r="22" ht="30" customHeight="1" s="314">
      <c r="A22" s="35" t="inlineStr">
        <is>
          <t>Opus IVS Mongoose-Plus J2534 OEM Bluetooth Vehicle Interface Cable - Designed for Chrysler/Dodge/Jeep OEM Reprogramming and Diagnostics</t>
        </is>
      </c>
      <c r="B22" s="35" t="inlineStr">
        <is>
          <t>B0BJVYSX4Z</t>
        </is>
      </c>
      <c r="C22" s="35" t="inlineStr">
        <is>
          <t>Dongle</t>
        </is>
      </c>
      <c r="D22" s="359" t="n">
        <v>647.91</v>
      </c>
      <c r="E22" s="66" t="n">
        <v>29183</v>
      </c>
      <c r="F22" s="67" t="n">
        <v>3887.46</v>
      </c>
      <c r="G22" s="68" t="n">
        <v>42</v>
      </c>
      <c r="H22" s="68" t="n">
        <v>6</v>
      </c>
      <c r="I22" s="68" t="n">
        <v>335</v>
      </c>
      <c r="J22" s="69" t="n">
        <v>4.4</v>
      </c>
      <c r="K22" s="69" t="inlineStr">
        <is>
          <t>https://amazon.com/dp/B0BJVYSX4Z</t>
        </is>
      </c>
      <c r="L22" s="114">
        <f>HYPERLINK(Table4171[[#This Row],[Column1]])</f>
        <v/>
      </c>
    </row>
    <row r="23" ht="30" customHeight="1" s="314">
      <c r="A23" s="35" t="inlineStr">
        <is>
          <t>Opus IVS Mongoose-Plus J2534 OEM Bluetooth Wireless Vehicle Interface Cable - Nissan/Infiniti OEM Reprogramming and Diagnostics</t>
        </is>
      </c>
      <c r="B23" s="35" t="inlineStr">
        <is>
          <t>B097NJ79HD</t>
        </is>
      </c>
      <c r="C23" s="35" t="inlineStr">
        <is>
          <t>Dongle</t>
        </is>
      </c>
      <c r="D23" s="359" t="n">
        <v>761.154</v>
      </c>
      <c r="E23" s="66" t="n">
        <v>29094.52</v>
      </c>
      <c r="F23" s="67" t="n">
        <v>3805.77</v>
      </c>
      <c r="G23" s="68" t="n">
        <v>41</v>
      </c>
      <c r="H23" s="68" t="n">
        <v>5</v>
      </c>
      <c r="I23" s="68" t="n">
        <v>335</v>
      </c>
      <c r="J23" s="69" t="n">
        <v>4.4</v>
      </c>
      <c r="K23" s="69" t="inlineStr">
        <is>
          <t>https://amazon.com/dp/B097NJ79HD</t>
        </is>
      </c>
      <c r="L23" s="114">
        <f>HYPERLINK(Table4171[[#This Row],[Column1]])</f>
        <v/>
      </c>
    </row>
    <row r="24" ht="30" customHeight="1" s="314">
      <c r="A24" s="35" t="inlineStr">
        <is>
          <t>Opus IVS Mongoose-Plus J2534 OEM Bluetooth Wireless Vehicle Interface Cable - GM OEM Reprogramming and Diagnostics</t>
        </is>
      </c>
      <c r="B24" s="35" t="inlineStr">
        <is>
          <t>B09D4Z9M8Y</t>
        </is>
      </c>
      <c r="C24" s="35" t="inlineStr">
        <is>
          <t>Dongle</t>
        </is>
      </c>
      <c r="D24" s="359" t="n">
        <v>742.7380000000001</v>
      </c>
      <c r="E24" s="66" t="n">
        <v>30332.29</v>
      </c>
      <c r="F24" s="67" t="n">
        <v>3713.69</v>
      </c>
      <c r="G24" s="68" t="n">
        <v>42</v>
      </c>
      <c r="H24" s="68" t="n">
        <v>5</v>
      </c>
      <c r="I24" s="68" t="n">
        <v>335</v>
      </c>
      <c r="J24" s="69" t="n">
        <v>4.4</v>
      </c>
      <c r="K24" s="69" t="inlineStr">
        <is>
          <t>https://amazon.com/dp/B09D4Z9M8Y</t>
        </is>
      </c>
      <c r="L24" s="114">
        <f>HYPERLINK(Table4171[[#This Row],[Column1]])</f>
        <v/>
      </c>
    </row>
    <row r="25" ht="30" customHeight="1" s="314">
      <c r="A25" s="35" t="inlineStr">
        <is>
          <t>Opus IVS Mongoose-Plus J2534 OEM Vehicle Bluetooth Wireless Interface Cable - Honda/Acura OEM Reprogramming and Diagnostics</t>
        </is>
      </c>
      <c r="B25" s="35" t="inlineStr">
        <is>
          <t>B097NGBKNN</t>
        </is>
      </c>
      <c r="C25" s="35" t="inlineStr">
        <is>
          <t>Dongle</t>
        </is>
      </c>
      <c r="D25" s="359" t="n">
        <v>704.162</v>
      </c>
      <c r="E25" s="66" t="n">
        <v>30453.84846153847</v>
      </c>
      <c r="F25" s="67" t="n">
        <v>3520.81</v>
      </c>
      <c r="G25" s="68" t="n">
        <v>39</v>
      </c>
      <c r="H25" s="68" t="n">
        <v>5</v>
      </c>
      <c r="I25" s="68" t="n">
        <v>335</v>
      </c>
      <c r="J25" s="69" t="n">
        <v>4.4</v>
      </c>
      <c r="K25" s="69" t="inlineStr">
        <is>
          <t>https://amazon.com/dp/B097NGBKNN</t>
        </is>
      </c>
      <c r="L25" s="114">
        <f>HYPERLINK(Table4171[[#This Row],[Column1]])</f>
        <v/>
      </c>
    </row>
    <row r="26" ht="30" customHeight="1" s="314">
      <c r="A26" s="35" t="inlineStr">
        <is>
          <t>Opus IVS Mongoose-Plus J2534 OEM Bluetooth Wireless Vehicle Interface Cable - VW/Audi OEM Reprogramming and Diagnostics</t>
        </is>
      </c>
      <c r="B26" s="35" t="inlineStr">
        <is>
          <t>B097NJ646V</t>
        </is>
      </c>
      <c r="C26" s="35" t="inlineStr">
        <is>
          <t>Dongle</t>
        </is>
      </c>
      <c r="D26" s="359" t="n">
        <v>699.64</v>
      </c>
      <c r="E26" s="66" t="n">
        <v>29154.27</v>
      </c>
      <c r="F26" s="67" t="n">
        <v>3498.2</v>
      </c>
      <c r="G26" s="68" t="n">
        <v>41</v>
      </c>
      <c r="H26" s="68" t="n">
        <v>5</v>
      </c>
      <c r="I26" s="68" t="n">
        <v>335</v>
      </c>
      <c r="J26" s="69" t="n">
        <v>4.4</v>
      </c>
      <c r="K26" s="69" t="inlineStr">
        <is>
          <t>https://amazon.com/dp/B097NJ646V</t>
        </is>
      </c>
      <c r="L26" s="114">
        <f>HYPERLINK(Table4171[[#This Row],[Column1]])</f>
        <v/>
      </c>
    </row>
    <row r="27" ht="30" customHeight="1" s="314">
      <c r="A27" s="35" t="inlineStr">
        <is>
          <t>Opus IVS CarDAQ-Plus 3 OBD2 Vehicle Cable - Also for DrivePro/DriveSafe Products</t>
        </is>
      </c>
      <c r="B27" s="35" t="inlineStr">
        <is>
          <t>B09SP5Z369</t>
        </is>
      </c>
      <c r="C27" s="35" t="inlineStr">
        <is>
          <t>Cable/Adapter</t>
        </is>
      </c>
      <c r="D27" s="359" t="n">
        <v>80.11342857142857</v>
      </c>
      <c r="E27" s="66" t="n">
        <v>20448.08</v>
      </c>
      <c r="F27" s="67" t="n">
        <v>2803.97</v>
      </c>
      <c r="G27" s="68" t="n">
        <v>255</v>
      </c>
      <c r="H27" s="68" t="n">
        <v>35</v>
      </c>
      <c r="I27" s="68" t="n">
        <v>15</v>
      </c>
      <c r="J27" s="69" t="n">
        <v>4.4</v>
      </c>
      <c r="K27" s="69" t="inlineStr">
        <is>
          <t>https://amazon.com/dp/B09SP5Z369</t>
        </is>
      </c>
      <c r="L27" s="114">
        <f>HYPERLINK(Table4171[[#This Row],[Column1]])</f>
        <v/>
      </c>
    </row>
    <row r="28" ht="30" customHeight="1" s="314">
      <c r="A28" s="35" t="inlineStr">
        <is>
          <t>Opus IVS SuperGoose-Plus J2534 OEM Vehicle Interface Cable - OEM Reprogramming and Diagnostics for Multiple OEM Makes</t>
        </is>
      </c>
      <c r="B28" s="35" t="inlineStr">
        <is>
          <t>B0CP78488B</t>
        </is>
      </c>
      <c r="C28" s="35" t="inlineStr">
        <is>
          <t>Cable/Adapter</t>
        </is>
      </c>
      <c r="D28" s="359" t="n">
        <v>840.0733333333333</v>
      </c>
      <c r="E28" s="66" t="n">
        <v>18766.56</v>
      </c>
      <c r="F28" s="67" t="n">
        <v>2520.22</v>
      </c>
      <c r="G28" s="68" t="n">
        <v>19</v>
      </c>
      <c r="H28" s="68" t="n">
        <v>3</v>
      </c>
      <c r="I28" s="68" t="n">
        <v>335</v>
      </c>
      <c r="J28" s="69" t="n">
        <v>4.4</v>
      </c>
      <c r="K28" s="69" t="inlineStr">
        <is>
          <t>https://amazon.com/dp/B0CP78488B</t>
        </is>
      </c>
      <c r="L28" s="114">
        <f>HYPERLINK(Table4171[[#This Row],[Column1]])</f>
        <v/>
      </c>
    </row>
    <row r="29" ht="17" customHeight="1" s="314">
      <c r="A29" s="35" t="inlineStr">
        <is>
          <t>Opus IVS Giotto Bidirectional Scan Tool with J2534 for Ford</t>
        </is>
      </c>
      <c r="B29" s="35" t="inlineStr">
        <is>
          <t>B0DBJ1YMM3</t>
        </is>
      </c>
      <c r="C29" s="35" t="inlineStr">
        <is>
          <t>Cable/Adapter</t>
        </is>
      </c>
      <c r="D29" s="359" t="n">
        <v>576.25</v>
      </c>
      <c r="E29" s="66" t="n">
        <v>6134.21</v>
      </c>
      <c r="F29" s="67" t="n">
        <v>1152.5</v>
      </c>
      <c r="G29" s="68" t="n">
        <v>11</v>
      </c>
      <c r="H29" s="68" t="n">
        <v>2</v>
      </c>
      <c r="I29" s="68" t="n">
        <v>4</v>
      </c>
      <c r="J29" s="69" t="n">
        <v>3.6</v>
      </c>
      <c r="K29" s="69" t="inlineStr">
        <is>
          <t>https://amazon.com/dp/B0DBJ1YMM3</t>
        </is>
      </c>
      <c r="L29" s="114">
        <f>HYPERLINK(Table4171[[#This Row],[Column1]])</f>
        <v/>
      </c>
    </row>
    <row r="30" ht="17" customHeight="1" s="314">
      <c r="A30" s="35" t="inlineStr">
        <is>
          <t>Opus IVS Giotto Bidirectional Scan Tool with J2534 for GM</t>
        </is>
      </c>
      <c r="B30" s="35" t="inlineStr">
        <is>
          <t>B0DBJ2QPK1</t>
        </is>
      </c>
      <c r="C30" s="35" t="inlineStr">
        <is>
          <t>Cable/Adapter</t>
        </is>
      </c>
      <c r="D30" s="359" t="n">
        <v>575.74</v>
      </c>
      <c r="E30" s="66" t="n">
        <v>5541.374615384616</v>
      </c>
      <c r="F30" s="67" t="n">
        <v>1151.48</v>
      </c>
      <c r="G30" s="68" t="n">
        <v>8</v>
      </c>
      <c r="H30" s="68" t="n">
        <v>2</v>
      </c>
      <c r="I30" s="68" t="n">
        <v>4</v>
      </c>
      <c r="J30" s="69" t="n">
        <v>3.6</v>
      </c>
      <c r="K30" s="69" t="inlineStr">
        <is>
          <t>https://amazon.com/dp/B0DBJ2QPK1</t>
        </is>
      </c>
      <c r="L30" s="114">
        <f>HYPERLINK(Table4171[[#This Row],[Column1]])</f>
        <v/>
      </c>
    </row>
    <row r="31" ht="17" customHeight="1" s="314">
      <c r="A31" s="35" t="inlineStr">
        <is>
          <t>IMclean-OBD2 Cable 15'</t>
        </is>
      </c>
      <c r="B31" s="35" t="inlineStr">
        <is>
          <t>B09Y6BHFF7</t>
        </is>
      </c>
      <c r="C31" s="35" t="inlineStr">
        <is>
          <t>Cable/Adapter</t>
        </is>
      </c>
      <c r="D31" s="359" t="n">
        <v>132.67</v>
      </c>
      <c r="E31" s="66" t="n">
        <v>832.1992307692308</v>
      </c>
      <c r="F31" s="67" t="n">
        <v>132.67</v>
      </c>
      <c r="G31" s="68" t="n">
        <v>5</v>
      </c>
      <c r="H31" s="68" t="n">
        <v>1</v>
      </c>
      <c r="I31" s="68" t="n">
        <v>1</v>
      </c>
      <c r="J31" s="69" t="n">
        <v>5</v>
      </c>
      <c r="K31" s="69" t="inlineStr">
        <is>
          <t>https://amazon.com/dp/B09Y6BHFF7</t>
        </is>
      </c>
      <c r="L31" s="114">
        <f>HYPERLINK(Table4171[[#This Row],[Column1]])</f>
        <v/>
      </c>
    </row>
    <row r="32" ht="17" customHeight="1" s="314">
      <c r="A32" s="35" t="inlineStr">
        <is>
          <t>IMclean-OBD2 Cable 9'</t>
        </is>
      </c>
      <c r="B32" s="35" t="inlineStr">
        <is>
          <t>B09Y6PK2Z7</t>
        </is>
      </c>
      <c r="C32" s="35" t="inlineStr">
        <is>
          <t>Cable/Adapter</t>
        </is>
      </c>
      <c r="D32" s="359" t="n">
        <v>116.29</v>
      </c>
      <c r="E32" s="66" t="n">
        <v>949.9392307692309</v>
      </c>
      <c r="F32" s="67" t="n">
        <v>116.29</v>
      </c>
      <c r="G32" s="68" t="n">
        <v>8</v>
      </c>
      <c r="H32" s="68" t="n">
        <v>1</v>
      </c>
      <c r="I32" s="68" t="n">
        <v>3</v>
      </c>
      <c r="J32" s="69" t="n">
        <v>5</v>
      </c>
      <c r="K32" s="69" t="inlineStr">
        <is>
          <t>https://amazon.com/dp/B09Y6PK2Z7</t>
        </is>
      </c>
      <c r="L32" s="114">
        <f>HYPERLINK(Table4171[[#This Row],[Column1]])</f>
        <v/>
      </c>
    </row>
    <row r="33" ht="34" customHeight="1" s="314">
      <c r="A33" s="35" t="inlineStr">
        <is>
          <t>Opus IVS Giotto Bidirectional Scan Tool with J2534 for All Makes</t>
        </is>
      </c>
      <c r="B33" s="35" t="inlineStr">
        <is>
          <t>B0DBJ4BZPJ</t>
        </is>
      </c>
      <c r="C33" s="35" t="inlineStr">
        <is>
          <t>VCI</t>
        </is>
      </c>
      <c r="D33" s="359" t="n">
        <v>1995</v>
      </c>
      <c r="E33" s="66" t="n">
        <v>4446.85</v>
      </c>
      <c r="F33" s="67" t="n">
        <v>0</v>
      </c>
      <c r="G33" s="68" t="n">
        <v>4</v>
      </c>
      <c r="H33" s="68" t="n">
        <v>0</v>
      </c>
      <c r="I33" s="68" t="n">
        <v>4</v>
      </c>
      <c r="J33" s="69" t="n">
        <v>3.6</v>
      </c>
      <c r="K33" s="69" t="inlineStr">
        <is>
          <t>https://amazon.com/dp/B0DBJ4BZPJ</t>
        </is>
      </c>
      <c r="L33" s="114">
        <f>HYPERLINK(Table4171[[#This Row],[Column1]])</f>
        <v/>
      </c>
    </row>
    <row r="34" ht="17" customHeight="1" s="314">
      <c r="A34" s="35" t="inlineStr">
        <is>
          <t>LivePro Remote Assisted Diagnostic Tool</t>
        </is>
      </c>
      <c r="B34" s="35" t="inlineStr">
        <is>
          <t>B09MG66WWM</t>
        </is>
      </c>
      <c r="C34" s="35" t="inlineStr">
        <is>
          <t>Tablet</t>
        </is>
      </c>
      <c r="D34" s="359" t="n">
        <v>2495</v>
      </c>
      <c r="E34" s="66" t="n">
        <v>4442.2</v>
      </c>
      <c r="F34" s="67" t="n">
        <v>0</v>
      </c>
      <c r="G34" s="68" t="n">
        <v>2</v>
      </c>
      <c r="H34" s="68" t="n">
        <v>0</v>
      </c>
      <c r="I34" s="68" t="n">
        <v>1</v>
      </c>
      <c r="J34" s="69" t="n">
        <v>5</v>
      </c>
      <c r="K34" s="69" t="inlineStr">
        <is>
          <t>https://amazon.com/dp/B09MG66WWM</t>
        </is>
      </c>
      <c r="L34" s="114">
        <f>HYPERLINK(Table4171[[#This Row],[Column1]])</f>
        <v/>
      </c>
    </row>
    <row r="35" ht="17" customHeight="1" s="314">
      <c r="A35" s="41" t="inlineStr">
        <is>
          <t>Total</t>
        </is>
      </c>
      <c r="B35" s="41" t="n"/>
      <c r="C35" s="365" t="n"/>
      <c r="D35" s="365" t="n"/>
      <c r="E35" s="122">
        <f>SUM(E9:E34)</f>
        <v/>
      </c>
      <c r="F35" s="122">
        <f>SUM(F9:F34)</f>
        <v/>
      </c>
      <c r="G35" s="123" t="n"/>
      <c r="H35" s="123" t="n"/>
      <c r="I35" s="123" t="n"/>
      <c r="J35" s="128" t="n"/>
      <c r="K35" s="41" t="n"/>
    </row>
    <row r="38">
      <c r="A38" s="307" t="inlineStr">
        <is>
          <t>Rank by Units</t>
        </is>
      </c>
    </row>
    <row r="39" ht="17" customHeight="1" s="314">
      <c r="A39" s="46" t="inlineStr">
        <is>
          <t>Product Name</t>
        </is>
      </c>
      <c r="B39" s="47" t="inlineStr">
        <is>
          <t>ASIN</t>
        </is>
      </c>
      <c r="C39" s="47" t="inlineStr">
        <is>
          <t>Type</t>
        </is>
      </c>
      <c r="D39" s="345" t="inlineStr">
        <is>
          <t>Avg Price</t>
        </is>
      </c>
      <c r="E39" s="49" t="inlineStr">
        <is>
          <t>Estimated 12mo Revenue</t>
        </is>
      </c>
      <c r="F39" s="47" t="inlineStr">
        <is>
          <t>Monthly Rev</t>
        </is>
      </c>
      <c r="G39" s="51" t="inlineStr">
        <is>
          <t>Estimated 12mo Units</t>
        </is>
      </c>
      <c r="H39" s="54" t="inlineStr">
        <is>
          <t>Monthly Units</t>
        </is>
      </c>
      <c r="I39" s="51" t="inlineStr">
        <is>
          <t># of Reviews</t>
        </is>
      </c>
      <c r="J39" s="52" t="inlineStr">
        <is>
          <t xml:space="preserve">Tool Rating </t>
        </is>
      </c>
      <c r="K39" s="52" t="inlineStr">
        <is>
          <t>Column1</t>
        </is>
      </c>
      <c r="L39" s="346" t="inlineStr">
        <is>
          <t>Link</t>
        </is>
      </c>
    </row>
    <row r="40" ht="30" customHeight="1" s="314">
      <c r="A40" s="35" t="inlineStr">
        <is>
          <t>Opus IVS Mongoose-Plus J2534 OEM Vehicle Interface Cable - Toyota/Lexus/Scion OEM Reprogramming and Diagnostics</t>
        </is>
      </c>
      <c r="B40" s="35" t="inlineStr">
        <is>
          <t>B097NFNZBG</t>
        </is>
      </c>
      <c r="C40" s="35" t="inlineStr">
        <is>
          <t>Cable/Adapter</t>
        </is>
      </c>
      <c r="D40" s="359" t="n">
        <v>575.2684816753926</v>
      </c>
      <c r="E40" s="66" t="n">
        <v>1216009.94</v>
      </c>
      <c r="F40" s="66" t="n">
        <v>109876.28</v>
      </c>
      <c r="G40" s="68" t="n">
        <v>2117</v>
      </c>
      <c r="H40" s="70" t="n">
        <v>191</v>
      </c>
      <c r="I40" s="68" t="n">
        <v>335</v>
      </c>
      <c r="J40" s="69" t="n">
        <v>4.4</v>
      </c>
      <c r="K40" s="69" t="inlineStr">
        <is>
          <t>https://amazon.com/dp/B097NFNZBG</t>
        </is>
      </c>
      <c r="L40" s="114">
        <f>HYPERLINK(Table4272[[#This Row],[Column1]])</f>
        <v/>
      </c>
    </row>
    <row r="41" ht="17" customHeight="1" s="314">
      <c r="A41" s="35" t="inlineStr">
        <is>
          <t>Opus IVS Mongoose-Plus J2534 OEM Vehicle Interface Cable - Nissan/Infiniti OEM Reprogramming and Diagnostics</t>
        </is>
      </c>
      <c r="B41" s="35" t="inlineStr">
        <is>
          <t>B097NFTXMD</t>
        </is>
      </c>
      <c r="C41" s="35" t="inlineStr">
        <is>
          <t>Cable/Adapter</t>
        </is>
      </c>
      <c r="D41" s="359" t="n">
        <v>579.0662962962963</v>
      </c>
      <c r="E41" s="66" t="n">
        <v>99913.98</v>
      </c>
      <c r="F41" s="66" t="n">
        <v>31269.58</v>
      </c>
      <c r="G41" s="68" t="n">
        <v>173</v>
      </c>
      <c r="H41" s="70" t="n">
        <v>54</v>
      </c>
      <c r="I41" s="68" t="n">
        <v>335</v>
      </c>
      <c r="J41" s="69" t="n">
        <v>4.4</v>
      </c>
      <c r="K41" s="69" t="inlineStr">
        <is>
          <t>https://amazon.com/dp/B097NFTXMD</t>
        </is>
      </c>
      <c r="L41" s="114">
        <f>HYPERLINK(Table4272[[#This Row],[Column1]])</f>
        <v/>
      </c>
    </row>
    <row r="42" ht="30" customHeight="1" s="314">
      <c r="A42" s="35" t="inlineStr">
        <is>
          <t>Opus IVS Mongoose-Plus J2534 OEM Vehicle Interface Cable - Honda/Acura OEM Reprogramming and Diagnostics</t>
        </is>
      </c>
      <c r="B42" s="35" t="inlineStr">
        <is>
          <t>B097NH743T</t>
        </is>
      </c>
      <c r="C42" s="35" t="inlineStr">
        <is>
          <t>Cable/Adapter</t>
        </is>
      </c>
      <c r="D42" s="359" t="n">
        <v>568.9572093023256</v>
      </c>
      <c r="E42" s="66" t="n">
        <v>93055.99000000001</v>
      </c>
      <c r="F42" s="66" t="n">
        <v>24465.16</v>
      </c>
      <c r="G42" s="68" t="n">
        <v>163</v>
      </c>
      <c r="H42" s="70" t="n">
        <v>43</v>
      </c>
      <c r="I42" s="68" t="n">
        <v>335</v>
      </c>
      <c r="J42" s="69" t="n">
        <v>4.4</v>
      </c>
      <c r="K42" s="69" t="inlineStr">
        <is>
          <t>https://amazon.com/dp/B097NH743T</t>
        </is>
      </c>
      <c r="L42" s="114">
        <f>HYPERLINK(Table4272[[#This Row],[Column1]])</f>
        <v/>
      </c>
    </row>
    <row r="43" ht="30" customHeight="1" s="314">
      <c r="A43" s="35" t="inlineStr">
        <is>
          <t>Mongoose-Plus J2534 OEM Vehicle Interface Cable - VW/Audi OEM Reprogramming and Diagnostics</t>
        </is>
      </c>
      <c r="B43" s="35" t="inlineStr">
        <is>
          <t>B097NGHP7S</t>
        </is>
      </c>
      <c r="C43" s="35" t="inlineStr">
        <is>
          <t>Cable/Adapter</t>
        </is>
      </c>
      <c r="D43" s="359" t="n">
        <v>572.7123255813954</v>
      </c>
      <c r="E43" s="66" t="n">
        <v>89781.14000000001</v>
      </c>
      <c r="F43" s="66" t="n">
        <v>24626.63</v>
      </c>
      <c r="G43" s="68" t="n">
        <v>157</v>
      </c>
      <c r="H43" s="70" t="n">
        <v>43</v>
      </c>
      <c r="I43" s="68" t="n">
        <v>335</v>
      </c>
      <c r="J43" s="69" t="n">
        <v>4.4</v>
      </c>
      <c r="K43" s="69" t="inlineStr">
        <is>
          <t>https://amazon.com/dp/B097NGHP7S</t>
        </is>
      </c>
      <c r="L43" s="114">
        <f>HYPERLINK(Table4272[[#This Row],[Column1]])</f>
        <v/>
      </c>
    </row>
    <row r="44" ht="30" customHeight="1" s="314">
      <c r="A44" s="35" t="inlineStr">
        <is>
          <t>Opus IVS Mongoose-Plus J2534 OEM Vehicle Interface Cable - Designed for Chrysler/Dodge/Jeep OEM Reprogramming and Diagnostics</t>
        </is>
      </c>
      <c r="B44" s="35" t="inlineStr">
        <is>
          <t>B0BJW311DC</t>
        </is>
      </c>
      <c r="C44" s="35" t="inlineStr">
        <is>
          <t>Cable/Adapter</t>
        </is>
      </c>
      <c r="D44" s="359" t="n">
        <v>573.5211904761904</v>
      </c>
      <c r="E44" s="66" t="n">
        <v>92120.20999999999</v>
      </c>
      <c r="F44" s="66" t="n">
        <v>24087.89</v>
      </c>
      <c r="G44" s="68" t="n">
        <v>160</v>
      </c>
      <c r="H44" s="70" t="n">
        <v>42</v>
      </c>
      <c r="I44" s="68" t="n">
        <v>335</v>
      </c>
      <c r="J44" s="69" t="n">
        <v>4.4</v>
      </c>
      <c r="K44" s="69" t="inlineStr">
        <is>
          <t>https://amazon.com/dp/B0BJW311DC</t>
        </is>
      </c>
      <c r="L44" s="114">
        <f>HYPERLINK(Table4272[[#This Row],[Column1]])</f>
        <v/>
      </c>
    </row>
    <row r="45" ht="30" customHeight="1" s="314">
      <c r="A45" s="35" t="inlineStr">
        <is>
          <t>Opus IVS Mongoose-Plus J2534 OEM Vehicle Interface Cable - OEM Reprogramming and Diagnostics for Subaru</t>
        </is>
      </c>
      <c r="B45" s="35" t="inlineStr">
        <is>
          <t>B0CP73XSS8</t>
        </is>
      </c>
      <c r="C45" s="35" t="inlineStr">
        <is>
          <t>Cable/Adapter</t>
        </is>
      </c>
      <c r="D45" s="359" t="n">
        <v>580.04425</v>
      </c>
      <c r="E45" s="66" t="n">
        <v>119246.8369230769</v>
      </c>
      <c r="F45" s="66" t="n">
        <v>23201.77</v>
      </c>
      <c r="G45" s="68" t="n">
        <v>130</v>
      </c>
      <c r="H45" s="70" t="n">
        <v>40</v>
      </c>
      <c r="I45" s="68" t="n">
        <v>335</v>
      </c>
      <c r="J45" s="69" t="n">
        <v>4.4</v>
      </c>
      <c r="K45" s="69" t="inlineStr">
        <is>
          <t>https://amazon.com/dp/B0CP73XSS8</t>
        </is>
      </c>
      <c r="L45" s="114">
        <f>HYPERLINK(Table4272[[#This Row],[Column1]])</f>
        <v/>
      </c>
    </row>
    <row r="46" ht="30" customHeight="1" s="314">
      <c r="A46" s="35" t="inlineStr">
        <is>
          <t>Opus IVS CarDAQ-Plus 3 All Makes J2534 Reprogramming Tool</t>
        </is>
      </c>
      <c r="B46" s="35" t="inlineStr">
        <is>
          <t>B09SP8F2X6</t>
        </is>
      </c>
      <c r="C46" s="35" t="inlineStr">
        <is>
          <t>Other</t>
        </is>
      </c>
      <c r="D46" s="359" t="n">
        <v>1900.98</v>
      </c>
      <c r="E46" s="66" t="n">
        <v>857580.9700000001</v>
      </c>
      <c r="F46" s="66" t="n">
        <v>74138.22</v>
      </c>
      <c r="G46" s="68" t="n">
        <v>450</v>
      </c>
      <c r="H46" s="70" t="n">
        <v>39</v>
      </c>
      <c r="I46" s="68" t="n">
        <v>84</v>
      </c>
      <c r="J46" s="69" t="n">
        <v>4.4</v>
      </c>
      <c r="K46" s="69" t="inlineStr">
        <is>
          <t>https://amazon.com/dp/B09SP8F2X6</t>
        </is>
      </c>
      <c r="L46" s="114">
        <f>HYPERLINK(Table4272[[#This Row],[Column1]])</f>
        <v/>
      </c>
    </row>
    <row r="47" ht="30" customHeight="1" s="314">
      <c r="A47" s="35" t="inlineStr">
        <is>
          <t>Opus IVS CarDAQ-Plus 3 OBD2 Vehicle Cable - Also for DrivePro/DriveSafe Products</t>
        </is>
      </c>
      <c r="B47" s="35" t="inlineStr">
        <is>
          <t>B09SP5Z369</t>
        </is>
      </c>
      <c r="C47" s="35" t="inlineStr">
        <is>
          <t>Cable/Adapter</t>
        </is>
      </c>
      <c r="D47" s="359" t="n">
        <v>80.11342857142857</v>
      </c>
      <c r="E47" s="66" t="n">
        <v>20448.08</v>
      </c>
      <c r="F47" s="66" t="n">
        <v>2803.97</v>
      </c>
      <c r="G47" s="68" t="n">
        <v>255</v>
      </c>
      <c r="H47" s="70" t="n">
        <v>35</v>
      </c>
      <c r="I47" s="68" t="n">
        <v>15</v>
      </c>
      <c r="J47" s="69" t="n">
        <v>4.4</v>
      </c>
      <c r="K47" s="69" t="inlineStr">
        <is>
          <t>https://amazon.com/dp/B09SP5Z369</t>
        </is>
      </c>
      <c r="L47" s="114">
        <f>HYPERLINK(Table4272[[#This Row],[Column1]])</f>
        <v/>
      </c>
    </row>
    <row r="48" ht="30" customHeight="1" s="314">
      <c r="A48" s="35" t="inlineStr">
        <is>
          <t>Opus IVS Mongoose-Plus Toyota/Lexus/Scion J2534 OEM Vehicle Interface Bluetooth Wireless - OEM Reprogramming and Diagnostics</t>
        </is>
      </c>
      <c r="B48" s="35" t="inlineStr">
        <is>
          <t>B097NGSRDK</t>
        </is>
      </c>
      <c r="C48" s="35" t="inlineStr">
        <is>
          <t>Dongle</t>
        </is>
      </c>
      <c r="D48" s="359" t="n">
        <v>697.2820689655173</v>
      </c>
      <c r="E48" s="66" t="n">
        <v>46268.57999999999</v>
      </c>
      <c r="F48" s="66" t="n">
        <v>20221.18</v>
      </c>
      <c r="G48" s="68" t="n">
        <v>66</v>
      </c>
      <c r="H48" s="70" t="n">
        <v>29</v>
      </c>
      <c r="I48" s="68" t="n">
        <v>335</v>
      </c>
      <c r="J48" s="69" t="n">
        <v>4.4</v>
      </c>
      <c r="K48" s="69" t="inlineStr">
        <is>
          <t>https://amazon.com/dp/B097NGSRDK</t>
        </is>
      </c>
      <c r="L48" s="114">
        <f>HYPERLINK(Table4272[[#This Row],[Column1]])</f>
        <v/>
      </c>
    </row>
    <row r="49" ht="30" customHeight="1" s="314">
      <c r="A49" s="35" t="inlineStr">
        <is>
          <t>Opus IVS Mongoose-Plus J2534 OEM Vehicle Interface Cable - GM OEM Reprogramming and Diagnostics</t>
        </is>
      </c>
      <c r="B49" s="35" t="inlineStr">
        <is>
          <t>B09D574Q3M</t>
        </is>
      </c>
      <c r="C49" s="35" t="inlineStr">
        <is>
          <t>Cable/Adapter</t>
        </is>
      </c>
      <c r="D49" s="359" t="n">
        <v>559.6605882352941</v>
      </c>
      <c r="E49" s="66" t="n">
        <v>96229.37999999999</v>
      </c>
      <c r="F49" s="66" t="n">
        <v>9514.23</v>
      </c>
      <c r="G49" s="68" t="n">
        <v>167</v>
      </c>
      <c r="H49" s="70" t="n">
        <v>17</v>
      </c>
      <c r="I49" s="68" t="n">
        <v>335</v>
      </c>
      <c r="J49" s="69" t="n">
        <v>4.4</v>
      </c>
      <c r="K49" s="69" t="inlineStr">
        <is>
          <t>https://amazon.com/dp/B09D574Q3M</t>
        </is>
      </c>
      <c r="L49" s="114">
        <f>HYPERLINK(Table4272[[#This Row],[Column1]])</f>
        <v/>
      </c>
    </row>
    <row r="50" ht="30" customHeight="1" s="314">
      <c r="A50" s="35" t="inlineStr">
        <is>
          <t>Opus IVS CarDAQ-Plus 3 All Makes J2534 Reprogramming Tool - Bluetooth</t>
        </is>
      </c>
      <c r="B50" s="35" t="inlineStr">
        <is>
          <t>B09SNVC9JR</t>
        </is>
      </c>
      <c r="C50" s="35" t="inlineStr">
        <is>
          <t>Other</t>
        </is>
      </c>
      <c r="D50" s="359" t="n">
        <v>2287.939333333333</v>
      </c>
      <c r="E50" s="66" t="n">
        <v>427463.5999999999</v>
      </c>
      <c r="F50" s="66" t="n">
        <v>34319.09</v>
      </c>
      <c r="G50" s="68" t="n">
        <v>192</v>
      </c>
      <c r="H50" s="70" t="n">
        <v>15</v>
      </c>
      <c r="I50" s="68" t="n">
        <v>84</v>
      </c>
      <c r="J50" s="69" t="n">
        <v>4.4</v>
      </c>
      <c r="K50" s="69" t="inlineStr">
        <is>
          <t>https://amazon.com/dp/B09SNVC9JR</t>
        </is>
      </c>
      <c r="L50" s="114">
        <f>HYPERLINK(Table4272[[#This Row],[Column1]])</f>
        <v/>
      </c>
    </row>
    <row r="51" ht="30" customHeight="1" s="314">
      <c r="A51" s="35" t="inlineStr">
        <is>
          <t>Opus IVS CarDAQ-Pro All Makes J2534 Reprogramming Tool and Remote Assisted Programming Plus IVS360</t>
        </is>
      </c>
      <c r="B51" s="35" t="inlineStr">
        <is>
          <t>B0BJQMTY48</t>
        </is>
      </c>
      <c r="C51" s="35" t="inlineStr">
        <is>
          <t>Other</t>
        </is>
      </c>
      <c r="D51" s="359" t="n">
        <v>2478.37</v>
      </c>
      <c r="E51" s="66" t="n">
        <v>248660.66</v>
      </c>
      <c r="F51" s="66" t="n">
        <v>29740.44</v>
      </c>
      <c r="G51" s="68" t="n">
        <v>97</v>
      </c>
      <c r="H51" s="70" t="n">
        <v>12</v>
      </c>
      <c r="I51" s="68" t="n">
        <v>84</v>
      </c>
      <c r="J51" s="69" t="n">
        <v>4.4</v>
      </c>
      <c r="K51" s="69" t="inlineStr">
        <is>
          <t>https://amazon.com/dp/B0BJQMTY48</t>
        </is>
      </c>
      <c r="L51" s="114">
        <f>HYPERLINK(Table4272[[#This Row],[Column1]])</f>
        <v/>
      </c>
    </row>
    <row r="52" ht="45" customHeight="1" s="314">
      <c r="A52" s="35" t="inlineStr">
        <is>
          <t>Opus IVS Mongoose-Plus J2534 OEM Vehicle Interface Cable - Ford/Lincoln/Mercury OEM Reprogramming and Diagnostics.</t>
        </is>
      </c>
      <c r="B52" s="35" t="inlineStr">
        <is>
          <t>B097NHQ7ZW</t>
        </is>
      </c>
      <c r="C52" s="35" t="inlineStr">
        <is>
          <t>Cable/Adapter</t>
        </is>
      </c>
      <c r="D52" s="359" t="n">
        <v>581.7871428571428</v>
      </c>
      <c r="E52" s="66" t="n">
        <v>352210.37</v>
      </c>
      <c r="F52" s="66" t="n">
        <v>4072.51</v>
      </c>
      <c r="G52" s="68" t="n">
        <v>606</v>
      </c>
      <c r="H52" s="70" t="n">
        <v>7</v>
      </c>
      <c r="I52" s="68" t="n">
        <v>335</v>
      </c>
      <c r="J52" s="69" t="n">
        <v>4.4</v>
      </c>
      <c r="K52" s="69" t="inlineStr">
        <is>
          <t>https://amazon.com/dp/B097NHQ7ZW</t>
        </is>
      </c>
      <c r="L52" s="114">
        <f>HYPERLINK(Table4272[[#This Row],[Column1]])</f>
        <v/>
      </c>
    </row>
    <row r="53" ht="30" customHeight="1" s="314">
      <c r="A53" s="35" t="inlineStr">
        <is>
          <t>Opus IVS Mongoose-Plus J2534 OEM Bluetooth Vehicle Interface Cable - Designed for Chrysler/Dodge/Jeep OEM Reprogramming and Diagnostics</t>
        </is>
      </c>
      <c r="B53" s="35" t="inlineStr">
        <is>
          <t>B0BJVYSX4Z</t>
        </is>
      </c>
      <c r="C53" s="35" t="inlineStr">
        <is>
          <t>Dongle</t>
        </is>
      </c>
      <c r="D53" s="359" t="n">
        <v>647.91</v>
      </c>
      <c r="E53" s="66" t="n">
        <v>29183</v>
      </c>
      <c r="F53" s="66" t="n">
        <v>3887.46</v>
      </c>
      <c r="G53" s="68" t="n">
        <v>42</v>
      </c>
      <c r="H53" s="70" t="n">
        <v>6</v>
      </c>
      <c r="I53" s="68" t="n">
        <v>335</v>
      </c>
      <c r="J53" s="69" t="n">
        <v>4.4</v>
      </c>
      <c r="K53" s="69" t="inlineStr">
        <is>
          <t>https://amazon.com/dp/B0BJVYSX4Z</t>
        </is>
      </c>
      <c r="L53" s="114">
        <f>HYPERLINK(Table4272[[#This Row],[Column1]])</f>
        <v/>
      </c>
    </row>
    <row r="54" ht="30" customHeight="1" s="314">
      <c r="A54" s="35" t="inlineStr">
        <is>
          <t>Opus IVS Mongoose-Plus J2534 OEM Bluetooth Wireless Vehicle Interface Cable - Ford/Lincoln/Mercury OEM Reprogramming and Diagnostics</t>
        </is>
      </c>
      <c r="B54" s="35" t="inlineStr">
        <is>
          <t>B097NGVRQ7</t>
        </is>
      </c>
      <c r="C54" s="35" t="inlineStr">
        <is>
          <t>Dongle</t>
        </is>
      </c>
      <c r="D54" s="359" t="n">
        <v>670.22</v>
      </c>
      <c r="E54" s="66" t="n">
        <v>31738.2</v>
      </c>
      <c r="F54" s="66" t="n">
        <v>4021.32</v>
      </c>
      <c r="G54" s="68" t="n">
        <v>48</v>
      </c>
      <c r="H54" s="70" t="n">
        <v>6</v>
      </c>
      <c r="I54" s="68" t="n">
        <v>335</v>
      </c>
      <c r="J54" s="69" t="n">
        <v>4.4</v>
      </c>
      <c r="K54" s="69" t="inlineStr">
        <is>
          <t>https://amazon.com/dp/B097NGVRQ7</t>
        </is>
      </c>
      <c r="L54" s="114">
        <f>HYPERLINK(Table4272[[#This Row],[Column1]])</f>
        <v/>
      </c>
    </row>
    <row r="55" ht="30" customHeight="1" s="314">
      <c r="A55" s="35" t="inlineStr">
        <is>
          <t>Opus IVS Mongoose-Plus J2534 OEM Vehicle Bluetooth Wireless Interface Cable - Honda/Acura OEM Reprogramming and Diagnostics</t>
        </is>
      </c>
      <c r="B55" s="35" t="inlineStr">
        <is>
          <t>B097NGBKNN</t>
        </is>
      </c>
      <c r="C55" s="35" t="inlineStr">
        <is>
          <t>Dongle</t>
        </is>
      </c>
      <c r="D55" s="359" t="n">
        <v>704.162</v>
      </c>
      <c r="E55" s="66" t="n">
        <v>30453.84846153847</v>
      </c>
      <c r="F55" s="66" t="n">
        <v>3520.81</v>
      </c>
      <c r="G55" s="68" t="n">
        <v>39</v>
      </c>
      <c r="H55" s="70" t="n">
        <v>5</v>
      </c>
      <c r="I55" s="68" t="n">
        <v>335</v>
      </c>
      <c r="J55" s="69" t="n">
        <v>4.4</v>
      </c>
      <c r="K55" s="69" t="inlineStr">
        <is>
          <t>https://amazon.com/dp/B097NGBKNN</t>
        </is>
      </c>
      <c r="L55" s="114">
        <f>HYPERLINK(Table4272[[#This Row],[Column1]])</f>
        <v/>
      </c>
    </row>
    <row r="56" ht="30" customHeight="1" s="314">
      <c r="A56" s="35" t="inlineStr">
        <is>
          <t>Opus IVS Mongoose-Plus J2534 OEM Bluetooth Wireless Vehicle Interface Cable - GM OEM Reprogramming and Diagnostics</t>
        </is>
      </c>
      <c r="B56" s="35" t="inlineStr">
        <is>
          <t>B09D4Z9M8Y</t>
        </is>
      </c>
      <c r="C56" s="35" t="inlineStr">
        <is>
          <t>Dongle</t>
        </is>
      </c>
      <c r="D56" s="359" t="n">
        <v>742.7380000000001</v>
      </c>
      <c r="E56" s="66" t="n">
        <v>30332.29</v>
      </c>
      <c r="F56" s="66" t="n">
        <v>3713.69</v>
      </c>
      <c r="G56" s="68" t="n">
        <v>42</v>
      </c>
      <c r="H56" s="70" t="n">
        <v>5</v>
      </c>
      <c r="I56" s="68" t="n">
        <v>335</v>
      </c>
      <c r="J56" s="69" t="n">
        <v>4.4</v>
      </c>
      <c r="K56" s="69" t="inlineStr">
        <is>
          <t>https://amazon.com/dp/B09D4Z9M8Y</t>
        </is>
      </c>
      <c r="L56" s="114">
        <f>HYPERLINK(Table4272[[#This Row],[Column1]])</f>
        <v/>
      </c>
    </row>
    <row r="57" ht="30" customHeight="1" s="314">
      <c r="A57" s="35" t="inlineStr">
        <is>
          <t>Opus IVS Mongoose-Plus J2534 OEM Bluetooth Wireless Vehicle Interface Cable - VW/Audi OEM Reprogramming and Diagnostics</t>
        </is>
      </c>
      <c r="B57" s="35" t="inlineStr">
        <is>
          <t>B097NJ646V</t>
        </is>
      </c>
      <c r="C57" s="35" t="inlineStr">
        <is>
          <t>Dongle</t>
        </is>
      </c>
      <c r="D57" s="359" t="n">
        <v>699.64</v>
      </c>
      <c r="E57" s="66" t="n">
        <v>29154.27</v>
      </c>
      <c r="F57" s="66" t="n">
        <v>3498.2</v>
      </c>
      <c r="G57" s="68" t="n">
        <v>41</v>
      </c>
      <c r="H57" s="70" t="n">
        <v>5</v>
      </c>
      <c r="I57" s="68" t="n">
        <v>335</v>
      </c>
      <c r="J57" s="69" t="n">
        <v>4.4</v>
      </c>
      <c r="K57" s="69" t="inlineStr">
        <is>
          <t>https://amazon.com/dp/B097NJ646V</t>
        </is>
      </c>
      <c r="L57" s="114">
        <f>HYPERLINK(Table4272[[#This Row],[Column1]])</f>
        <v/>
      </c>
    </row>
    <row r="58" ht="30" customHeight="1" s="314">
      <c r="A58" s="35" t="inlineStr">
        <is>
          <t>Opus IVS Mongoose-Plus J2534 OEM Bluetooth Wireless Vehicle Interface Cable - Nissan/Infiniti OEM Reprogramming and Diagnostics</t>
        </is>
      </c>
      <c r="B58" s="35" t="inlineStr">
        <is>
          <t>B097NJ79HD</t>
        </is>
      </c>
      <c r="C58" s="35" t="inlineStr">
        <is>
          <t>Dongle</t>
        </is>
      </c>
      <c r="D58" s="359" t="n">
        <v>761.154</v>
      </c>
      <c r="E58" s="66" t="n">
        <v>29094.52</v>
      </c>
      <c r="F58" s="66" t="n">
        <v>3805.77</v>
      </c>
      <c r="G58" s="68" t="n">
        <v>41</v>
      </c>
      <c r="H58" s="70" t="n">
        <v>5</v>
      </c>
      <c r="I58" s="68" t="n">
        <v>335</v>
      </c>
      <c r="J58" s="69" t="n">
        <v>4.4</v>
      </c>
      <c r="K58" s="69" t="inlineStr">
        <is>
          <t>https://amazon.com/dp/B097NJ79HD</t>
        </is>
      </c>
      <c r="L58" s="114">
        <f>HYPERLINK(Table4272[[#This Row],[Column1]])</f>
        <v/>
      </c>
    </row>
    <row r="59" ht="30" customHeight="1" s="314">
      <c r="A59" s="35" t="inlineStr">
        <is>
          <t>Opus IVS SuperGoose-Plus J2534 OEM Vehicle Interface Cable - OEM Reprogramming and Diagnostics for Multiple OEM Makes</t>
        </is>
      </c>
      <c r="B59" s="35" t="inlineStr">
        <is>
          <t>B0CP78488B</t>
        </is>
      </c>
      <c r="C59" s="35" t="inlineStr">
        <is>
          <t>Cable/Adapter</t>
        </is>
      </c>
      <c r="D59" s="359" t="n">
        <v>840.0733333333333</v>
      </c>
      <c r="E59" s="66" t="n">
        <v>18766.56</v>
      </c>
      <c r="F59" s="66" t="n">
        <v>2520.22</v>
      </c>
      <c r="G59" s="68" t="n">
        <v>19</v>
      </c>
      <c r="H59" s="70" t="n">
        <v>3</v>
      </c>
      <c r="I59" s="68" t="n">
        <v>335</v>
      </c>
      <c r="J59" s="69" t="n">
        <v>4.4</v>
      </c>
      <c r="K59" s="69" t="inlineStr">
        <is>
          <t>https://amazon.com/dp/B0CP78488B</t>
        </is>
      </c>
      <c r="L59" s="114">
        <f>HYPERLINK(Table4272[[#This Row],[Column1]])</f>
        <v/>
      </c>
    </row>
    <row r="60" ht="17" customHeight="1" s="314">
      <c r="A60" s="35" t="inlineStr">
        <is>
          <t>Opus IVS Giotto Bidirectional Scan Tool with J2534 for GM</t>
        </is>
      </c>
      <c r="B60" s="35" t="inlineStr">
        <is>
          <t>B0DBJ2QPK1</t>
        </is>
      </c>
      <c r="C60" s="35" t="inlineStr">
        <is>
          <t>Cable/Adapter</t>
        </is>
      </c>
      <c r="D60" s="359" t="n">
        <v>575.74</v>
      </c>
      <c r="E60" s="66" t="n">
        <v>5541.374615384616</v>
      </c>
      <c r="F60" s="66" t="n">
        <v>1151.48</v>
      </c>
      <c r="G60" s="68" t="n">
        <v>8</v>
      </c>
      <c r="H60" s="70" t="n">
        <v>2</v>
      </c>
      <c r="I60" s="68" t="n">
        <v>4</v>
      </c>
      <c r="J60" s="69" t="n">
        <v>3.6</v>
      </c>
      <c r="K60" s="69" t="inlineStr">
        <is>
          <t>https://amazon.com/dp/B0DBJ2QPK1</t>
        </is>
      </c>
      <c r="L60" s="114">
        <f>HYPERLINK(Table4272[[#This Row],[Column1]])</f>
        <v/>
      </c>
    </row>
    <row r="61" ht="17" customHeight="1" s="314">
      <c r="A61" s="35" t="inlineStr">
        <is>
          <t>Opus IVS Giotto Bidirectional Scan Tool with J2534 for Ford</t>
        </is>
      </c>
      <c r="B61" s="35" t="inlineStr">
        <is>
          <t>B0DBJ1YMM3</t>
        </is>
      </c>
      <c r="C61" s="35" t="inlineStr">
        <is>
          <t>Cable/Adapter</t>
        </is>
      </c>
      <c r="D61" s="359" t="n">
        <v>576.25</v>
      </c>
      <c r="E61" s="66" t="n">
        <v>6134.21</v>
      </c>
      <c r="F61" s="66" t="n">
        <v>1152.5</v>
      </c>
      <c r="G61" s="68" t="n">
        <v>11</v>
      </c>
      <c r="H61" s="70" t="n">
        <v>2</v>
      </c>
      <c r="I61" s="68" t="n">
        <v>4</v>
      </c>
      <c r="J61" s="69" t="n">
        <v>3.6</v>
      </c>
      <c r="K61" s="69" t="inlineStr">
        <is>
          <t>https://amazon.com/dp/B0DBJ1YMM3</t>
        </is>
      </c>
      <c r="L61" s="114">
        <f>HYPERLINK(Table4272[[#This Row],[Column1]])</f>
        <v/>
      </c>
    </row>
    <row r="62" ht="17" customHeight="1" s="314">
      <c r="A62" s="35" t="inlineStr">
        <is>
          <t>IMclean-OBD2 Cable 15'</t>
        </is>
      </c>
      <c r="B62" s="35" t="inlineStr">
        <is>
          <t>B09Y6BHFF7</t>
        </is>
      </c>
      <c r="C62" s="35" t="inlineStr">
        <is>
          <t>Cable/Adapter</t>
        </is>
      </c>
      <c r="D62" s="359" t="n">
        <v>132.67</v>
      </c>
      <c r="E62" s="66" t="n">
        <v>832.1992307692308</v>
      </c>
      <c r="F62" s="66" t="n">
        <v>132.67</v>
      </c>
      <c r="G62" s="68" t="n">
        <v>5</v>
      </c>
      <c r="H62" s="70" t="n">
        <v>1</v>
      </c>
      <c r="I62" s="68" t="n">
        <v>1</v>
      </c>
      <c r="J62" s="69" t="n">
        <v>5</v>
      </c>
      <c r="K62" s="69" t="inlineStr">
        <is>
          <t>https://amazon.com/dp/B09Y6BHFF7</t>
        </is>
      </c>
      <c r="L62" s="114">
        <f>HYPERLINK(Table4272[[#This Row],[Column1]])</f>
        <v/>
      </c>
    </row>
    <row r="63" ht="17" customHeight="1" s="314">
      <c r="A63" s="35" t="inlineStr">
        <is>
          <t>IMclean-OBD2 Cable 9'</t>
        </is>
      </c>
      <c r="B63" s="35" t="inlineStr">
        <is>
          <t>B09Y6PK2Z7</t>
        </is>
      </c>
      <c r="C63" s="35" t="inlineStr">
        <is>
          <t>Cable/Adapter</t>
        </is>
      </c>
      <c r="D63" s="359" t="n">
        <v>116.29</v>
      </c>
      <c r="E63" s="66" t="n">
        <v>949.9392307692309</v>
      </c>
      <c r="F63" s="66" t="n">
        <v>116.29</v>
      </c>
      <c r="G63" s="68" t="n">
        <v>8</v>
      </c>
      <c r="H63" s="70" t="n">
        <v>1</v>
      </c>
      <c r="I63" s="68" t="n">
        <v>3</v>
      </c>
      <c r="J63" s="69" t="n">
        <v>5</v>
      </c>
      <c r="K63" s="69" t="inlineStr">
        <is>
          <t>https://amazon.com/dp/B09Y6PK2Z7</t>
        </is>
      </c>
      <c r="L63" s="114">
        <f>HYPERLINK(Table4272[[#This Row],[Column1]])</f>
        <v/>
      </c>
    </row>
    <row r="64" ht="34" customHeight="1" s="314">
      <c r="A64" s="35" t="inlineStr">
        <is>
          <t>Opus IVS Giotto Bidirectional Scan Tool with J2534 for All Makes</t>
        </is>
      </c>
      <c r="B64" s="35" t="inlineStr">
        <is>
          <t>B0DBJ4BZPJ</t>
        </is>
      </c>
      <c r="C64" s="35" t="inlineStr">
        <is>
          <t>VCI</t>
        </is>
      </c>
      <c r="D64" s="359" t="n">
        <v>1995</v>
      </c>
      <c r="E64" s="66" t="n">
        <v>4446.85</v>
      </c>
      <c r="F64" s="66" t="n">
        <v>0</v>
      </c>
      <c r="G64" s="68" t="n">
        <v>4</v>
      </c>
      <c r="H64" s="70" t="n">
        <v>0</v>
      </c>
      <c r="I64" s="68" t="n">
        <v>4</v>
      </c>
      <c r="J64" s="69" t="n">
        <v>3.6</v>
      </c>
      <c r="K64" s="69" t="inlineStr">
        <is>
          <t>https://amazon.com/dp/B0DBJ4BZPJ</t>
        </is>
      </c>
      <c r="L64" s="114">
        <f>HYPERLINK(Table4272[[#This Row],[Column1]])</f>
        <v/>
      </c>
    </row>
    <row r="65" ht="17" customHeight="1" s="314">
      <c r="A65" s="35" t="inlineStr">
        <is>
          <t>LivePro Remote Assisted Diagnostic Tool</t>
        </is>
      </c>
      <c r="B65" s="35" t="inlineStr">
        <is>
          <t>B09MG66WWM</t>
        </is>
      </c>
      <c r="C65" s="35" t="inlineStr">
        <is>
          <t>Tablet</t>
        </is>
      </c>
      <c r="D65" s="359" t="n">
        <v>2495</v>
      </c>
      <c r="E65" s="66" t="n">
        <v>4442.2</v>
      </c>
      <c r="F65" s="66" t="n">
        <v>0</v>
      </c>
      <c r="G65" s="68" t="n">
        <v>2</v>
      </c>
      <c r="H65" s="70" t="n">
        <v>0</v>
      </c>
      <c r="I65" s="68" t="n">
        <v>1</v>
      </c>
      <c r="J65" s="69" t="n">
        <v>5</v>
      </c>
      <c r="K65" s="69" t="inlineStr">
        <is>
          <t>https://amazon.com/dp/B09MG66WWM</t>
        </is>
      </c>
      <c r="L65" s="114">
        <f>HYPERLINK(Table4272[[#This Row],[Column1]])</f>
        <v/>
      </c>
    </row>
    <row r="66" ht="17" customHeight="1" s="314">
      <c r="A66" s="41" t="inlineStr">
        <is>
          <t>Total</t>
        </is>
      </c>
      <c r="B66" s="41" t="n"/>
      <c r="C66" s="365" t="n"/>
      <c r="D66" s="122" t="n"/>
      <c r="E66" s="122" t="n"/>
      <c r="F66" s="122" t="n"/>
      <c r="G66" s="123">
        <f>SUM(G40:G65)</f>
        <v/>
      </c>
      <c r="H66" s="123">
        <f>SUM(H40:H65)</f>
        <v/>
      </c>
      <c r="I66" s="123" t="n"/>
      <c r="J66" s="128" t="n"/>
      <c r="K66" s="114" t="n"/>
    </row>
  </sheetData>
  <mergeCells count="3">
    <mergeCell ref="A1:L5"/>
    <mergeCell ref="A38:L38"/>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2.xml><?xml version="1.0" encoding="utf-8"?>
<worksheet xmlns="http://schemas.openxmlformats.org/spreadsheetml/2006/main">
  <sheetPr>
    <outlinePr summaryBelow="1" summaryRight="1"/>
    <pageSetUpPr/>
  </sheetPr>
  <dimension ref="A1:L34"/>
  <sheetViews>
    <sheetView topLeftCell="A2" workbookViewId="0">
      <selection activeCell="E39" sqref="E39"/>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5" customWidth="1" style="308" min="11" max="11"/>
    <col width="35.6640625" customWidth="1" style="308" min="12" max="12"/>
    <col width="12.6640625" customWidth="1" style="308" min="13" max="16384"/>
  </cols>
  <sheetData>
    <row r="1">
      <c r="A1" s="317" t="e">
        <v>#VALUE!</v>
      </c>
    </row>
    <row r="2"/>
    <row r="3"/>
    <row r="4"/>
    <row r="5"/>
    <row r="6">
      <c r="B6" s="60" t="n"/>
      <c r="C6" s="366" t="n"/>
      <c r="E6" s="60" t="n"/>
      <c r="F6" s="62" t="n"/>
      <c r="G6" s="62" t="n"/>
      <c r="H6" s="62" t="n"/>
      <c r="I6" s="63" t="n"/>
      <c r="J6" s="60"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OTOFIX D1 Lite Bidirectional Scan Tool with 2-Year Free Updates, 2026 New All System Automotive Diagnostic Scanner, 38+ Reset Services, FCA AutoAuth, Active Test, CANFD&amp;DOIP, Auto VIN</t>
        </is>
      </c>
      <c r="B9" s="35" t="inlineStr">
        <is>
          <t>B0CDNZC25K</t>
        </is>
      </c>
      <c r="C9" s="35" t="inlineStr">
        <is>
          <t>Tablet</t>
        </is>
      </c>
      <c r="D9" s="359" t="n">
        <v>389.2949466192171</v>
      </c>
      <c r="E9" s="66" t="n">
        <v>1563300.32</v>
      </c>
      <c r="F9" s="67" t="n">
        <v>109391.88</v>
      </c>
      <c r="G9" s="68" t="n">
        <v>4138</v>
      </c>
      <c r="H9" s="68" t="n">
        <v>281</v>
      </c>
      <c r="I9" s="68" t="n">
        <v>634</v>
      </c>
      <c r="J9" s="69" t="n">
        <v>4.5</v>
      </c>
      <c r="K9" s="69" t="inlineStr">
        <is>
          <t>https://amazon.com/dp/B0CDNZC25K</t>
        </is>
      </c>
      <c r="L9" s="114">
        <f>HYPERLINK(Table4375[[#This Row],[Column1]])</f>
        <v/>
      </c>
    </row>
    <row r="10" ht="45" customHeight="1" s="314">
      <c r="A10" s="35" t="inlineStr">
        <is>
          <t>OTOFIX D1 Lite 2026 Bidirectional Scan Tool, Bluetooth OBD2 Scanner Diagnostic Tool, 2 Years Free Update, 38+ Services, CANFD &amp; DoIP Protocols, All System Diagnoses, ABS Bleeding, Auto VIN</t>
        </is>
      </c>
      <c r="B10" s="35" t="inlineStr">
        <is>
          <t>B09TQG7PPN</t>
        </is>
      </c>
      <c r="C10" s="35" t="inlineStr">
        <is>
          <t>Tablet</t>
        </is>
      </c>
      <c r="D10" s="359" t="n">
        <v>361.8734630350194</v>
      </c>
      <c r="E10" s="66" t="n">
        <v>1240747.07</v>
      </c>
      <c r="F10" s="67" t="n">
        <v>93001.48</v>
      </c>
      <c r="G10" s="68" t="n">
        <v>3153</v>
      </c>
      <c r="H10" s="68" t="n">
        <v>257</v>
      </c>
      <c r="I10" s="68" t="n">
        <v>509</v>
      </c>
      <c r="J10" s="69" t="n">
        <v>4.4</v>
      </c>
      <c r="K10" s="69" t="inlineStr">
        <is>
          <t>https://amazon.com/dp/B09TQG7PPN</t>
        </is>
      </c>
      <c r="L10" s="114">
        <f>HYPERLINK(Table4375[[#This Row],[Column1]])</f>
        <v/>
      </c>
    </row>
    <row r="11" ht="45" customHeight="1" s="314">
      <c r="A11" s="35" t="inlineStr">
        <is>
          <t>OTOFIX D1 ECU Coding Diagnostic Scanner for Car, 2-Year Free Update,2026 Bi-Directional Scan Tool with All Systems Diagnosis,40+ Resets, FCA AutoAuth, CAN FD &amp; DoIP, Upgraded of D1 Lite</t>
        </is>
      </c>
      <c r="B11" s="35" t="inlineStr">
        <is>
          <t>B0CDNYB274</t>
        </is>
      </c>
      <c r="C11" s="35" t="inlineStr">
        <is>
          <t>Tablet</t>
        </is>
      </c>
      <c r="D11" s="359" t="n">
        <v>573.7826923076923</v>
      </c>
      <c r="E11" s="66" t="n">
        <v>402581.2499999999</v>
      </c>
      <c r="F11" s="67" t="n">
        <v>29836.7</v>
      </c>
      <c r="G11" s="68" t="n">
        <v>696</v>
      </c>
      <c r="H11" s="68" t="n">
        <v>52</v>
      </c>
      <c r="I11" s="68" t="n">
        <v>147</v>
      </c>
      <c r="J11" s="69" t="n">
        <v>4.3</v>
      </c>
      <c r="K11" s="69" t="inlineStr">
        <is>
          <t>https://amazon.com/dp/B0CDNYB274</t>
        </is>
      </c>
      <c r="L11" s="114">
        <f>HYPERLINK(Table4375[[#This Row],[Column1]])</f>
        <v/>
      </c>
    </row>
    <row r="12" ht="45" customHeight="1" s="314">
      <c r="A12" s="35" t="inlineStr">
        <is>
          <t>OTOFIX D1 Lite 2026 Bidirectional Scan Tool, 2 Years Free Update, 38+ Services, All System Diagnostic Scanner, Active Tests, AutoAuth FCA SGW, AutoVIN, CAN FD &amp; DoIP, 99% Car Coverage</t>
        </is>
      </c>
      <c r="B12" s="35" t="inlineStr">
        <is>
          <t>B0C14R2B19</t>
        </is>
      </c>
      <c r="C12" s="35" t="inlineStr">
        <is>
          <t>Tablet</t>
        </is>
      </c>
      <c r="D12" s="359" t="n">
        <v>393.5433333333334</v>
      </c>
      <c r="E12" s="66" t="n">
        <v>503536.44</v>
      </c>
      <c r="F12" s="67" t="n">
        <v>24793.23</v>
      </c>
      <c r="G12" s="68" t="n">
        <v>1387</v>
      </c>
      <c r="H12" s="68" t="n">
        <v>63</v>
      </c>
      <c r="I12" s="68" t="n">
        <v>103</v>
      </c>
      <c r="J12" s="69" t="n">
        <v>4.4</v>
      </c>
      <c r="K12" s="69" t="inlineStr">
        <is>
          <t>https://amazon.com/dp/B0C14R2B19</t>
        </is>
      </c>
      <c r="L12" s="114">
        <f>HYPERLINK(Table4375[[#This Row],[Column1]])</f>
        <v/>
      </c>
    </row>
    <row r="13" ht="45" customHeight="1" s="314">
      <c r="A13" s="35" t="inlineStr">
        <is>
          <t>OTOFIX D1 Max2 OE Full System Diagnostics Scanner with 2-Years Free Update, 2026 New Bi-Directional Scan Tool for Car, 40+ Service Functions, Advanced ECU Coding, 10000+ Car Coverage, V.A.G Guided</t>
        </is>
      </c>
      <c r="B13" s="35" t="inlineStr">
        <is>
          <t>B0CGL8Q9YF</t>
        </is>
      </c>
      <c r="C13" s="35" t="inlineStr">
        <is>
          <t>Tablet</t>
        </is>
      </c>
      <c r="D13" s="359" t="n">
        <v>1076.412</v>
      </c>
      <c r="E13" s="66" t="n">
        <v>235277.42</v>
      </c>
      <c r="F13" s="67" t="n">
        <v>10764.12</v>
      </c>
      <c r="G13" s="68" t="n">
        <v>213</v>
      </c>
      <c r="H13" s="68" t="n">
        <v>10</v>
      </c>
      <c r="I13" s="68" t="n">
        <v>37</v>
      </c>
      <c r="J13" s="69" t="n">
        <v>4.2</v>
      </c>
      <c r="K13" s="69" t="inlineStr">
        <is>
          <t>https://amazon.com/dp/B0CGL8Q9YF</t>
        </is>
      </c>
      <c r="L13" s="114">
        <f>HYPERLINK(Table4375[[#This Row],[Column1]])</f>
        <v/>
      </c>
    </row>
    <row r="14" ht="45" customHeight="1" s="314">
      <c r="A14" s="35" t="inlineStr">
        <is>
          <t>OTOFIX Diagnostics Scanner IM/M0 Expert IM1 Programming Scan Tool for Car, OE Level OBD2 Scanner with XP1 Progammer, Support DoIP &amp; CAN-FD, Auto VIN &amp; Auto Scan, 2 Years Free Update(Value for $398)</t>
        </is>
      </c>
      <c r="B14" s="35" t="inlineStr">
        <is>
          <t>B0F6XYKXMH</t>
        </is>
      </c>
      <c r="C14" s="35" t="inlineStr">
        <is>
          <t>Tablet</t>
        </is>
      </c>
      <c r="D14" s="359" t="n">
        <v>987.9911111111112</v>
      </c>
      <c r="E14" s="66" t="n">
        <v>106501.5807692308</v>
      </c>
      <c r="F14" s="67" t="n">
        <v>8891.92</v>
      </c>
      <c r="G14" s="68" t="n">
        <v>66</v>
      </c>
      <c r="H14" s="68" t="n">
        <v>9</v>
      </c>
      <c r="I14" s="68" t="n">
        <v>3</v>
      </c>
      <c r="J14" s="69" t="n">
        <v>3.5</v>
      </c>
      <c r="K14" s="69" t="inlineStr">
        <is>
          <t>https://amazon.com/dp/B0F6XYKXMH</t>
        </is>
      </c>
      <c r="L14" s="114">
        <f>HYPERLINK(Table4375[[#This Row],[Column1]])</f>
        <v/>
      </c>
    </row>
    <row r="15" ht="45" customHeight="1" s="314">
      <c r="A15" s="35" t="inlineStr">
        <is>
          <t>OTOFIX D1 PROS ECU Coding Diagnostic Scanner, Bi-Directional Scan Tool, 2 Years Updates, FCA Renault SGW, 5X AutoScan 2.0, 40+ Resets, CANFD DoIP, VAG Guided, All System Scan Tool, Upgraded of D1</t>
        </is>
      </c>
      <c r="B15" s="35" t="inlineStr">
        <is>
          <t>B0CFKRL7CN</t>
        </is>
      </c>
      <c r="C15" s="35" t="inlineStr">
        <is>
          <t>Tablet</t>
        </is>
      </c>
      <c r="D15" s="359" t="n">
        <v>1092.33</v>
      </c>
      <c r="E15" s="66" t="n">
        <v>64578.76384615384</v>
      </c>
      <c r="F15" s="67" t="n">
        <v>3276.99</v>
      </c>
      <c r="G15" s="68" t="n">
        <v>61</v>
      </c>
      <c r="H15" s="68" t="n">
        <v>3</v>
      </c>
      <c r="I15" s="68" t="n">
        <v>38</v>
      </c>
      <c r="J15" s="69" t="n">
        <v>4.6</v>
      </c>
      <c r="K15" s="69" t="inlineStr">
        <is>
          <t>https://amazon.com/dp/B0CFKRL7CN</t>
        </is>
      </c>
      <c r="L15" s="114">
        <f>HYPERLINK(Table4375[[#This Row],[Column1]])</f>
        <v/>
      </c>
    </row>
    <row r="16" ht="45" customHeight="1" s="314">
      <c r="A16" s="35" t="inlineStr">
        <is>
          <t>OTOFIX D1 Lite Bidirectional Automotive Scanner, All System Diagnostic Scan Tool for 99% Car with 2-Year Free Updates, Auto VIN, Active Test, DoIP/CAN FD, AutoAuth FCA SGW, Cloud Report Management</t>
        </is>
      </c>
      <c r="B16" s="35" t="inlineStr">
        <is>
          <t>B0DK7K7QFG</t>
        </is>
      </c>
      <c r="C16" s="35" t="inlineStr">
        <is>
          <t>Tablet</t>
        </is>
      </c>
      <c r="D16" s="359" t="n">
        <v>357.178</v>
      </c>
      <c r="E16" s="66" t="n">
        <v>17270.88692307692</v>
      </c>
      <c r="F16" s="67" t="n">
        <v>1785.89</v>
      </c>
      <c r="G16" s="68" t="n">
        <v>15</v>
      </c>
      <c r="H16" s="68" t="n">
        <v>5</v>
      </c>
      <c r="I16" s="68" t="n">
        <v>44</v>
      </c>
      <c r="J16" s="69" t="n">
        <v>4.1</v>
      </c>
      <c r="K16" s="69" t="inlineStr">
        <is>
          <t>https://amazon.com/dp/B0DK7K7QFG</t>
        </is>
      </c>
      <c r="L16" s="114">
        <f>HYPERLINK(Table4375[[#This Row],[Column1]])</f>
        <v/>
      </c>
    </row>
    <row r="17" ht="45" customHeight="1" s="314">
      <c r="A17" s="35" t="inlineStr">
        <is>
          <t>OTOFIX D1 PROS 2026 Bidirectional Scan Tool, 2 Years Free Update, ECU Coding, FCA SGW Access, 40+ Services, Active Test, VAG Guided Function, Auto Scan 2.0, CANFD &amp; DOIP, Advanced of D1 Lite</t>
        </is>
      </c>
      <c r="B17" s="35" t="inlineStr">
        <is>
          <t>B0D4QNWQYC</t>
        </is>
      </c>
      <c r="C17" s="35" t="inlineStr">
        <is>
          <t>Tablet</t>
        </is>
      </c>
      <c r="D17" s="359" t="n">
        <v>1182.88</v>
      </c>
      <c r="E17" s="66" t="n">
        <v>83420.78000000001</v>
      </c>
      <c r="F17" s="67" t="n">
        <v>1182.88</v>
      </c>
      <c r="G17" s="68" t="n">
        <v>84</v>
      </c>
      <c r="H17" s="68" t="n">
        <v>1</v>
      </c>
      <c r="I17" s="68" t="n">
        <v>27</v>
      </c>
      <c r="J17" s="69" t="n">
        <v>3.6</v>
      </c>
      <c r="K17" s="69" t="inlineStr">
        <is>
          <t>https://amazon.com/dp/B0D4QNWQYC</t>
        </is>
      </c>
      <c r="L17" s="114">
        <f>HYPERLINK(Table4375[[#This Row],[Column1]])</f>
        <v/>
      </c>
    </row>
    <row r="18" ht="17" customHeight="1" s="314">
      <c r="A18" s="35" t="inlineStr">
        <is>
          <t>OTOFIX D1 Professional Diagnostic Scan Tool, Orange</t>
        </is>
      </c>
      <c r="B18" s="35" t="inlineStr">
        <is>
          <t>B09BBNSTKB</t>
        </is>
      </c>
      <c r="C18" s="35" t="inlineStr">
        <is>
          <t>Tablet</t>
        </is>
      </c>
      <c r="D18" s="359" t="n">
        <v>716.67</v>
      </c>
      <c r="E18" s="66" t="n">
        <v>0</v>
      </c>
      <c r="F18" s="67" t="n">
        <v>0</v>
      </c>
      <c r="G18" s="68" t="n">
        <v>2</v>
      </c>
      <c r="H18" s="68" t="n">
        <v>0</v>
      </c>
      <c r="I18" s="68" t="n">
        <v>23</v>
      </c>
      <c r="J18" s="69" t="n">
        <v>4</v>
      </c>
      <c r="K18" s="69" t="inlineStr">
        <is>
          <t>https://amazon.com/dp/B09BBNSTKB</t>
        </is>
      </c>
      <c r="L18" s="114">
        <f>HYPERLINK(Table4375[[#This Row],[Column1]])</f>
        <v/>
      </c>
    </row>
    <row r="19" ht="17" customHeight="1" s="314">
      <c r="A19" s="41" t="inlineStr">
        <is>
          <t>Total</t>
        </is>
      </c>
      <c r="B19" s="41" t="n"/>
      <c r="C19" s="365" t="n"/>
      <c r="D19" s="365" t="n"/>
      <c r="E19" s="122">
        <f>SUM(E9:E18)</f>
        <v/>
      </c>
      <c r="F19" s="122">
        <f>SUM(F9:F18)</f>
        <v/>
      </c>
      <c r="G19" s="123" t="n"/>
      <c r="H19" s="123" t="n"/>
      <c r="I19" s="123" t="n"/>
      <c r="J19" s="128" t="n"/>
      <c r="K19" s="41" t="n"/>
      <c r="L19" s="40" t="n"/>
    </row>
    <row r="20">
      <c r="A20" s="35" t="n"/>
      <c r="B20" s="35" t="n"/>
      <c r="C20" s="359" t="n"/>
      <c r="D20" s="66" t="n"/>
      <c r="E20" s="66" t="n"/>
      <c r="F20" s="68" t="n"/>
      <c r="G20" s="68" t="n"/>
      <c r="H20" s="68" t="n"/>
      <c r="I20" s="69" t="n"/>
      <c r="J20" s="35" t="n"/>
    </row>
    <row r="21">
      <c r="A21" s="35" t="n"/>
      <c r="B21" s="35" t="n"/>
      <c r="C21" s="359" t="n"/>
      <c r="D21" s="66" t="n"/>
      <c r="E21" s="66" t="n"/>
      <c r="F21" s="68" t="n"/>
      <c r="G21" s="68" t="n"/>
      <c r="H21" s="68" t="n"/>
      <c r="I21" s="69" t="n"/>
      <c r="J21" s="35" t="n"/>
    </row>
    <row r="22">
      <c r="A22" s="307" t="inlineStr">
        <is>
          <t>Rank by Units</t>
        </is>
      </c>
    </row>
    <row r="23" ht="17" customHeight="1" s="314">
      <c r="A23" s="46" t="inlineStr">
        <is>
          <t>Product Name</t>
        </is>
      </c>
      <c r="B23" s="47" t="inlineStr">
        <is>
          <t>ASIN</t>
        </is>
      </c>
      <c r="C23" s="47" t="inlineStr">
        <is>
          <t>Type</t>
        </is>
      </c>
      <c r="D23" s="345" t="inlineStr">
        <is>
          <t>Avg Price</t>
        </is>
      </c>
      <c r="E23" s="49" t="inlineStr">
        <is>
          <t>Estimated 12mo Revenue</t>
        </is>
      </c>
      <c r="F23" s="47" t="inlineStr">
        <is>
          <t>Monthly Rev</t>
        </is>
      </c>
      <c r="G23" s="51" t="inlineStr">
        <is>
          <t>Estimated 12mo Units</t>
        </is>
      </c>
      <c r="H23" s="54" t="inlineStr">
        <is>
          <t>Monthly Units</t>
        </is>
      </c>
      <c r="I23" s="51" t="inlineStr">
        <is>
          <t># of Reviews</t>
        </is>
      </c>
      <c r="J23" s="52" t="inlineStr">
        <is>
          <t xml:space="preserve">Tool Rating </t>
        </is>
      </c>
      <c r="K23" s="52" t="inlineStr">
        <is>
          <t>Column1</t>
        </is>
      </c>
      <c r="L23" s="346" t="inlineStr">
        <is>
          <t>Link</t>
        </is>
      </c>
    </row>
    <row r="24" ht="45" customHeight="1" s="314">
      <c r="A24" s="35" t="inlineStr">
        <is>
          <t>OTOFIX D1 Lite Bidirectional Scan Tool with 2-Year Free Updates, 2026 New All System Automotive Diagnostic Scanner, 38+ Reset Services, FCA AutoAuth, Active Test, CANFD&amp;DOIP, Auto VIN</t>
        </is>
      </c>
      <c r="B24" s="35" t="inlineStr">
        <is>
          <t>B0CDNZC25K</t>
        </is>
      </c>
      <c r="C24" s="35" t="inlineStr">
        <is>
          <t>Tablet</t>
        </is>
      </c>
      <c r="D24" s="359" t="n">
        <v>389.2949466192171</v>
      </c>
      <c r="E24" s="66" t="n">
        <v>1563300.32</v>
      </c>
      <c r="F24" s="66" t="n">
        <v>109391.88</v>
      </c>
      <c r="G24" s="68" t="n">
        <v>4138</v>
      </c>
      <c r="H24" s="70" t="n">
        <v>281</v>
      </c>
      <c r="I24" s="68" t="n">
        <v>634</v>
      </c>
      <c r="J24" s="69" t="n">
        <v>4.5</v>
      </c>
      <c r="K24" s="69" t="inlineStr">
        <is>
          <t>https://amazon.com/dp/B0CDNZC25K</t>
        </is>
      </c>
      <c r="L24" s="114">
        <f>HYPERLINK(Table4476[[#This Row],[Column1]])</f>
        <v/>
      </c>
    </row>
    <row r="25" ht="45" customHeight="1" s="314">
      <c r="A25" s="35" t="inlineStr">
        <is>
          <t>OTOFIX D1 Lite 2026 Bidirectional Scan Tool, Bluetooth OBD2 Scanner Diagnostic Tool, 2 Years Free Update, 38+ Services, CANFD &amp; DoIP Protocols, All System Diagnoses, ABS Bleeding, Auto VIN</t>
        </is>
      </c>
      <c r="B25" s="35" t="inlineStr">
        <is>
          <t>B09TQG7PPN</t>
        </is>
      </c>
      <c r="C25" s="35" t="inlineStr">
        <is>
          <t>Tablet</t>
        </is>
      </c>
      <c r="D25" s="359" t="n">
        <v>361.8734630350194</v>
      </c>
      <c r="E25" s="66" t="n">
        <v>1240747.07</v>
      </c>
      <c r="F25" s="66" t="n">
        <v>93001.48</v>
      </c>
      <c r="G25" s="68" t="n">
        <v>3153</v>
      </c>
      <c r="H25" s="70" t="n">
        <v>257</v>
      </c>
      <c r="I25" s="68" t="n">
        <v>509</v>
      </c>
      <c r="J25" s="69" t="n">
        <v>4.4</v>
      </c>
      <c r="K25" s="69" t="inlineStr">
        <is>
          <t>https://amazon.com/dp/B09TQG7PPN</t>
        </is>
      </c>
      <c r="L25" s="114">
        <f>HYPERLINK(Table4476[[#This Row],[Column1]])</f>
        <v/>
      </c>
    </row>
    <row r="26" ht="45" customHeight="1" s="314">
      <c r="A26" s="35" t="inlineStr">
        <is>
          <t>OTOFIX D1 Lite 2026 Bidirectional Scan Tool, 2 Years Free Update, 38+ Services, All System Diagnostic Scanner, Active Tests, AutoAuth FCA SGW, AutoVIN, CAN FD &amp; DoIP, 99% Car Coverage</t>
        </is>
      </c>
      <c r="B26" s="35" t="inlineStr">
        <is>
          <t>B0C14R2B19</t>
        </is>
      </c>
      <c r="C26" s="35" t="inlineStr">
        <is>
          <t>Tablet</t>
        </is>
      </c>
      <c r="D26" s="359" t="n">
        <v>393.5433333333334</v>
      </c>
      <c r="E26" s="66" t="n">
        <v>503536.44</v>
      </c>
      <c r="F26" s="66" t="n">
        <v>24793.23</v>
      </c>
      <c r="G26" s="68" t="n">
        <v>1387</v>
      </c>
      <c r="H26" s="70" t="n">
        <v>63</v>
      </c>
      <c r="I26" s="68" t="n">
        <v>103</v>
      </c>
      <c r="J26" s="69" t="n">
        <v>4.4</v>
      </c>
      <c r="K26" s="69" t="inlineStr">
        <is>
          <t>https://amazon.com/dp/B0C14R2B19</t>
        </is>
      </c>
      <c r="L26" s="114">
        <f>HYPERLINK(Table4476[[#This Row],[Column1]])</f>
        <v/>
      </c>
    </row>
    <row r="27" ht="45" customHeight="1" s="314">
      <c r="A27" s="35" t="inlineStr">
        <is>
          <t>OTOFIX D1 ECU Coding Diagnostic Scanner for Car, 2-Year Free Update,2026 Bi-Directional Scan Tool with All Systems Diagnosis,40+ Resets, FCA AutoAuth, CAN FD &amp; DoIP, Upgraded of D1 Lite</t>
        </is>
      </c>
      <c r="B27" s="35" t="inlineStr">
        <is>
          <t>B0CDNYB274</t>
        </is>
      </c>
      <c r="C27" s="35" t="inlineStr">
        <is>
          <t>Tablet</t>
        </is>
      </c>
      <c r="D27" s="359" t="n">
        <v>573.7826923076923</v>
      </c>
      <c r="E27" s="66" t="n">
        <v>402581.2499999999</v>
      </c>
      <c r="F27" s="66" t="n">
        <v>29836.7</v>
      </c>
      <c r="G27" s="68" t="n">
        <v>696</v>
      </c>
      <c r="H27" s="70" t="n">
        <v>52</v>
      </c>
      <c r="I27" s="68" t="n">
        <v>147</v>
      </c>
      <c r="J27" s="69" t="n">
        <v>4.3</v>
      </c>
      <c r="K27" s="69" t="inlineStr">
        <is>
          <t>https://amazon.com/dp/B0CDNYB274</t>
        </is>
      </c>
      <c r="L27" s="114">
        <f>HYPERLINK(Table4476[[#This Row],[Column1]])</f>
        <v/>
      </c>
    </row>
    <row r="28" ht="45" customHeight="1" s="314">
      <c r="A28" s="35" t="inlineStr">
        <is>
          <t>OTOFIX D1 Max2 OE Full System Diagnostics Scanner with 2-Years Free Update, 2026 New Bi-Directional Scan Tool for Car, 40+ Service Functions, Advanced ECU Coding, 10000+ Car Coverage, V.A.G Guided</t>
        </is>
      </c>
      <c r="B28" s="35" t="inlineStr">
        <is>
          <t>B0CGL8Q9YF</t>
        </is>
      </c>
      <c r="C28" s="35" t="inlineStr">
        <is>
          <t>Tablet</t>
        </is>
      </c>
      <c r="D28" s="359" t="n">
        <v>1076.412</v>
      </c>
      <c r="E28" s="66" t="n">
        <v>235277.42</v>
      </c>
      <c r="F28" s="66" t="n">
        <v>10764.12</v>
      </c>
      <c r="G28" s="68" t="n">
        <v>213</v>
      </c>
      <c r="H28" s="70" t="n">
        <v>10</v>
      </c>
      <c r="I28" s="68" t="n">
        <v>37</v>
      </c>
      <c r="J28" s="69" t="n">
        <v>4.2</v>
      </c>
      <c r="K28" s="69" t="inlineStr">
        <is>
          <t>https://amazon.com/dp/B0CGL8Q9YF</t>
        </is>
      </c>
      <c r="L28" s="114">
        <f>HYPERLINK(Table4476[[#This Row],[Column1]])</f>
        <v/>
      </c>
    </row>
    <row r="29" ht="45" customHeight="1" s="314">
      <c r="A29" s="35" t="inlineStr">
        <is>
          <t>OTOFIX Diagnostics Scanner IM/M0 Expert IM1 Programming Scan Tool for Car, OE Level OBD2 Scanner with XP1 Progammer, Support DoIP &amp; CAN-FD, Auto VIN &amp; Auto Scan, 2 Years Free Update(Value for $398)</t>
        </is>
      </c>
      <c r="B29" s="35" t="inlineStr">
        <is>
          <t>B0F6XYKXMH</t>
        </is>
      </c>
      <c r="C29" s="35" t="inlineStr">
        <is>
          <t>Tablet</t>
        </is>
      </c>
      <c r="D29" s="359" t="n">
        <v>987.9911111111112</v>
      </c>
      <c r="E29" s="66" t="n">
        <v>106501.5807692308</v>
      </c>
      <c r="F29" s="66" t="n">
        <v>8891.92</v>
      </c>
      <c r="G29" s="68" t="n">
        <v>66</v>
      </c>
      <c r="H29" s="70" t="n">
        <v>9</v>
      </c>
      <c r="I29" s="68" t="n">
        <v>3</v>
      </c>
      <c r="J29" s="69" t="n">
        <v>3.5</v>
      </c>
      <c r="K29" s="69" t="inlineStr">
        <is>
          <t>https://amazon.com/dp/B0F6XYKXMH</t>
        </is>
      </c>
      <c r="L29" s="114">
        <f>HYPERLINK(Table4476[[#This Row],[Column1]])</f>
        <v/>
      </c>
    </row>
    <row r="30" ht="45" customHeight="1" s="314">
      <c r="A30" s="35" t="inlineStr">
        <is>
          <t>OTOFIX D1 Lite Bidirectional Automotive Scanner, All System Diagnostic Scan Tool for 99% Car with 2-Year Free Updates, Auto VIN, Active Test, DoIP/CAN FD, AutoAuth FCA SGW, Cloud Report Management</t>
        </is>
      </c>
      <c r="B30" s="35" t="inlineStr">
        <is>
          <t>B0DK7K7QFG</t>
        </is>
      </c>
      <c r="C30" s="35" t="inlineStr">
        <is>
          <t>Tablet</t>
        </is>
      </c>
      <c r="D30" s="359" t="n">
        <v>357.178</v>
      </c>
      <c r="E30" s="66" t="n">
        <v>17270.88692307692</v>
      </c>
      <c r="F30" s="66" t="n">
        <v>1785.89</v>
      </c>
      <c r="G30" s="68" t="n">
        <v>15</v>
      </c>
      <c r="H30" s="70" t="n">
        <v>5</v>
      </c>
      <c r="I30" s="68" t="n">
        <v>44</v>
      </c>
      <c r="J30" s="69" t="n">
        <v>4.1</v>
      </c>
      <c r="K30" s="69" t="inlineStr">
        <is>
          <t>https://amazon.com/dp/B0DK7K7QFG</t>
        </is>
      </c>
      <c r="L30" s="114">
        <f>HYPERLINK(Table4476[[#This Row],[Column1]])</f>
        <v/>
      </c>
    </row>
    <row r="31" ht="45" customHeight="1" s="314">
      <c r="A31" s="35" t="inlineStr">
        <is>
          <t>OTOFIX D1 PROS ECU Coding Diagnostic Scanner, Bi-Directional Scan Tool, 2 Years Updates, FCA Renault SGW, 5X AutoScan 2.0, 40+ Resets, CANFD DoIP, VAG Guided, All System Scan Tool, Upgraded of D1</t>
        </is>
      </c>
      <c r="B31" s="35" t="inlineStr">
        <is>
          <t>B0CFKRL7CN</t>
        </is>
      </c>
      <c r="C31" s="35" t="inlineStr">
        <is>
          <t>Tablet</t>
        </is>
      </c>
      <c r="D31" s="359" t="n">
        <v>1092.33</v>
      </c>
      <c r="E31" s="66" t="n">
        <v>64578.76384615384</v>
      </c>
      <c r="F31" s="66" t="n">
        <v>3276.99</v>
      </c>
      <c r="G31" s="68" t="n">
        <v>61</v>
      </c>
      <c r="H31" s="70" t="n">
        <v>3</v>
      </c>
      <c r="I31" s="68" t="n">
        <v>38</v>
      </c>
      <c r="J31" s="69" t="n">
        <v>4.6</v>
      </c>
      <c r="K31" s="69" t="inlineStr">
        <is>
          <t>https://amazon.com/dp/B0CFKRL7CN</t>
        </is>
      </c>
      <c r="L31" s="114">
        <f>HYPERLINK(Table4476[[#This Row],[Column1]])</f>
        <v/>
      </c>
    </row>
    <row r="32" ht="45" customHeight="1" s="314">
      <c r="A32" s="35" t="inlineStr">
        <is>
          <t>OTOFIX D1 PROS 2026 Bidirectional Scan Tool, 2 Years Free Update, ECU Coding, FCA SGW Access, 40+ Services, Active Test, VAG Guided Function, Auto Scan 2.0, CANFD &amp; DOIP, Advanced of D1 Lite</t>
        </is>
      </c>
      <c r="B32" s="35" t="inlineStr">
        <is>
          <t>B0D4QNWQYC</t>
        </is>
      </c>
      <c r="C32" s="35" t="inlineStr">
        <is>
          <t>Tablet</t>
        </is>
      </c>
      <c r="D32" s="359" t="n">
        <v>1182.88</v>
      </c>
      <c r="E32" s="66" t="n">
        <v>83420.78000000001</v>
      </c>
      <c r="F32" s="66" t="n">
        <v>1182.88</v>
      </c>
      <c r="G32" s="68" t="n">
        <v>84</v>
      </c>
      <c r="H32" s="70" t="n">
        <v>1</v>
      </c>
      <c r="I32" s="68" t="n">
        <v>27</v>
      </c>
      <c r="J32" s="69" t="n">
        <v>3.6</v>
      </c>
      <c r="K32" s="69" t="inlineStr">
        <is>
          <t>https://amazon.com/dp/B0D4QNWQYC</t>
        </is>
      </c>
      <c r="L32" s="114">
        <f>HYPERLINK(Table4476[[#This Row],[Column1]])</f>
        <v/>
      </c>
    </row>
    <row r="33" ht="17" customHeight="1" s="314">
      <c r="A33" s="35" t="inlineStr">
        <is>
          <t>OTOFIX D1 Professional Diagnostic Scan Tool, Orange</t>
        </is>
      </c>
      <c r="B33" s="35" t="inlineStr">
        <is>
          <t>B09BBNSTKB</t>
        </is>
      </c>
      <c r="C33" s="35" t="inlineStr">
        <is>
          <t>Tablet</t>
        </is>
      </c>
      <c r="D33" s="359" t="n">
        <v>716.67</v>
      </c>
      <c r="E33" s="66" t="n">
        <v>0</v>
      </c>
      <c r="F33" s="66" t="n">
        <v>0</v>
      </c>
      <c r="G33" s="68" t="n">
        <v>2</v>
      </c>
      <c r="H33" s="70" t="n">
        <v>0</v>
      </c>
      <c r="I33" s="68" t="n">
        <v>23</v>
      </c>
      <c r="J33" s="69" t="n">
        <v>4</v>
      </c>
      <c r="K33" s="69" t="inlineStr">
        <is>
          <t>https://amazon.com/dp/B09BBNSTKB</t>
        </is>
      </c>
      <c r="L33" s="114">
        <f>HYPERLINK(Table4476[[#This Row],[Column1]])</f>
        <v/>
      </c>
    </row>
    <row r="34" ht="17" customHeight="1" s="314">
      <c r="A34" s="41" t="inlineStr">
        <is>
          <t>Total</t>
        </is>
      </c>
      <c r="B34" s="41" t="n"/>
      <c r="C34" s="365" t="n"/>
      <c r="D34" s="122" t="n"/>
      <c r="E34" s="122" t="n"/>
      <c r="F34" s="122" t="n"/>
      <c r="G34" s="123">
        <f>SUM(G24:G33)</f>
        <v/>
      </c>
      <c r="H34" s="123">
        <f>SUM(H24:H33)</f>
        <v/>
      </c>
      <c r="I34" s="123" t="n"/>
      <c r="J34" s="128" t="n"/>
      <c r="K34" s="114" t="n"/>
    </row>
  </sheetData>
  <mergeCells count="3">
    <mergeCell ref="A1:L5"/>
    <mergeCell ref="A22:L22"/>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3.xml><?xml version="1.0" encoding="utf-8"?>
<worksheet xmlns="http://schemas.openxmlformats.org/spreadsheetml/2006/main">
  <sheetPr codeName="Sheet16">
    <outlinePr summaryBelow="1" summaryRight="1"/>
    <pageSetUpPr/>
  </sheetPr>
  <dimension ref="A1:L58"/>
  <sheetViews>
    <sheetView zoomScaleNormal="100" workbookViewId="0">
      <selection activeCell="H21" sqref="H21"/>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33203125" customWidth="1" style="308" min="11" max="11"/>
    <col width="35.6640625" customWidth="1" style="308" min="12" max="12"/>
    <col width="12.6640625" customWidth="1" style="308" min="13" max="16384"/>
  </cols>
  <sheetData>
    <row r="1">
      <c r="A1" s="317" t="inlineStr">
        <is>
          <t>Thinkcar Monthly Summary</t>
        </is>
      </c>
    </row>
    <row r="2"/>
    <row r="3"/>
    <row r="4"/>
    <row r="5"/>
    <row r="6">
      <c r="B6" s="60" t="n"/>
      <c r="C6" s="366" t="n"/>
      <c r="E6" s="60" t="n"/>
      <c r="F6" s="62" t="n"/>
      <c r="G6" s="62" t="n"/>
      <c r="H6" s="62" t="n"/>
      <c r="I6" s="63" t="n"/>
      <c r="J6" s="60"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THINKCAR Bidirectional Scan Tool, THINKSCAN 689BT All System Automotive Diagnostic Tool, Bi Directional OBD2 Scanner with ECU Coding, 34 Services, FCA Autoauth, CANFD and DoIP, Wireless Update</t>
        </is>
      </c>
      <c r="B9" s="35" t="inlineStr">
        <is>
          <t>B0DCFRF2TF</t>
        </is>
      </c>
      <c r="C9" s="35" t="inlineStr">
        <is>
          <t>Tablet</t>
        </is>
      </c>
      <c r="D9" s="359" t="n">
        <v>536.3024100156495</v>
      </c>
      <c r="E9" s="66" t="n">
        <v>4380593.21</v>
      </c>
      <c r="F9" s="67" t="n">
        <v>342697.24</v>
      </c>
      <c r="G9" s="68" t="n">
        <v>7742</v>
      </c>
      <c r="H9" s="68" t="n">
        <v>639</v>
      </c>
      <c r="I9" s="68" t="n">
        <v>574</v>
      </c>
      <c r="J9" s="69" t="n">
        <v>4.5</v>
      </c>
      <c r="K9" s="69" t="inlineStr">
        <is>
          <t>https://amazon.com/dp/B0DCFRF2TF</t>
        </is>
      </c>
      <c r="L9" s="114">
        <f>HYPERLINK(Table467478[[#This Row],[Column1]])</f>
        <v/>
      </c>
    </row>
    <row r="10" ht="45" customHeight="1" s="314">
      <c r="A10" s="35" t="inlineStr">
        <is>
          <t>THINKCAR THINKSCAN 689 OBD2 Scanner, Bidirectional Scan Tool with Lifetime Free Update, 34+ Reset, 3000+ Active Test, ECU Coding, PMI, Wired All System Diagnostic Scanner for Cars, CANFD/DOIP, FCA SGW</t>
        </is>
      </c>
      <c r="B10" s="35" t="inlineStr">
        <is>
          <t>B0DCFF7VGF</t>
        </is>
      </c>
      <c r="C10" s="35" t="inlineStr">
        <is>
          <t>Tablet</t>
        </is>
      </c>
      <c r="D10" s="359" t="n">
        <v>438.63075</v>
      </c>
      <c r="E10" s="66" t="n">
        <v>2103757.810769231</v>
      </c>
      <c r="F10" s="67" t="n">
        <v>140361.84</v>
      </c>
      <c r="G10" s="68" t="n">
        <v>4059</v>
      </c>
      <c r="H10" s="68" t="n">
        <v>320</v>
      </c>
      <c r="I10" s="68" t="n">
        <v>281</v>
      </c>
      <c r="J10" s="69" t="n">
        <v>4.3</v>
      </c>
      <c r="K10" s="69" t="inlineStr">
        <is>
          <t>https://amazon.com/dp/B0DCFF7VGF</t>
        </is>
      </c>
      <c r="L10" s="114">
        <f>HYPERLINK(Table467478[[#This Row],[Column1]])</f>
        <v/>
      </c>
    </row>
    <row r="11" ht="45" customHeight="1" s="314">
      <c r="A11" s="35" t="inlineStr">
        <is>
          <t>THINKCAR THINKSCAN 662 OBD2 Scanner,Car Diagnostic Tool with Bidirectional Active Test,Car Scanner Engine ABS SRS Transmission,Scanner for Car with 12 Reset,CAN FD &amp; FCA SGW,Lifetime Free Update</t>
        </is>
      </c>
      <c r="B11" s="35" t="inlineStr">
        <is>
          <t>B0FB8H2339</t>
        </is>
      </c>
      <c r="C11" s="35" t="inlineStr">
        <is>
          <t>Tablet</t>
        </is>
      </c>
      <c r="D11" s="359" t="n">
        <v>211.8443462246777</v>
      </c>
      <c r="E11" s="66" t="n">
        <v>1056017.498461538</v>
      </c>
      <c r="F11" s="67" t="n">
        <v>115031.48</v>
      </c>
      <c r="G11" s="68" t="n">
        <v>2853</v>
      </c>
      <c r="H11" s="68" t="n">
        <v>543</v>
      </c>
      <c r="I11" s="68" t="n">
        <v>238</v>
      </c>
      <c r="J11" s="69" t="n">
        <v>4.2</v>
      </c>
      <c r="K11" s="69" t="inlineStr">
        <is>
          <t>https://amazon.com/dp/B0FB8H2339</t>
        </is>
      </c>
      <c r="L11" s="114">
        <f>HYPERLINK(Table467478[[#This Row],[Column1]])</f>
        <v/>
      </c>
    </row>
    <row r="12" ht="45" customHeight="1" s="314">
      <c r="A12" s="35" t="inlineStr">
        <is>
          <t>Thinkdiag2 All System Bidirectional OBD2 Diagnostic Scanner for iOS &amp; Android, THINKCAR Bluetooth Scan Tool with CAN-FD Protocol, 15+ Reset Functions, ECU Code, Active Test, AutoVIN, 1 Year Update</t>
        </is>
      </c>
      <c r="B12" s="35" t="inlineStr">
        <is>
          <t>B09YRDGY3Z</t>
        </is>
      </c>
      <c r="C12" s="35" t="inlineStr">
        <is>
          <t>Handheld</t>
        </is>
      </c>
      <c r="D12" s="359" t="n">
        <v>153.39125</v>
      </c>
      <c r="E12" s="66" t="n">
        <v>1130521.46</v>
      </c>
      <c r="F12" s="67" t="n">
        <v>88353.36</v>
      </c>
      <c r="G12" s="68" t="n">
        <v>7465</v>
      </c>
      <c r="H12" s="68" t="n">
        <v>576</v>
      </c>
      <c r="I12" s="68" t="n">
        <v>1391</v>
      </c>
      <c r="J12" s="69" t="n">
        <v>4.3</v>
      </c>
      <c r="K12" s="69" t="inlineStr">
        <is>
          <t>https://amazon.com/dp/B09YRDGY3Z</t>
        </is>
      </c>
      <c r="L12" s="114">
        <f>HYPERLINK(Table467478[[#This Row],[Column1]])</f>
        <v/>
      </c>
    </row>
    <row r="13" ht="45" customHeight="1" s="314">
      <c r="A13" s="35" t="inlineStr">
        <is>
          <t>THINKCAR Bidirectional Scan Tool, Thinkscan 672 All System OBD2 Scanner Diagnostic Tool, 28 Reset,Scanner for Car with Active Test, FCA Autoauth,CANFD, Free Lifetime Upgrade,Automotive Diagnostic Tool</t>
        </is>
      </c>
      <c r="B13" s="35" t="inlineStr">
        <is>
          <t>B0DF55W14J</t>
        </is>
      </c>
      <c r="C13" s="35" t="inlineStr">
        <is>
          <t>Tablet</t>
        </is>
      </c>
      <c r="D13" s="359" t="n">
        <v>302.4104022988506</v>
      </c>
      <c r="E13" s="66" t="n">
        <v>598271.3730769231</v>
      </c>
      <c r="F13" s="67" t="n">
        <v>52619.41</v>
      </c>
      <c r="G13" s="68" t="n">
        <v>1687</v>
      </c>
      <c r="H13" s="68" t="n">
        <v>174</v>
      </c>
      <c r="I13" s="68" t="n">
        <v>178</v>
      </c>
      <c r="J13" s="69" t="n">
        <v>4.3</v>
      </c>
      <c r="K13" s="69" t="inlineStr">
        <is>
          <t>https://amazon.com/dp/B0DF55W14J</t>
        </is>
      </c>
      <c r="L13" s="114">
        <f>HYPERLINK(Table467478[[#This Row],[Column1]])</f>
        <v/>
      </c>
    </row>
    <row r="14" ht="60" customHeight="1" s="314">
      <c r="A14" s="35" t="inlineStr">
        <is>
          <t>Thinkdiag OBD2 Scanner Bluetooth Full System Bidirectional Diagnostic Scan Tool OE Level Code Reader with ECU Function 15+ Reset Service FCA AutoAuth All Software 1 Year Update Fits for iOS &amp; Android</t>
        </is>
      </c>
      <c r="B14" s="35" t="inlineStr">
        <is>
          <t>B08YWTJY4F</t>
        </is>
      </c>
      <c r="C14" s="35" t="inlineStr">
        <is>
          <t>Dongle</t>
        </is>
      </c>
      <c r="D14" s="359" t="n">
        <v>103.2051100244499</v>
      </c>
      <c r="E14" s="66" t="n">
        <v>585488.73</v>
      </c>
      <c r="F14" s="67" t="n">
        <v>42210.89</v>
      </c>
      <c r="G14" s="68" t="n">
        <v>5240</v>
      </c>
      <c r="H14" s="68" t="n">
        <v>409</v>
      </c>
      <c r="I14" s="68" t="n">
        <v>1986</v>
      </c>
      <c r="J14" s="69" t="n">
        <v>4.1</v>
      </c>
      <c r="K14" s="69" t="inlineStr">
        <is>
          <t>https://amazon.com/dp/B08YWTJY4F</t>
        </is>
      </c>
      <c r="L14" s="114">
        <f>HYPERLINK(Table467478[[#This Row],[Column1]])</f>
        <v/>
      </c>
    </row>
    <row r="15" ht="45" customHeight="1" s="314">
      <c r="A15" s="35" t="inlineStr">
        <is>
          <t>THINKCAR OBD2 Scanner Diagnostic Tool Lifetime Free, ThinkScan 689 Car Scan Tool with 34 Reset Function,Scanner for Car with 3000+ Active Test,Advanced ECU Coding BI-Directional,Autoauth for FCA SGW</t>
        </is>
      </c>
      <c r="B15" s="35" t="inlineStr">
        <is>
          <t>B0F4XRV4D5</t>
        </is>
      </c>
      <c r="C15" s="35" t="inlineStr">
        <is>
          <t>Tablet</t>
        </is>
      </c>
      <c r="D15" s="359" t="n">
        <v>418.130350877193</v>
      </c>
      <c r="E15" s="66" t="n">
        <v>497406.2284615386</v>
      </c>
      <c r="F15" s="67" t="n">
        <v>23833.43</v>
      </c>
      <c r="G15" s="68" t="n">
        <v>1043</v>
      </c>
      <c r="H15" s="68" t="n">
        <v>57</v>
      </c>
      <c r="I15" s="68" t="n">
        <v>98</v>
      </c>
      <c r="J15" s="69" t="n">
        <v>4.2</v>
      </c>
      <c r="K15" s="69" t="inlineStr">
        <is>
          <t>https://amazon.com/dp/B0F4XRV4D5</t>
        </is>
      </c>
      <c r="L15" s="114">
        <f>HYPERLINK(Table467478[[#This Row],[Column1]])</f>
        <v/>
      </c>
    </row>
    <row r="16" ht="60" customHeight="1" s="314">
      <c r="A16" s="35" t="inlineStr">
        <is>
          <t>THINKSCAN 689BT Bidirectional OBD2 Scanner with Endoscope Camera,3000+ Active Tests,All System, 34 Services,FCA Autoauth, CANFD and DoIP,Lifetime Free Update</t>
        </is>
      </c>
      <c r="B16" s="35" t="inlineStr">
        <is>
          <t>B0GKFWWZKX</t>
        </is>
      </c>
      <c r="C16" s="35" t="inlineStr">
        <is>
          <t>Tablet</t>
        </is>
      </c>
      <c r="D16" s="359" t="n">
        <v>686.1721428571428</v>
      </c>
      <c r="E16" s="66" t="n">
        <v>110648.1392307692</v>
      </c>
      <c r="F16" s="67" t="n">
        <v>9606.41</v>
      </c>
      <c r="G16" s="68" t="n">
        <v>19</v>
      </c>
      <c r="H16" s="68" t="n">
        <v>14</v>
      </c>
      <c r="I16" s="68" t="n">
        <v>1</v>
      </c>
      <c r="J16" s="69" t="n">
        <v>5</v>
      </c>
      <c r="K16" s="69" t="inlineStr">
        <is>
          <t>https://amazon.com/dp/B0GKFWWZKX</t>
        </is>
      </c>
      <c r="L16" s="114">
        <f>HYPERLINK(Table467478[[#This Row],[Column1]])</f>
        <v/>
      </c>
    </row>
    <row r="17" ht="45" customHeight="1" s="314">
      <c r="A17" s="35" t="inlineStr">
        <is>
          <t>THINKSCAN 689BT TPMS Combos, Professional OBD2 Scanner Diagnostic Tool with TPMS, Activate/Read/Learn Sensor Tool with VENU iPro, Programming Sensors(Pack in 315/433MHz VENU5) Only</t>
        </is>
      </c>
      <c r="B17" s="35" t="inlineStr">
        <is>
          <t>B0GKG7MBF9</t>
        </is>
      </c>
      <c r="C17" s="35" t="inlineStr">
        <is>
          <t>Handheld</t>
        </is>
      </c>
      <c r="D17" s="359" t="n">
        <v>756.5972727272728</v>
      </c>
      <c r="E17" s="66" t="n">
        <v>92828.66538461536</v>
      </c>
      <c r="F17" s="67" t="n">
        <v>8322.57</v>
      </c>
      <c r="G17" s="68" t="n">
        <v>11</v>
      </c>
      <c r="H17" s="68" t="n">
        <v>11</v>
      </c>
      <c r="I17" s="68" t="n">
        <v>4</v>
      </c>
      <c r="J17" s="69" t="n">
        <v>5</v>
      </c>
      <c r="K17" s="69" t="inlineStr">
        <is>
          <t>https://amazon.com/dp/B0GKG7MBF9</t>
        </is>
      </c>
      <c r="L17" s="114">
        <f>HYPERLINK(Table467478[[#This Row],[Column1]])</f>
        <v/>
      </c>
    </row>
    <row r="18" ht="45" customHeight="1" s="314">
      <c r="A18" s="35" t="inlineStr">
        <is>
          <t>OBD2 Scanner,THINKCAR 641 Wireless Car Scanner Diagnostic Tool,Auto Scan Tool ABS/SRS/Transmission/Engine,2026 10 Resets Code Reader for Cars and Trucks,CANFD &amp; FCA,VIA Bluetooth,Lifetime Free Update</t>
        </is>
      </c>
      <c r="B18" s="35" t="inlineStr">
        <is>
          <t>B0CKHPJD9F</t>
        </is>
      </c>
      <c r="C18" s="35" t="inlineStr">
        <is>
          <t>Tablet</t>
        </is>
      </c>
      <c r="D18" s="359" t="n">
        <v>201.5894736842105</v>
      </c>
      <c r="E18" s="66" t="n">
        <v>43134.59307692307</v>
      </c>
      <c r="F18" s="67" t="n">
        <v>3830.2</v>
      </c>
      <c r="G18" s="68" t="n">
        <v>59</v>
      </c>
      <c r="H18" s="68" t="n">
        <v>19</v>
      </c>
      <c r="I18" s="68" t="n">
        <v>22</v>
      </c>
      <c r="J18" s="69" t="n">
        <v>4.5</v>
      </c>
      <c r="K18" s="69" t="inlineStr">
        <is>
          <t>https://amazon.com/dp/B0CKHPJD9F</t>
        </is>
      </c>
      <c r="L18" s="114">
        <f>HYPERLINK(Table467478[[#This Row],[Column1]])</f>
        <v/>
      </c>
    </row>
    <row r="19" ht="45" customHeight="1" s="314">
      <c r="A19" s="35" t="inlineStr">
        <is>
          <t>THINKCAR Thinkdiag Mini Bluetooth OBD2 Scanner Diagnostic Tool, OE Full-System Car Scanner for iOS &amp; Android, Check Engine Light Fault Code Reader Scan Tool for Vehicles</t>
        </is>
      </c>
      <c r="B19" s="35" t="inlineStr">
        <is>
          <t>B0CLLL9XF9</t>
        </is>
      </c>
      <c r="C19" s="35" t="inlineStr">
        <is>
          <t>Dongle</t>
        </is>
      </c>
      <c r="D19" s="359" t="n">
        <v>59.8735593220339</v>
      </c>
      <c r="E19" s="66" t="n">
        <v>89300.28</v>
      </c>
      <c r="F19" s="67" t="n">
        <v>3532.54</v>
      </c>
      <c r="G19" s="68" t="n">
        <v>1531</v>
      </c>
      <c r="H19" s="68" t="n">
        <v>59</v>
      </c>
      <c r="I19" s="68" t="n">
        <v>195</v>
      </c>
      <c r="J19" s="69" t="n">
        <v>4.2</v>
      </c>
      <c r="K19" s="69" t="inlineStr">
        <is>
          <t>https://amazon.com/dp/B0CLLL9XF9</t>
        </is>
      </c>
      <c r="L19" s="114">
        <f>HYPERLINK(Table467478[[#This Row],[Column1]])</f>
        <v/>
      </c>
    </row>
    <row r="20" ht="45" customHeight="1" s="314">
      <c r="A20" s="35" t="inlineStr">
        <is>
          <t>Thinkcar OBD2 Scanner Wireless 2026 Thinkscan Max2 Lifetime Upgrade Diagnostic Scan Tool with CAN-FD, FCA AutoAuth, All System Diagnosis, 28+ Resets, No Subscriptions, ABS Bleed/Crankshaft Relearn</t>
        </is>
      </c>
      <c r="B20" s="35" t="inlineStr">
        <is>
          <t>B09YRFC12R</t>
        </is>
      </c>
      <c r="C20" s="35" t="inlineStr">
        <is>
          <t>Tablet</t>
        </is>
      </c>
      <c r="D20" s="359" t="n">
        <v>389.05</v>
      </c>
      <c r="E20" s="66" t="n">
        <v>62760.11</v>
      </c>
      <c r="F20" s="67" t="n">
        <v>3112.4</v>
      </c>
      <c r="G20" s="68" t="n">
        <v>153</v>
      </c>
      <c r="H20" s="68" t="n">
        <v>8</v>
      </c>
      <c r="I20" s="68" t="n">
        <v>110</v>
      </c>
      <c r="J20" s="69" t="n">
        <v>4.1</v>
      </c>
      <c r="K20" s="69" t="inlineStr">
        <is>
          <t>https://amazon.com/dp/B09YRFC12R</t>
        </is>
      </c>
      <c r="L20" s="114">
        <f>HYPERLINK(Table467478[[#This Row],[Column1]])</f>
        <v/>
      </c>
    </row>
    <row r="21" ht="45" customHeight="1" s="314">
      <c r="A21" s="35" t="inlineStr">
        <is>
          <t>THINKCAR OBD2 Scanner, ThinkScan Plus S7 ABS,SRS,ECM,TCM,BCM,AC,IC System Diagnostic Scan Tool with 5 Special Services Options, Cover 94 Car Brands Code Reader, FCA AutoAuth, Wireless Update</t>
        </is>
      </c>
      <c r="B21" s="35" t="inlineStr">
        <is>
          <t>B0B5D6M3HN</t>
        </is>
      </c>
      <c r="C21" s="35" t="inlineStr">
        <is>
          <t>Tablet</t>
        </is>
      </c>
      <c r="D21" s="359" t="n">
        <v>213.87</v>
      </c>
      <c r="E21" s="66" t="n">
        <v>158371.0861538462</v>
      </c>
      <c r="F21" s="67" t="n">
        <v>2352.57</v>
      </c>
      <c r="G21" s="68" t="n">
        <v>766</v>
      </c>
      <c r="H21" s="68" t="n">
        <v>11</v>
      </c>
      <c r="I21" s="68" t="n">
        <v>142</v>
      </c>
      <c r="J21" s="69" t="n">
        <v>4.3</v>
      </c>
      <c r="K21" s="69" t="inlineStr">
        <is>
          <t>https://amazon.com/dp/B0B5D6M3HN</t>
        </is>
      </c>
      <c r="L21" s="114">
        <f>HYPERLINK(Table467478[[#This Row],[Column1]])</f>
        <v/>
      </c>
    </row>
    <row r="22" ht="45" customHeight="1" s="314">
      <c r="A22" s="35" t="inlineStr">
        <is>
          <t>THINKCAR THINKDIAG BD6 OBD2 Scanner Bluetooth,Wireless All System Code Reader Diagnostic Tool for iOS &amp; Android,5+ Hot Reset Bluetooth OBD2 Scanner for Car Check Engine Light, Lifetime Free Update</t>
        </is>
      </c>
      <c r="B22" s="35" t="inlineStr">
        <is>
          <t>B0GF75CYGT</t>
        </is>
      </c>
      <c r="C22" s="35" t="inlineStr">
        <is>
          <t>Handheld</t>
        </is>
      </c>
      <c r="D22" s="359" t="n">
        <v>72.14451612903225</v>
      </c>
      <c r="E22" s="66" t="n">
        <v>23690.31076923077</v>
      </c>
      <c r="F22" s="67" t="n">
        <v>2236.48</v>
      </c>
      <c r="G22" s="68" t="n">
        <v>41</v>
      </c>
      <c r="H22" s="68" t="n">
        <v>31</v>
      </c>
      <c r="I22" s="68" t="n">
        <v>58</v>
      </c>
      <c r="J22" s="69" t="n">
        <v>4.1</v>
      </c>
      <c r="K22" s="69" t="inlineStr">
        <is>
          <t>https://amazon.com/dp/B0GF75CYGT</t>
        </is>
      </c>
      <c r="L22" s="114">
        <f>HYPERLINK(Table467478[[#This Row],[Column1]])</f>
        <v/>
      </c>
    </row>
    <row r="23" ht="17" customHeight="1" s="314">
      <c r="A23" s="35" t="inlineStr">
        <is>
          <t>thinkcar Universal 16 Pin Male to Female OBD2 Extension Cable, Ultra Low Profile Flat OBDII Convert Cable Diagnostic Adapter for Car Scanner Code Reader, 60cm, 2 feet</t>
        </is>
      </c>
      <c r="B23" s="35" t="inlineStr">
        <is>
          <t>B0C3B3DDY8</t>
        </is>
      </c>
      <c r="C23" s="35" t="inlineStr">
        <is>
          <t>Cable/Adapter</t>
        </is>
      </c>
      <c r="D23" s="359" t="n">
        <v>19.93853211009175</v>
      </c>
      <c r="E23" s="66" t="n">
        <v>14518.27923076923</v>
      </c>
      <c r="F23" s="67" t="n">
        <v>2173.3</v>
      </c>
      <c r="G23" s="68" t="n">
        <v>654</v>
      </c>
      <c r="H23" s="68" t="n">
        <v>109</v>
      </c>
      <c r="I23" s="68" t="n">
        <v>33</v>
      </c>
      <c r="J23" s="69" t="n">
        <v>4.8</v>
      </c>
      <c r="K23" s="69" t="inlineStr">
        <is>
          <t>https://amazon.com/dp/B0C3B3DDY8</t>
        </is>
      </c>
      <c r="L23" s="114">
        <f>HYPERLINK(Table467478[[#This Row],[Column1]])</f>
        <v/>
      </c>
    </row>
    <row r="24" ht="45" customHeight="1" s="314">
      <c r="A24" s="35" t="inlineStr">
        <is>
          <t>THINKCAR Thinkobd 500 OBD2 Scanner Check Engine Car Code Reader, Full OBD II CAN Diagnostic Scan Tool, Read and Clear Error Codes, Live Data, Vehicle Report, 2.8 Inches Dispaly</t>
        </is>
      </c>
      <c r="B24" s="35" t="inlineStr">
        <is>
          <t>B093KK4KDP</t>
        </is>
      </c>
      <c r="C24" s="35" t="inlineStr">
        <is>
          <t>Handheld</t>
        </is>
      </c>
      <c r="D24" s="359" t="n">
        <v>49.60086956521739</v>
      </c>
      <c r="E24" s="66" t="n">
        <v>8392.959999999999</v>
      </c>
      <c r="F24" s="67" t="n">
        <v>1140.82</v>
      </c>
      <c r="G24" s="68" t="n">
        <v>169</v>
      </c>
      <c r="H24" s="68" t="n">
        <v>23</v>
      </c>
      <c r="I24" s="68" t="n">
        <v>196</v>
      </c>
      <c r="J24" s="69" t="n">
        <v>4.3</v>
      </c>
      <c r="K24" s="69" t="inlineStr">
        <is>
          <t>https://amazon.com/dp/B093KK4KDP</t>
        </is>
      </c>
      <c r="L24" s="114">
        <f>HYPERLINK(Table467478[[#This Row],[Column1]])</f>
        <v/>
      </c>
    </row>
    <row r="25" ht="30" customHeight="1" s="314">
      <c r="A25" s="35" t="inlineStr">
        <is>
          <t>THINKCAR OBD2 Car Scanner, THINKOBD100 Check Engine Fault Code Reader with Full OBD II Functions, O2 Sensor, CAN Diagnostic Scan Tool for All Cars Since 1996</t>
        </is>
      </c>
      <c r="B25" s="35" t="inlineStr">
        <is>
          <t>B083F65T8Q</t>
        </is>
      </c>
      <c r="C25" s="35" t="inlineStr">
        <is>
          <t>Handheld</t>
        </is>
      </c>
      <c r="D25" s="359" t="n">
        <v>30.471875</v>
      </c>
      <c r="E25" s="66" t="n">
        <v>12172.8</v>
      </c>
      <c r="F25" s="67" t="n">
        <v>975.1</v>
      </c>
      <c r="G25" s="68" t="n">
        <v>508</v>
      </c>
      <c r="H25" s="68" t="n">
        <v>32</v>
      </c>
      <c r="I25" s="68" t="n">
        <v>4041</v>
      </c>
      <c r="J25" s="69" t="n">
        <v>4.5</v>
      </c>
      <c r="K25" s="69" t="inlineStr">
        <is>
          <t>https://amazon.com/dp/B083F65T8Q</t>
        </is>
      </c>
      <c r="L25" s="114">
        <f>HYPERLINK(Table467478[[#This Row],[Column1]])</f>
        <v/>
      </c>
    </row>
    <row r="26" ht="45" customHeight="1" s="314">
      <c r="A26" s="35" t="inlineStr">
        <is>
          <t>THINKCAR OBD2 Scanner, ABS,SRS,ECM,TCM System Car OBD II Diagnostic Scan Tool, 94 Vehicle Brands Code Reader, FCA AutoAuth, Wireless Update</t>
        </is>
      </c>
      <c r="B26" s="35" t="inlineStr">
        <is>
          <t>B0B44PGTG3</t>
        </is>
      </c>
      <c r="C26" s="35" t="inlineStr">
        <is>
          <t>Tablet</t>
        </is>
      </c>
      <c r="D26" s="359" t="n">
        <v>269.195</v>
      </c>
      <c r="E26" s="66" t="n">
        <v>27033.13076923077</v>
      </c>
      <c r="F26" s="67" t="n">
        <v>538.39</v>
      </c>
      <c r="G26" s="68" t="n">
        <v>187</v>
      </c>
      <c r="H26" s="68" t="n">
        <v>2</v>
      </c>
      <c r="I26" s="68" t="n">
        <v>97</v>
      </c>
      <c r="J26" s="69" t="n">
        <v>4.1</v>
      </c>
      <c r="K26" s="69" t="inlineStr">
        <is>
          <t>https://amazon.com/dp/B0B44PGTG3</t>
        </is>
      </c>
      <c r="L26" s="114">
        <f>HYPERLINK(Table467478[[#This Row],[Column1]])</f>
        <v/>
      </c>
    </row>
    <row r="27" ht="45" customHeight="1" s="314">
      <c r="A27" s="35" t="inlineStr">
        <is>
          <t>THINKCAR OBD2 Scanner ThinkOBD 20 Code Reader, Clear Engine Fault Light, OBD Reader with Reset EVAP/O2 Sensor Test I/M Readiness Live Data Diagnostic Scan Tool for All OBDII Cars Since 1996</t>
        </is>
      </c>
      <c r="B27" s="35" t="inlineStr">
        <is>
          <t>B08JGZV52K</t>
        </is>
      </c>
      <c r="C27" s="35" t="inlineStr">
        <is>
          <t>Handheld</t>
        </is>
      </c>
      <c r="D27" s="359" t="n">
        <v>23.0925</v>
      </c>
      <c r="E27" s="66" t="n">
        <v>12901.6676923077</v>
      </c>
      <c r="F27" s="67" t="n">
        <v>277.11</v>
      </c>
      <c r="G27" s="68" t="n">
        <v>484</v>
      </c>
      <c r="H27" s="68" t="n">
        <v>12</v>
      </c>
      <c r="I27" s="68" t="n">
        <v>1851</v>
      </c>
      <c r="J27" s="69" t="n">
        <v>4.3</v>
      </c>
      <c r="K27" s="69" t="inlineStr">
        <is>
          <t>https://amazon.com/dp/B08JGZV52K</t>
        </is>
      </c>
      <c r="L27" s="114">
        <f>HYPERLINK(Table467478[[#This Row],[Column1]])</f>
        <v/>
      </c>
    </row>
    <row r="28" ht="17" customHeight="1" s="314">
      <c r="A28" s="35" t="inlineStr">
        <is>
          <t>ThinkCar ThinkCheck Scan Tool, Model# M70</t>
        </is>
      </c>
      <c r="B28" s="35" t="inlineStr">
        <is>
          <t>B0BXW7KCCW</t>
        </is>
      </c>
      <c r="C28" s="35" t="inlineStr">
        <is>
          <t>Handheld</t>
        </is>
      </c>
      <c r="D28" s="359" t="n">
        <v>279</v>
      </c>
      <c r="E28" s="66" t="n">
        <v>1301.46</v>
      </c>
      <c r="F28" s="67" t="n">
        <v>0</v>
      </c>
      <c r="G28" s="68" t="n">
        <v>6</v>
      </c>
      <c r="H28" s="68" t="n">
        <v>0</v>
      </c>
      <c r="I28" s="68" t="n"/>
      <c r="J28" s="69" t="n"/>
      <c r="K28" s="69" t="inlineStr">
        <is>
          <t>https://amazon.com/dp/B0BXW7KCCW</t>
        </is>
      </c>
      <c r="L28" s="114">
        <f>HYPERLINK(TABLE28)</f>
        <v/>
      </c>
    </row>
    <row r="29">
      <c r="A29" s="35" t="inlineStr">
        <is>
          <t>THINKCAR ThinkOBD20 OBD2 Scanner, Thinkscan SF100 Car Diagnostic Scan Tool with Battery Test &amp; Oil EPB Reset</t>
        </is>
      </c>
      <c r="B29" s="35" t="inlineStr">
        <is>
          <t>B0C6GPKL3J</t>
        </is>
      </c>
      <c r="C29" s="35" t="inlineStr">
        <is>
          <t>Handheld</t>
        </is>
      </c>
      <c r="D29" s="359" t="n">
        <v>23.99</v>
      </c>
      <c r="E29" s="66" t="n">
        <v>0</v>
      </c>
      <c r="F29" s="67" t="n">
        <v>0</v>
      </c>
      <c r="G29" s="68" t="n">
        <v>0</v>
      </c>
      <c r="H29" s="68" t="n">
        <v>0</v>
      </c>
      <c r="I29" s="68" t="n">
        <v>1855</v>
      </c>
      <c r="J29" s="69" t="n">
        <v>4.3</v>
      </c>
      <c r="K29" s="69" t="inlineStr">
        <is>
          <t>https://amazon.com/dp/B0C6GPKL3J</t>
        </is>
      </c>
      <c r="L29" s="114">
        <f>HYPERLINK(TABLE29)</f>
        <v/>
      </c>
    </row>
    <row r="30" ht="16" customHeight="1" s="314">
      <c r="A30" s="35" t="inlineStr">
        <is>
          <t>ThinkCar THINKDIAG Dongle with Bluetooth, OBD-II, Model# THINKDIAG</t>
        </is>
      </c>
      <c r="B30" s="35" t="inlineStr">
        <is>
          <t>B0844NSYFH</t>
        </is>
      </c>
      <c r="C30" s="35" t="inlineStr">
        <is>
          <t>Dongle</t>
        </is>
      </c>
      <c r="D30" s="359" t="n">
        <v>101.99</v>
      </c>
      <c r="E30" s="66" t="n">
        <v>225.85</v>
      </c>
      <c r="F30" s="67" t="n">
        <v>0</v>
      </c>
      <c r="G30" s="68" t="n">
        <v>2</v>
      </c>
      <c r="H30" s="68" t="n">
        <v>0</v>
      </c>
      <c r="I30" s="68" t="n">
        <v>0</v>
      </c>
      <c r="J30" s="69" t="n"/>
      <c r="K30" s="69" t="inlineStr">
        <is>
          <t>https://amazon.com/dp/B0844NSYFH</t>
        </is>
      </c>
      <c r="L30" s="114">
        <f>HYPERLINK(TABLE30)</f>
        <v/>
      </c>
    </row>
    <row r="31">
      <c r="A31" s="41" t="inlineStr">
        <is>
          <t>Total</t>
        </is>
      </c>
    </row>
    <row r="32" ht="17" customHeight="1" s="314">
      <c r="A32" s="35" t="n"/>
      <c r="B32" s="35" t="n"/>
      <c r="C32" s="359" t="n"/>
      <c r="D32" s="66" t="n"/>
      <c r="E32" s="66" t="n"/>
      <c r="F32" s="68" t="n"/>
      <c r="G32" s="68" t="n"/>
      <c r="H32" s="68" t="n"/>
      <c r="I32" s="69" t="n"/>
      <c r="J32" s="35" t="n"/>
    </row>
    <row r="33" ht="45" customHeight="1" s="314">
      <c r="A33" s="35" t="n"/>
      <c r="B33" s="35" t="n"/>
      <c r="C33" s="359" t="n"/>
      <c r="D33" s="66" t="n"/>
      <c r="E33" s="66" t="n"/>
      <c r="F33" s="68" t="n"/>
      <c r="G33" s="68" t="n"/>
      <c r="H33" s="68" t="n"/>
      <c r="I33" s="69" t="n"/>
      <c r="J33" s="35" t="n"/>
    </row>
    <row r="34" ht="45" customHeight="1" s="314">
      <c r="A34" s="307" t="inlineStr">
        <is>
          <t>Rank by Units</t>
        </is>
      </c>
    </row>
    <row r="35" ht="45" customHeight="1" s="314">
      <c r="A35" s="46" t="inlineStr">
        <is>
          <t>Product Name</t>
        </is>
      </c>
      <c r="B35" s="47" t="inlineStr">
        <is>
          <t>ASIN</t>
        </is>
      </c>
      <c r="C35" s="47" t="inlineStr">
        <is>
          <t>Type</t>
        </is>
      </c>
      <c r="D35" s="345" t="inlineStr">
        <is>
          <t>Avg Price</t>
        </is>
      </c>
      <c r="E35" s="49" t="inlineStr">
        <is>
          <t>Estimated 12mo Revenue</t>
        </is>
      </c>
      <c r="F35" s="47" t="inlineStr">
        <is>
          <t>Monthly Rev</t>
        </is>
      </c>
      <c r="G35" s="51" t="inlineStr">
        <is>
          <t>Estimated 12mo Units</t>
        </is>
      </c>
      <c r="H35" s="54" t="inlineStr">
        <is>
          <t>Monthly Units</t>
        </is>
      </c>
      <c r="I35" s="51" t="inlineStr">
        <is>
          <t># of Reviews</t>
        </is>
      </c>
      <c r="J35" s="52" t="inlineStr">
        <is>
          <t xml:space="preserve">Tool Rating </t>
        </is>
      </c>
      <c r="K35" s="52" t="inlineStr">
        <is>
          <t>Column1</t>
        </is>
      </c>
      <c r="L35" s="346" t="inlineStr">
        <is>
          <t>Link</t>
        </is>
      </c>
    </row>
    <row r="36" ht="45" customHeight="1" s="314">
      <c r="A36" s="35" t="inlineStr">
        <is>
          <t>THINKCAR Bidirectional Scan Tool, THINKSCAN 689BT All System Automotive Diagnostic Tool, Bi Directional OBD2 Scanner with ECU Coding, 34 Services, FCA Autoauth, CANFD and DoIP, Wireless Update</t>
        </is>
      </c>
      <c r="B36" s="35" t="inlineStr">
        <is>
          <t>B0DCFRF2TF</t>
        </is>
      </c>
      <c r="C36" s="35" t="inlineStr">
        <is>
          <t>Tablet</t>
        </is>
      </c>
      <c r="D36" s="359" t="n">
        <v>536.3024100156495</v>
      </c>
      <c r="E36" s="66" t="n">
        <v>4380593.21</v>
      </c>
      <c r="F36" s="66" t="n">
        <v>342697.24</v>
      </c>
      <c r="G36" s="68" t="n">
        <v>7742</v>
      </c>
      <c r="H36" s="70" t="n">
        <v>639</v>
      </c>
      <c r="I36" s="68" t="n">
        <v>574</v>
      </c>
      <c r="J36" s="69" t="n">
        <v>4.5</v>
      </c>
      <c r="K36" s="69" t="inlineStr">
        <is>
          <t>https://amazon.com/dp/B0DCFRF2TF</t>
        </is>
      </c>
      <c r="L36" s="114">
        <f>HYPERLINK(Table457377[[#This Row],[Column1]])</f>
        <v/>
      </c>
    </row>
    <row r="37" ht="60" customHeight="1" s="314">
      <c r="A37" s="35" t="inlineStr">
        <is>
          <t>Thinkdiag2 All System Bidirectional OBD2 Diagnostic Scanner for iOS &amp; Android, THINKCAR Bluetooth Scan Tool with CAN-FD Protocol, 15+ Reset Functions, ECU Code, Active Test, AutoVIN, 1 Year Update</t>
        </is>
      </c>
      <c r="B37" s="35" t="inlineStr">
        <is>
          <t>B09YRDGY3Z</t>
        </is>
      </c>
      <c r="C37" s="35" t="inlineStr">
        <is>
          <t>Handheld</t>
        </is>
      </c>
      <c r="D37" s="359" t="n">
        <v>153.39125</v>
      </c>
      <c r="E37" s="66" t="n">
        <v>1130521.46</v>
      </c>
      <c r="F37" s="66" t="n">
        <v>88353.36</v>
      </c>
      <c r="G37" s="68" t="n">
        <v>7465</v>
      </c>
      <c r="H37" s="70" t="n">
        <v>576</v>
      </c>
      <c r="I37" s="68" t="n">
        <v>1391</v>
      </c>
      <c r="J37" s="69" t="n">
        <v>4.3</v>
      </c>
      <c r="K37" s="69" t="inlineStr">
        <is>
          <t>https://amazon.com/dp/B09YRDGY3Z</t>
        </is>
      </c>
      <c r="L37" s="114">
        <f>HYPERLINK(Table457377[[#This Row],[Column1]])</f>
        <v/>
      </c>
    </row>
    <row r="38" ht="45" customHeight="1" s="314">
      <c r="A38" s="35" t="inlineStr">
        <is>
          <t>THINKCAR THINKSCAN 662 OBD2 Scanner,Car Diagnostic Tool with Bidirectional Active Test,Car Scanner Engine ABS SRS Transmission,Scanner for Car with 12 Reset,CAN FD &amp; FCA SGW,Lifetime Free Update</t>
        </is>
      </c>
      <c r="B38" s="35" t="inlineStr">
        <is>
          <t>B0FB8H2339</t>
        </is>
      </c>
      <c r="C38" s="35" t="inlineStr">
        <is>
          <t>Tablet</t>
        </is>
      </c>
      <c r="D38" s="359" t="n">
        <v>211.8443462246777</v>
      </c>
      <c r="E38" s="66" t="n">
        <v>1056017.498461538</v>
      </c>
      <c r="F38" s="66" t="n">
        <v>115031.48</v>
      </c>
      <c r="G38" s="68" t="n">
        <v>2853</v>
      </c>
      <c r="H38" s="70" t="n">
        <v>543</v>
      </c>
      <c r="I38" s="68" t="n">
        <v>238</v>
      </c>
      <c r="J38" s="69" t="n">
        <v>4.2</v>
      </c>
      <c r="K38" s="69" t="inlineStr">
        <is>
          <t>https://amazon.com/dp/B0FB8H2339</t>
        </is>
      </c>
      <c r="L38" s="114">
        <f>HYPERLINK(Table457377[[#This Row],[Column1]])</f>
        <v/>
      </c>
    </row>
    <row r="39" ht="45" customHeight="1" s="314">
      <c r="A39" s="35" t="inlineStr">
        <is>
          <t>Thinkdiag OBD2 Scanner Bluetooth Full System Bidirectional Diagnostic Scan Tool OE Level Code Reader with ECU Function 15+ Reset Service FCA AutoAuth All Software 1 Year Update Fits for iOS &amp; Android</t>
        </is>
      </c>
      <c r="B39" s="35" t="inlineStr">
        <is>
          <t>B08YWTJY4F</t>
        </is>
      </c>
      <c r="C39" s="35" t="inlineStr">
        <is>
          <t>Dongle</t>
        </is>
      </c>
      <c r="D39" s="359" t="n">
        <v>103.2051100244499</v>
      </c>
      <c r="E39" s="66" t="n">
        <v>585488.73</v>
      </c>
      <c r="F39" s="66" t="n">
        <v>42210.89</v>
      </c>
      <c r="G39" s="68" t="n">
        <v>5240</v>
      </c>
      <c r="H39" s="70" t="n">
        <v>409</v>
      </c>
      <c r="I39" s="68" t="n">
        <v>1986</v>
      </c>
      <c r="J39" s="69" t="n">
        <v>4.1</v>
      </c>
      <c r="K39" s="69" t="inlineStr">
        <is>
          <t>https://amazon.com/dp/B08YWTJY4F</t>
        </is>
      </c>
      <c r="L39" s="114">
        <f>HYPERLINK(Table457377[[#This Row],[Column1]])</f>
        <v/>
      </c>
    </row>
    <row r="40" ht="45" customHeight="1" s="314">
      <c r="A40" s="35" t="inlineStr">
        <is>
          <t>THINKCAR THINKSCAN 689 OBD2 Scanner, Bidirectional Scan Tool with Lifetime Free Update, 34+ Reset, 3000+ Active Test, ECU Coding, PMI, Wired All System Diagnostic Scanner for Cars, CANFD/DOIP, FCA SGW</t>
        </is>
      </c>
      <c r="B40" s="35" t="inlineStr">
        <is>
          <t>B0DCFF7VGF</t>
        </is>
      </c>
      <c r="C40" s="35" t="inlineStr">
        <is>
          <t>Tablet</t>
        </is>
      </c>
      <c r="D40" s="359" t="n">
        <v>438.63075</v>
      </c>
      <c r="E40" s="66" t="n">
        <v>2103757.810769231</v>
      </c>
      <c r="F40" s="66" t="n">
        <v>140361.84</v>
      </c>
      <c r="G40" s="68" t="n">
        <v>4059</v>
      </c>
      <c r="H40" s="70" t="n">
        <v>320</v>
      </c>
      <c r="I40" s="68" t="n">
        <v>281</v>
      </c>
      <c r="J40" s="69" t="n">
        <v>4.3</v>
      </c>
      <c r="K40" s="69" t="inlineStr">
        <is>
          <t>https://amazon.com/dp/B0DCFF7VGF</t>
        </is>
      </c>
      <c r="L40" s="114">
        <f>HYPERLINK(Table457377[[#This Row],[Column1]])</f>
        <v/>
      </c>
    </row>
    <row r="41" ht="45" customHeight="1" s="314">
      <c r="A41" s="35" t="inlineStr">
        <is>
          <t>THINKCAR Bidirectional Scan Tool, Thinkscan 672 All System OBD2 Scanner Diagnostic Tool, 28 Reset,Scanner for Car with Active Test, FCA Autoauth,CANFD, Free Lifetime Upgrade,Automotive Diagnostic Tool</t>
        </is>
      </c>
      <c r="B41" s="35" t="inlineStr">
        <is>
          <t>B0DF55W14J</t>
        </is>
      </c>
      <c r="C41" s="35" t="inlineStr">
        <is>
          <t>Tablet</t>
        </is>
      </c>
      <c r="D41" s="359" t="n">
        <v>302.4104022988506</v>
      </c>
      <c r="E41" s="66" t="n">
        <v>598271.3730769231</v>
      </c>
      <c r="F41" s="66" t="n">
        <v>52619.41</v>
      </c>
      <c r="G41" s="68" t="n">
        <v>1687</v>
      </c>
      <c r="H41" s="70" t="n">
        <v>174</v>
      </c>
      <c r="I41" s="68" t="n">
        <v>178</v>
      </c>
      <c r="J41" s="69" t="n">
        <v>4.3</v>
      </c>
      <c r="K41" s="69" t="inlineStr">
        <is>
          <t>https://amazon.com/dp/B0DF55W14J</t>
        </is>
      </c>
      <c r="L41" s="114">
        <f>HYPERLINK(Table457377[[#This Row],[Column1]])</f>
        <v/>
      </c>
    </row>
    <row r="42" ht="45" customHeight="1" s="314">
      <c r="A42" s="35" t="inlineStr">
        <is>
          <t>thinkcar Universal 16 Pin Male to Female OBD2 Extension Cable, Ultra Low Profile Flat OBDII Convert Cable Diagnostic Adapter for Car Scanner Code Reader, 60cm, 2 feet</t>
        </is>
      </c>
      <c r="B42" s="35" t="inlineStr">
        <is>
          <t>B0C3B3DDY8</t>
        </is>
      </c>
      <c r="C42" s="35" t="inlineStr">
        <is>
          <t>Cable/Adapter</t>
        </is>
      </c>
      <c r="D42" s="359" t="n">
        <v>19.93853211009175</v>
      </c>
      <c r="E42" s="66" t="n">
        <v>14518.27923076923</v>
      </c>
      <c r="F42" s="66" t="n">
        <v>2173.3</v>
      </c>
      <c r="G42" s="68" t="n">
        <v>654</v>
      </c>
      <c r="H42" s="70" t="n">
        <v>109</v>
      </c>
      <c r="I42" s="68" t="n">
        <v>33</v>
      </c>
      <c r="J42" s="69" t="n">
        <v>4.8</v>
      </c>
      <c r="K42" s="69" t="inlineStr">
        <is>
          <t>https://amazon.com/dp/B0C3B3DDY8</t>
        </is>
      </c>
      <c r="L42" s="114">
        <f>HYPERLINK(Table457377[[#This Row],[Column1]])</f>
        <v/>
      </c>
    </row>
    <row r="43" ht="60" customHeight="1" s="314">
      <c r="A43" s="35" t="inlineStr">
        <is>
          <t>THINKCAR Thinkdiag Mini Bluetooth OBD2 Scanner Diagnostic Tool, OE Full-System Car Scanner for iOS &amp; Android, Check Engine Light Fault Code Reader Scan Tool for Vehicles</t>
        </is>
      </c>
      <c r="B43" s="35" t="inlineStr">
        <is>
          <t>B0CLLL9XF9</t>
        </is>
      </c>
      <c r="C43" s="35" t="inlineStr">
        <is>
          <t>Dongle</t>
        </is>
      </c>
      <c r="D43" s="359" t="n">
        <v>59.8735593220339</v>
      </c>
      <c r="E43" s="66" t="n">
        <v>89300.28</v>
      </c>
      <c r="F43" s="66" t="n">
        <v>3532.54</v>
      </c>
      <c r="G43" s="68" t="n">
        <v>1531</v>
      </c>
      <c r="H43" s="70" t="n">
        <v>59</v>
      </c>
      <c r="I43" s="68" t="n">
        <v>195</v>
      </c>
      <c r="J43" s="69" t="n">
        <v>4.2</v>
      </c>
      <c r="K43" s="69" t="inlineStr">
        <is>
          <t>https://amazon.com/dp/B0CLLL9XF9</t>
        </is>
      </c>
      <c r="L43" s="114">
        <f>HYPERLINK(Table457377[[#This Row],[Column1]])</f>
        <v/>
      </c>
    </row>
    <row r="44" ht="45" customHeight="1" s="314">
      <c r="A44" s="35" t="inlineStr">
        <is>
          <t>THINKCAR OBD2 Scanner Diagnostic Tool Lifetime Free, ThinkScan 689 Car Scan Tool with 34 Reset Function,Scanner for Car with 3000+ Active Test,Advanced ECU Coding BI-Directional,Autoauth for FCA SGW</t>
        </is>
      </c>
      <c r="B44" s="35" t="inlineStr">
        <is>
          <t>B0F4XRV4D5</t>
        </is>
      </c>
      <c r="C44" s="35" t="inlineStr">
        <is>
          <t>Tablet</t>
        </is>
      </c>
      <c r="D44" s="359" t="n">
        <v>418.130350877193</v>
      </c>
      <c r="E44" s="66" t="n">
        <v>497406.2284615386</v>
      </c>
      <c r="F44" s="66" t="n">
        <v>23833.43</v>
      </c>
      <c r="G44" s="68" t="n">
        <v>1043</v>
      </c>
      <c r="H44" s="70" t="n">
        <v>57</v>
      </c>
      <c r="I44" s="68" t="n">
        <v>98</v>
      </c>
      <c r="J44" s="69" t="n">
        <v>4.2</v>
      </c>
      <c r="K44" s="69" t="inlineStr">
        <is>
          <t>https://amazon.com/dp/B0F4XRV4D5</t>
        </is>
      </c>
      <c r="L44" s="114">
        <f>HYPERLINK(Table457377[[#This Row],[Column1]])</f>
        <v/>
      </c>
    </row>
    <row r="45" ht="45" customHeight="1" s="314">
      <c r="A45" s="35" t="inlineStr">
        <is>
          <t>THINKCAR OBD2 Car Scanner, THINKOBD100 Check Engine Fault Code Reader with Full OBD II Functions, O2 Sensor, CAN Diagnostic Scan Tool for All Cars Since 1996</t>
        </is>
      </c>
      <c r="B45" s="35" t="inlineStr">
        <is>
          <t>B083F65T8Q</t>
        </is>
      </c>
      <c r="C45" s="35" t="inlineStr">
        <is>
          <t>Handheld</t>
        </is>
      </c>
      <c r="D45" s="359" t="n">
        <v>30.471875</v>
      </c>
      <c r="E45" s="66" t="n">
        <v>12172.8</v>
      </c>
      <c r="F45" s="66" t="n">
        <v>975.1</v>
      </c>
      <c r="G45" s="68" t="n">
        <v>508</v>
      </c>
      <c r="H45" s="70" t="n">
        <v>32</v>
      </c>
      <c r="I45" s="68" t="n">
        <v>4041</v>
      </c>
      <c r="J45" s="69" t="n">
        <v>4.5</v>
      </c>
      <c r="K45" s="69" t="inlineStr">
        <is>
          <t>https://amazon.com/dp/B083F65T8Q</t>
        </is>
      </c>
      <c r="L45" s="114">
        <f>HYPERLINK(Table457377[[#This Row],[Column1]])</f>
        <v/>
      </c>
    </row>
    <row r="46" ht="45" customHeight="1" s="314">
      <c r="A46" s="35" t="inlineStr">
        <is>
          <t>THINKCAR THINKDIAG BD6 OBD2 Scanner Bluetooth,Wireless All System Code Reader Diagnostic Tool for iOS &amp; Android,5+ Hot Reset Bluetooth OBD2 Scanner for Car Check Engine Light, Lifetime Free Update</t>
        </is>
      </c>
      <c r="B46" s="35" t="inlineStr">
        <is>
          <t>B0GF75CYGT</t>
        </is>
      </c>
      <c r="C46" s="35" t="inlineStr">
        <is>
          <t>Handheld</t>
        </is>
      </c>
      <c r="D46" s="359" t="n">
        <v>72.14451612903225</v>
      </c>
      <c r="E46" s="66" t="n">
        <v>23690.31076923077</v>
      </c>
      <c r="F46" s="66" t="n">
        <v>2236.48</v>
      </c>
      <c r="G46" s="68" t="n">
        <v>41</v>
      </c>
      <c r="H46" s="70" t="n">
        <v>31</v>
      </c>
      <c r="I46" s="68" t="n">
        <v>58</v>
      </c>
      <c r="J46" s="69" t="n">
        <v>4.1</v>
      </c>
      <c r="K46" s="69" t="inlineStr">
        <is>
          <t>https://amazon.com/dp/B0GF75CYGT</t>
        </is>
      </c>
      <c r="L46" s="114">
        <f>HYPERLINK(Table457377[[#This Row],[Column1]])</f>
        <v/>
      </c>
    </row>
    <row r="47" ht="17" customHeight="1" s="314">
      <c r="A47" s="35" t="inlineStr">
        <is>
          <t>THINKCAR Thinkobd 500 OBD2 Scanner Check Engine Car Code Reader, Full OBD II CAN Diagnostic Scan Tool, Read and Clear Error Codes, Live Data, Vehicle Report, 2.8 Inches Dispaly</t>
        </is>
      </c>
      <c r="B47" s="35" t="inlineStr">
        <is>
          <t>B093KK4KDP</t>
        </is>
      </c>
      <c r="C47" s="35" t="inlineStr">
        <is>
          <t>Handheld</t>
        </is>
      </c>
      <c r="D47" s="359" t="n">
        <v>49.60086956521739</v>
      </c>
      <c r="E47" s="66" t="n">
        <v>8392.959999999999</v>
      </c>
      <c r="F47" s="66" t="n">
        <v>1140.82</v>
      </c>
      <c r="G47" s="68" t="n">
        <v>169</v>
      </c>
      <c r="H47" s="70" t="n">
        <v>23</v>
      </c>
      <c r="I47" s="68" t="n">
        <v>196</v>
      </c>
      <c r="J47" s="69" t="n">
        <v>4.3</v>
      </c>
      <c r="K47" s="69" t="inlineStr">
        <is>
          <t>https://amazon.com/dp/B093KK4KDP</t>
        </is>
      </c>
      <c r="L47" s="114">
        <f>HYPERLINK(Table457377[[#This Row],[Column1]])</f>
        <v/>
      </c>
    </row>
    <row r="48" ht="45" customHeight="1" s="314">
      <c r="A48" s="35" t="inlineStr">
        <is>
          <t>OBD2 Scanner,THINKCAR 641 Wireless Car Scanner Diagnostic Tool,Auto Scan Tool ABS/SRS/Transmission/Engine,2026 10 Resets Code Reader for Cars and Trucks,CANFD &amp; FCA,VIA Bluetooth,Lifetime Free Update</t>
        </is>
      </c>
      <c r="B48" s="35" t="inlineStr">
        <is>
          <t>B0CKHPJD9F</t>
        </is>
      </c>
      <c r="C48" s="35" t="inlineStr">
        <is>
          <t>Tablet</t>
        </is>
      </c>
      <c r="D48" s="359" t="n">
        <v>201.5894736842105</v>
      </c>
      <c r="E48" s="66" t="n">
        <v>43134.59307692307</v>
      </c>
      <c r="F48" s="66" t="n">
        <v>3830.2</v>
      </c>
      <c r="G48" s="68" t="n">
        <v>59</v>
      </c>
      <c r="H48" s="70" t="n">
        <v>19</v>
      </c>
      <c r="I48" s="68" t="n">
        <v>22</v>
      </c>
      <c r="J48" s="69" t="n">
        <v>4.5</v>
      </c>
      <c r="K48" s="69" t="inlineStr">
        <is>
          <t>https://amazon.com/dp/B0CKHPJD9F</t>
        </is>
      </c>
      <c r="L48" s="114">
        <f>HYPERLINK(Table457377[[#This Row],[Column1]])</f>
        <v/>
      </c>
    </row>
    <row r="49" ht="30" customHeight="1" s="314">
      <c r="A49" s="35" t="inlineStr">
        <is>
          <t>THINKSCAN 689BT Bidirectional OBD2 Scanner with Endoscope Camera,3000+ Active Tests,All System, 34 Services,FCA Autoauth, CANFD and DoIP,Lifetime Free Update</t>
        </is>
      </c>
      <c r="B49" s="35" t="inlineStr">
        <is>
          <t>B0GKFWWZKX</t>
        </is>
      </c>
      <c r="C49" s="35" t="inlineStr">
        <is>
          <t>Tablet</t>
        </is>
      </c>
      <c r="D49" s="359" t="n">
        <v>686.1721428571428</v>
      </c>
      <c r="E49" s="66" t="n">
        <v>110648.1392307692</v>
      </c>
      <c r="F49" s="66" t="n">
        <v>9606.41</v>
      </c>
      <c r="G49" s="68" t="n">
        <v>19</v>
      </c>
      <c r="H49" s="70" t="n">
        <v>14</v>
      </c>
      <c r="I49" s="68" t="n">
        <v>1</v>
      </c>
      <c r="J49" s="69" t="n">
        <v>5</v>
      </c>
      <c r="K49" s="69" t="inlineStr">
        <is>
          <t>https://amazon.com/dp/B0GKFWWZKX</t>
        </is>
      </c>
      <c r="L49" s="114">
        <f>HYPERLINK(Table457377[[#This Row],[Column1]])</f>
        <v/>
      </c>
    </row>
    <row r="50" ht="45" customHeight="1" s="314">
      <c r="A50" s="35" t="inlineStr">
        <is>
          <t>THINKCAR OBD2 Scanner ThinkOBD 20 Code Reader, Clear Engine Fault Light, OBD Reader with Reset EVAP/O2 Sensor Test I/M Readiness Live Data Diagnostic Scan Tool for All OBDII Cars Since 1996</t>
        </is>
      </c>
      <c r="B50" s="35" t="inlineStr">
        <is>
          <t>B08JGZV52K</t>
        </is>
      </c>
      <c r="C50" s="35" t="inlineStr">
        <is>
          <t>Handheld</t>
        </is>
      </c>
      <c r="D50" s="359" t="n">
        <v>23.0925</v>
      </c>
      <c r="E50" s="66" t="n">
        <v>12901.6676923077</v>
      </c>
      <c r="F50" s="66" t="n">
        <v>277.11</v>
      </c>
      <c r="G50" s="68" t="n">
        <v>484</v>
      </c>
      <c r="H50" s="70" t="n">
        <v>12</v>
      </c>
      <c r="I50" s="68" t="n">
        <v>1851</v>
      </c>
      <c r="J50" s="69" t="n">
        <v>4.3</v>
      </c>
      <c r="K50" s="69" t="inlineStr">
        <is>
          <t>https://amazon.com/dp/B08JGZV52K</t>
        </is>
      </c>
      <c r="L50" s="114">
        <f>HYPERLINK(Table457377[[#This Row],[Column1]])</f>
        <v/>
      </c>
    </row>
    <row r="51" ht="45" customHeight="1" s="314">
      <c r="A51" s="35" t="inlineStr">
        <is>
          <t>THINKSCAN 689BT TPMS Combos, Professional OBD2 Scanner Diagnostic Tool with TPMS, Activate/Read/Learn Sensor Tool with VENU iPro, Programming Sensors(Pack in 315/433MHz VENU5) Only</t>
        </is>
      </c>
      <c r="B51" s="35" t="inlineStr">
        <is>
          <t>B0GKG7MBF9</t>
        </is>
      </c>
      <c r="C51" s="35" t="inlineStr">
        <is>
          <t>Handheld</t>
        </is>
      </c>
      <c r="D51" s="359" t="n">
        <v>756.5972727272728</v>
      </c>
      <c r="E51" s="66" t="n">
        <v>92828.66538461536</v>
      </c>
      <c r="F51" s="66" t="n">
        <v>8322.57</v>
      </c>
      <c r="G51" s="68" t="n">
        <v>11</v>
      </c>
      <c r="H51" s="70" t="n">
        <v>11</v>
      </c>
      <c r="I51" s="68" t="n">
        <v>4</v>
      </c>
      <c r="J51" s="69" t="n">
        <v>5</v>
      </c>
      <c r="K51" s="69" t="inlineStr">
        <is>
          <t>https://amazon.com/dp/B0GKG7MBF9</t>
        </is>
      </c>
      <c r="L51" s="114">
        <f>HYPERLINK(Table457377[[#This Row],[Column1]])</f>
        <v/>
      </c>
    </row>
    <row r="52" ht="17" customHeight="1" s="314">
      <c r="A52" s="35" t="inlineStr">
        <is>
          <t>THINKCAR OBD2 Scanner, ThinkScan Plus S7 ABS,SRS,ECM,TCM,BCM,AC,IC System Diagnostic Scan Tool with 5 Special Services Options, Cover 94 Car Brands Code Reader, FCA AutoAuth, Wireless Update</t>
        </is>
      </c>
      <c r="B52" s="35" t="inlineStr">
        <is>
          <t>B0B5D6M3HN</t>
        </is>
      </c>
      <c r="C52" s="35" t="inlineStr">
        <is>
          <t>Tablet</t>
        </is>
      </c>
      <c r="D52" s="359" t="n">
        <v>213.87</v>
      </c>
      <c r="E52" s="66" t="n">
        <v>158371.0861538462</v>
      </c>
      <c r="F52" s="66" t="n">
        <v>2352.57</v>
      </c>
      <c r="G52" s="68" t="n">
        <v>766</v>
      </c>
      <c r="H52" s="70" t="n">
        <v>11</v>
      </c>
      <c r="I52" s="68" t="n">
        <v>142</v>
      </c>
      <c r="J52" s="69" t="n">
        <v>4.3</v>
      </c>
      <c r="K52" s="69" t="inlineStr">
        <is>
          <t>https://amazon.com/dp/B0B5D6M3HN</t>
        </is>
      </c>
      <c r="L52" s="114">
        <f>HYPERLINK(Table457377[[#This Row],[Column1]])</f>
        <v/>
      </c>
    </row>
    <row r="53">
      <c r="A53" s="35" t="inlineStr">
        <is>
          <t>Thinkcar OBD2 Scanner Wireless 2026 Thinkscan Max2 Lifetime Upgrade Diagnostic Scan Tool with CAN-FD, FCA AutoAuth, All System Diagnosis, 28+ Resets, No Subscriptions, ABS Bleed/Crankshaft Relearn</t>
        </is>
      </c>
      <c r="B53" s="35" t="inlineStr">
        <is>
          <t>B09YRFC12R</t>
        </is>
      </c>
      <c r="C53" s="35" t="inlineStr">
        <is>
          <t>Tablet</t>
        </is>
      </c>
      <c r="D53" s="359" t="n">
        <v>389.05</v>
      </c>
      <c r="E53" s="66" t="n">
        <v>62760.11</v>
      </c>
      <c r="F53" s="66" t="n">
        <v>3112.4</v>
      </c>
      <c r="G53" s="68" t="n">
        <v>153</v>
      </c>
      <c r="H53" s="70" t="n">
        <v>8</v>
      </c>
      <c r="I53" s="68" t="n">
        <v>110</v>
      </c>
      <c r="J53" s="69" t="n">
        <v>4.1</v>
      </c>
      <c r="K53" s="69" t="inlineStr">
        <is>
          <t>https://amazon.com/dp/B09YRFC12R</t>
        </is>
      </c>
      <c r="L53" s="114">
        <f>HYPERLINK(Table457377[[#This Row],[Column1]])</f>
        <v/>
      </c>
    </row>
    <row r="54">
      <c r="A54" s="35" t="inlineStr">
        <is>
          <t>THINKCAR OBD2 Scanner, ABS,SRS,ECM,TCM System Car OBD II Diagnostic Scan Tool, 94 Vehicle Brands Code Reader, FCA AutoAuth, Wireless Update</t>
        </is>
      </c>
      <c r="B54" s="35" t="inlineStr">
        <is>
          <t>B0B44PGTG3</t>
        </is>
      </c>
      <c r="C54" s="35" t="inlineStr">
        <is>
          <t>Tablet</t>
        </is>
      </c>
      <c r="D54" s="359" t="n">
        <v>269.195</v>
      </c>
      <c r="E54" s="66" t="n">
        <v>27033.13076923077</v>
      </c>
      <c r="F54" s="66" t="n">
        <v>538.39</v>
      </c>
      <c r="G54" s="68" t="n">
        <v>187</v>
      </c>
      <c r="H54" s="70" t="n">
        <v>2</v>
      </c>
      <c r="I54" s="68" t="n">
        <v>97</v>
      </c>
      <c r="J54" s="69" t="n">
        <v>4.1</v>
      </c>
      <c r="K54" s="69" t="inlineStr">
        <is>
          <t>https://amazon.com/dp/B0B44PGTG3</t>
        </is>
      </c>
      <c r="L54" s="114">
        <f>HYPERLINK(Table457377[[#This Row],[Column1]])</f>
        <v/>
      </c>
    </row>
    <row r="55">
      <c r="A55" s="35" t="inlineStr">
        <is>
          <t>ThinkCar ThinkCheck Scan Tool, Model# M70</t>
        </is>
      </c>
      <c r="B55" s="35" t="inlineStr">
        <is>
          <t>B0BXW7KCCW</t>
        </is>
      </c>
      <c r="C55" s="35" t="inlineStr">
        <is>
          <t>Handheld</t>
        </is>
      </c>
      <c r="D55" s="359" t="n">
        <v>279</v>
      </c>
      <c r="E55" s="66" t="n">
        <v>1301.46</v>
      </c>
      <c r="F55" s="66" t="n">
        <v>0</v>
      </c>
      <c r="G55" s="68" t="n">
        <v>6</v>
      </c>
      <c r="H55" s="70" t="n">
        <v>0</v>
      </c>
      <c r="I55" s="68" t="n"/>
      <c r="J55" s="69" t="n"/>
      <c r="K55" s="69" t="inlineStr">
        <is>
          <t>https://amazon.com/dp/B0BXW7KCCW</t>
        </is>
      </c>
      <c r="L55" s="114">
        <f>HYPERLINK(TABLE55)</f>
        <v/>
      </c>
    </row>
    <row r="56">
      <c r="A56" s="35" t="inlineStr">
        <is>
          <t>THINKCAR ThinkOBD20 OBD2 Scanner, Thinkscan SF100 Car Diagnostic Scan Tool with Battery Test &amp; Oil EPB Reset</t>
        </is>
      </c>
      <c r="B56" s="35" t="inlineStr">
        <is>
          <t>B0C6GPKL3J</t>
        </is>
      </c>
      <c r="C56" s="35" t="inlineStr">
        <is>
          <t>Handheld</t>
        </is>
      </c>
      <c r="D56" s="359" t="n">
        <v>23.99</v>
      </c>
      <c r="E56" s="66" t="n">
        <v>0</v>
      </c>
      <c r="F56" s="66" t="n">
        <v>0</v>
      </c>
      <c r="G56" s="68" t="n">
        <v>0</v>
      </c>
      <c r="H56" s="70" t="n">
        <v>0</v>
      </c>
      <c r="I56" s="68" t="n">
        <v>1855</v>
      </c>
      <c r="J56" s="69" t="n">
        <v>4.3</v>
      </c>
      <c r="K56" s="69" t="inlineStr">
        <is>
          <t>https://amazon.com/dp/B0C6GPKL3J</t>
        </is>
      </c>
      <c r="L56" s="114">
        <f>HYPERLINK(TABLE56)</f>
        <v/>
      </c>
    </row>
    <row r="57">
      <c r="A57" s="35" t="inlineStr">
        <is>
          <t>ThinkCar THINKDIAG Dongle with Bluetooth, OBD-II, Model# THINKDIAG</t>
        </is>
      </c>
      <c r="B57" s="35" t="inlineStr">
        <is>
          <t>B0844NSYFH</t>
        </is>
      </c>
      <c r="C57" s="35" t="inlineStr">
        <is>
          <t>Dongle</t>
        </is>
      </c>
      <c r="D57" s="359" t="n">
        <v>101.99</v>
      </c>
      <c r="E57" s="66" t="n">
        <v>225.85</v>
      </c>
      <c r="F57" s="66" t="n">
        <v>0</v>
      </c>
      <c r="G57" s="68" t="n">
        <v>2</v>
      </c>
      <c r="H57" s="70" t="n">
        <v>0</v>
      </c>
      <c r="I57" s="68" t="n">
        <v>0</v>
      </c>
      <c r="J57" s="69" t="n"/>
      <c r="K57" s="69" t="inlineStr">
        <is>
          <t>https://amazon.com/dp/B0844NSYFH</t>
        </is>
      </c>
      <c r="L57" s="114">
        <f>HYPERLINK(TABLE57)</f>
        <v/>
      </c>
    </row>
    <row r="58">
      <c r="A58" s="41" t="inlineStr">
        <is>
          <t>Total</t>
        </is>
      </c>
      <c r="B58" s="41" t="n"/>
      <c r="C58" s="365" t="n"/>
      <c r="D58" s="122" t="n"/>
      <c r="E58" s="122" t="n"/>
      <c r="F58" s="122" t="n"/>
      <c r="G58" s="123">
        <f>SUM(G36:G57)</f>
        <v/>
      </c>
      <c r="H58" s="123">
        <f>SUM(H36:H57)</f>
        <v/>
      </c>
      <c r="I58" s="123" t="n"/>
      <c r="J58" s="128" t="n"/>
      <c r="K58" s="41" t="n"/>
      <c r="L58" s="40" t="n"/>
    </row>
  </sheetData>
  <mergeCells count="3">
    <mergeCell ref="A1:L5"/>
    <mergeCell ref="A31:L31"/>
    <mergeCell ref="A7:L7"/>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codeName="Sheet17">
    <outlinePr summaryBelow="1" summaryRight="1"/>
    <pageSetUpPr/>
  </sheetPr>
  <dimension ref="A1:L128"/>
  <sheetViews>
    <sheetView workbookViewId="0">
      <selection activeCell="I6" sqref="I6"/>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8.6640625" customWidth="1" style="308" min="11" max="11"/>
    <col width="35.6640625" customWidth="1" style="308" min="12" max="12"/>
    <col width="12.6640625" customWidth="1" style="308" min="13" max="16384"/>
  </cols>
  <sheetData>
    <row r="1" ht="15.75" customHeight="1" s="314">
      <c r="A1" s="324" t="inlineStr">
        <is>
          <t>TOPDON Monthly Summary</t>
        </is>
      </c>
    </row>
    <row r="2" ht="15.75" customHeight="1" s="314"/>
    <row r="3" ht="15.75" customHeight="1" s="314"/>
    <row r="4" ht="15.75" customHeight="1" s="314"/>
    <row r="5" ht="15.75" customHeight="1" s="314"/>
    <row r="6">
      <c r="B6" s="60" t="n"/>
      <c r="C6" s="366" t="n"/>
      <c r="E6" s="60" t="n"/>
      <c r="F6" s="62" t="n"/>
      <c r="G6" s="62" t="n"/>
      <c r="H6" s="62" t="n"/>
      <c r="I6" s="63" t="n"/>
      <c r="J6" s="60"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TOPDON Bidirectional Scan Tool, 2026 New ArtiDiag900 Lite Automotive Diagnostic Tool for Full System, Scanner for Car with Active Test, 8 Reset, Wireless OBD2 Scanner Diagnostic Tool for All Vehicles</t>
        </is>
      </c>
      <c r="B9" s="35" t="inlineStr">
        <is>
          <t>B0C33Y285Y</t>
        </is>
      </c>
      <c r="C9" s="35" t="inlineStr">
        <is>
          <t>Tablet</t>
        </is>
      </c>
      <c r="D9" s="359" t="n">
        <v>318.9840625</v>
      </c>
      <c r="E9" s="66" t="n">
        <v>5509789.810000001</v>
      </c>
      <c r="F9" s="67" t="n">
        <v>367469.64</v>
      </c>
      <c r="G9" s="68" t="n">
        <v>15164</v>
      </c>
      <c r="H9" s="68" t="n">
        <v>1152</v>
      </c>
      <c r="I9" s="68" t="n">
        <v>1230</v>
      </c>
      <c r="J9" s="69" t="n">
        <v>4.3</v>
      </c>
      <c r="K9" s="69" t="inlineStr">
        <is>
          <t>https://amazon.com/dp/B0C33Y285Y</t>
        </is>
      </c>
      <c r="L9" s="114">
        <f>HYPERLINK(Table4779[[#This Row],[Column1]])</f>
        <v/>
      </c>
    </row>
    <row r="10" ht="45" customHeight="1" s="314">
      <c r="A10" s="35" t="inlineStr">
        <is>
          <t>TOPDON ONE Bidirectional Scan Tool, 10.1" OBD2 Scanner with J2534 Pass-Thru and ECU Coding, Over 50 Resets, Topology Mapping Car Diagnostic Tool for All Vehicles</t>
        </is>
      </c>
      <c r="B10" s="35" t="inlineStr">
        <is>
          <t>B0GK9G6YDL</t>
        </is>
      </c>
      <c r="C10" s="35" t="inlineStr">
        <is>
          <t>Tablet</t>
        </is>
      </c>
      <c r="D10" s="359" t="n">
        <v>745.0893534482759</v>
      </c>
      <c r="E10" s="66" t="n">
        <v>3842831.225384615</v>
      </c>
      <c r="F10" s="67" t="n">
        <v>345721.46</v>
      </c>
      <c r="G10" s="68" t="n">
        <v>866</v>
      </c>
      <c r="H10" s="68" t="n">
        <v>464</v>
      </c>
      <c r="I10" s="68" t="n">
        <v>90</v>
      </c>
      <c r="J10" s="69" t="n">
        <v>4.7</v>
      </c>
      <c r="K10" s="69" t="inlineStr">
        <is>
          <t>https://amazon.com/dp/B0GK9G6YDL</t>
        </is>
      </c>
      <c r="L10" s="114">
        <f>HYPERLINK(Table4779[[#This Row],[Column1]])</f>
        <v/>
      </c>
    </row>
    <row r="11" ht="60" customHeight="1" s="314">
      <c r="A11" s="35" t="inlineStr">
        <is>
          <t>TOPDON Phoenix Plus 2, ECU Coding TOPDON Scanner V2.0, Bidirectional Scan Tool, Topology Map, CANFD, High-End OEM Full System, 42+ Service, FCA SGW AutoAuth, V.A.G Guided, 2 Years Free Update</t>
        </is>
      </c>
      <c r="B11" s="35" t="inlineStr">
        <is>
          <t>B091BQNR3S</t>
        </is>
      </c>
      <c r="C11" s="35" t="inlineStr">
        <is>
          <t>Tablet</t>
        </is>
      </c>
      <c r="D11" s="359" t="n">
        <v>1014.280512820513</v>
      </c>
      <c r="E11" s="66" t="n">
        <v>3083243.13</v>
      </c>
      <c r="F11" s="67" t="n">
        <v>276898.58</v>
      </c>
      <c r="G11" s="68" t="n">
        <v>2855</v>
      </c>
      <c r="H11" s="68" t="n">
        <v>273</v>
      </c>
      <c r="I11" s="68" t="n">
        <v>492</v>
      </c>
      <c r="J11" s="69" t="n">
        <v>4.4</v>
      </c>
      <c r="K11" s="69" t="inlineStr">
        <is>
          <t>https://amazon.com/dp/B091BQNR3S</t>
        </is>
      </c>
      <c r="L11" s="114">
        <f>HYPERLINK(Table4779[[#This Row],[Column1]])</f>
        <v/>
      </c>
    </row>
    <row r="12" ht="45" customHeight="1" s="314">
      <c r="A12" s="35" t="inlineStr">
        <is>
          <t>OBD2 Scanner TOPDON AD600S Scan Tool, Code Reader, Diagnostics Scanner for ABS/SRS/AT/Engine, 9 Reset Services, Oil/Brake/BMS/SAS/DPF/TPMS/ETS Reset/ABS Bleeding/Injector Coding, Free Lifetime Upgrade</t>
        </is>
      </c>
      <c r="B12" s="35" t="inlineStr">
        <is>
          <t>B09KZTYD18</t>
        </is>
      </c>
      <c r="C12" s="35" t="inlineStr">
        <is>
          <t>Tablet</t>
        </is>
      </c>
      <c r="D12" s="359" t="n">
        <v>194.0666122766123</v>
      </c>
      <c r="E12" s="66" t="n">
        <v>3482124.96</v>
      </c>
      <c r="F12" s="67" t="n">
        <v>249763.73</v>
      </c>
      <c r="G12" s="68" t="n">
        <v>17369</v>
      </c>
      <c r="H12" s="68" t="n">
        <v>1287</v>
      </c>
      <c r="I12" s="68" t="n">
        <v>1836</v>
      </c>
      <c r="J12" s="69" t="n">
        <v>4.5</v>
      </c>
      <c r="K12" s="69" t="inlineStr">
        <is>
          <t>https://amazon.com/dp/B09KZTYD18</t>
        </is>
      </c>
      <c r="L12" s="114">
        <f>HYPERLINK(Table4779[[#This Row],[Column1]])</f>
        <v/>
      </c>
    </row>
    <row r="13" ht="60" customHeight="1" s="314">
      <c r="A13" s="35" t="inlineStr">
        <is>
          <t>TOPDON AD800BT 2 OBD2 Scanner, 2026 Bidirectional Scan Tool, Function as AD900 Lite AD Pro, All System Automotive Diagnostic Scanner, Active Test, 28+ Reset Service, FCA Autoauth, 2 Years Free Update</t>
        </is>
      </c>
      <c r="B13" s="35" t="inlineStr">
        <is>
          <t>B08TR5PS5V</t>
        </is>
      </c>
      <c r="C13" s="35" t="inlineStr">
        <is>
          <t>Tablet</t>
        </is>
      </c>
      <c r="D13" s="359" t="n">
        <v>330.3861891117479</v>
      </c>
      <c r="E13" s="66" t="n">
        <v>2516415.06</v>
      </c>
      <c r="F13" s="67" t="n">
        <v>230609.56</v>
      </c>
      <c r="G13" s="68" t="n">
        <v>7109</v>
      </c>
      <c r="H13" s="68" t="n">
        <v>698</v>
      </c>
      <c r="I13" s="68" t="n">
        <v>828</v>
      </c>
      <c r="J13" s="69" t="n">
        <v>4.4</v>
      </c>
      <c r="K13" s="69" t="inlineStr">
        <is>
          <t>https://amazon.com/dp/B08TR5PS5V</t>
        </is>
      </c>
      <c r="L13" s="114">
        <f>HYPERLINK(Table4779[[#This Row],[Column1]])</f>
        <v/>
      </c>
    </row>
    <row r="14" ht="45" customHeight="1" s="314">
      <c r="A14" s="35" t="inlineStr">
        <is>
          <t>TOPDON ArtiDiag Pro OBD2 Scanner Diagnostic Tool, Bidirectional Scan Tool with ECU Coding, 35+ Services, V.A.G Guided, FCA SGW, Can FD DoIP/All System Diagnosis</t>
        </is>
      </c>
      <c r="B14" s="35" t="inlineStr">
        <is>
          <t>B0BNKHCXVC</t>
        </is>
      </c>
      <c r="C14" s="35" t="inlineStr">
        <is>
          <t>Tablet</t>
        </is>
      </c>
      <c r="D14" s="359" t="n">
        <v>429.9311553030303</v>
      </c>
      <c r="E14" s="66" t="n">
        <v>3043204.62</v>
      </c>
      <c r="F14" s="67" t="n">
        <v>227003.65</v>
      </c>
      <c r="G14" s="68" t="n">
        <v>6723</v>
      </c>
      <c r="H14" s="68" t="n">
        <v>528</v>
      </c>
      <c r="I14" s="68" t="n">
        <v>774</v>
      </c>
      <c r="J14" s="69" t="n">
        <v>4.3</v>
      </c>
      <c r="K14" s="69" t="inlineStr">
        <is>
          <t>https://amazon.com/dp/B0BNKHCXVC</t>
        </is>
      </c>
      <c r="L14" s="114">
        <f>HYPERLINK(Table4779[[#This Row],[Column1]])</f>
        <v/>
      </c>
    </row>
    <row r="15" ht="60" customHeight="1" s="314">
      <c r="A15" s="35" t="inlineStr">
        <is>
          <t>TOPDON Scanner AD800BT V2.0, Bidirectional Scan Tool, Full Systems Diagnostic Tool for All Vehicles, Automotive Diagnostic Scanner for Car, 28+ Services, FCA AutoAuth, CANFD, 2 Years Free Update</t>
        </is>
      </c>
      <c r="B15" s="35" t="inlineStr">
        <is>
          <t>B08TBRDH7W</t>
        </is>
      </c>
      <c r="C15" s="35" t="inlineStr">
        <is>
          <t>Tablet</t>
        </is>
      </c>
      <c r="D15" s="359" t="n">
        <v>321.1128621291449</v>
      </c>
      <c r="E15" s="66" t="n">
        <v>1626773.72</v>
      </c>
      <c r="F15" s="67" t="n">
        <v>183997.67</v>
      </c>
      <c r="G15" s="68" t="n">
        <v>4630</v>
      </c>
      <c r="H15" s="68" t="n">
        <v>573</v>
      </c>
      <c r="I15" s="68" t="n">
        <v>664</v>
      </c>
      <c r="J15" s="69" t="n">
        <v>4.4</v>
      </c>
      <c r="K15" s="69" t="inlineStr">
        <is>
          <t>https://amazon.com/dp/B08TBRDH7W</t>
        </is>
      </c>
      <c r="L15" s="114">
        <f>HYPERLINK(Table4779[[#This Row],[Column1]])</f>
        <v/>
      </c>
    </row>
    <row r="16" ht="45" customHeight="1" s="314">
      <c r="A16" s="35" t="inlineStr">
        <is>
          <t>TOPDON Upgraded AD600S OBD2 Scanner, Diagnostic Tool, ABS SRS Transmission Engine Code Reader, 9 Reset Services Scan Tool, Oil/Brake/BMS/SAS/DPF/TPMS/ETS Reset, Injector Coding, Lifetime Free Update</t>
        </is>
      </c>
      <c r="B16" s="35" t="inlineStr">
        <is>
          <t>B0CTHJW813</t>
        </is>
      </c>
      <c r="C16" s="35" t="inlineStr">
        <is>
          <t>Tablet</t>
        </is>
      </c>
      <c r="D16" s="359" t="n">
        <v>196.5306924101198</v>
      </c>
      <c r="E16" s="66" t="n">
        <v>2271197.149999999</v>
      </c>
      <c r="F16" s="67" t="n">
        <v>147594.55</v>
      </c>
      <c r="G16" s="68" t="n">
        <v>11104</v>
      </c>
      <c r="H16" s="68" t="n">
        <v>751</v>
      </c>
      <c r="I16" s="68" t="n">
        <v>876</v>
      </c>
      <c r="J16" s="69" t="n">
        <v>4.5</v>
      </c>
      <c r="K16" s="69" t="inlineStr">
        <is>
          <t>https://amazon.com/dp/B0CTHJW813</t>
        </is>
      </c>
      <c r="L16" s="114">
        <f>HYPERLINK(Table4779[[#This Row],[Column1]])</f>
        <v/>
      </c>
    </row>
    <row r="17" ht="45" customHeight="1" s="314">
      <c r="A17" s="35" t="inlineStr">
        <is>
          <t>TOPDON AD500 OBD2 Scanner, Oil SAS Throttle TPMS BMS EPB Reset, Engine ABS SRS Transmission, Diagnostic Scan Tool, AutoVIN, Car Check Engine Code Reader with Battery Test, Lifetime Wi-Fi Free Update</t>
        </is>
      </c>
      <c r="B17" s="35" t="inlineStr">
        <is>
          <t>B08XK3DJ42</t>
        </is>
      </c>
      <c r="C17" s="35" t="inlineStr">
        <is>
          <t>Tablet</t>
        </is>
      </c>
      <c r="D17" s="359" t="n">
        <v>158.4307592190889</v>
      </c>
      <c r="E17" s="66" t="n">
        <v>2504808.563076923</v>
      </c>
      <c r="F17" s="67" t="n">
        <v>146073.16</v>
      </c>
      <c r="G17" s="68" t="n">
        <v>15216</v>
      </c>
      <c r="H17" s="68" t="n">
        <v>922</v>
      </c>
      <c r="I17" s="68" t="n">
        <v>1727</v>
      </c>
      <c r="J17" s="69" t="n">
        <v>4.5</v>
      </c>
      <c r="K17" s="69" t="inlineStr">
        <is>
          <t>https://amazon.com/dp/B08XK3DJ42</t>
        </is>
      </c>
      <c r="L17" s="114">
        <f>HYPERLINK(Table4779[[#This Row],[Column1]])</f>
        <v/>
      </c>
    </row>
    <row r="18" ht="45" customHeight="1" s="314">
      <c r="A18" s="35" t="inlineStr">
        <is>
          <t>TOPDON ArtiDiag600 Pro, OBD2 Scanner Diagnostic Tool for All Systems, Code Reader Scan Tool with 9 Essential Maintenance Functions, Upgraded Version of AD600S/AD500, Lifetime Free Update</t>
        </is>
      </c>
      <c r="B18" s="35" t="inlineStr">
        <is>
          <t>B0DMW4QY3T</t>
        </is>
      </c>
      <c r="C18" s="35" t="inlineStr">
        <is>
          <t>Tablet</t>
        </is>
      </c>
      <c r="D18" s="359" t="n">
        <v>243.9343711340206</v>
      </c>
      <c r="E18" s="66" t="n">
        <v>883905.5399999998</v>
      </c>
      <c r="F18" s="67" t="n">
        <v>118308.17</v>
      </c>
      <c r="G18" s="68" t="n">
        <v>3585</v>
      </c>
      <c r="H18" s="68" t="n">
        <v>485</v>
      </c>
      <c r="I18" s="68" t="n">
        <v>172</v>
      </c>
      <c r="J18" s="69" t="n">
        <v>4.5</v>
      </c>
      <c r="K18" s="69" t="inlineStr">
        <is>
          <t>https://amazon.com/dp/B0DMW4QY3T</t>
        </is>
      </c>
      <c r="L18" s="114">
        <f>HYPERLINK(Table4779[[#This Row],[Column1]])</f>
        <v/>
      </c>
    </row>
    <row r="19" ht="45" customHeight="1" s="314">
      <c r="A19" s="35" t="inlineStr">
        <is>
          <t>TOPDON RLink J2534 Pass-Thru Programmer, OEM Reprogramming and Diagnostic Tool, Enhanced J2534 VCI, Supports J2534/D-PDU/CAN-FD/DoIP, Compatible with 18+ Vehicle Brands, No OE Software Provided</t>
        </is>
      </c>
      <c r="B19" s="35" t="inlineStr">
        <is>
          <t>B0DFM25BZB</t>
        </is>
      </c>
      <c r="C19" s="35" t="inlineStr">
        <is>
          <t>VCI</t>
        </is>
      </c>
      <c r="D19" s="359" t="n">
        <v>258.7172453703704</v>
      </c>
      <c r="E19" s="66" t="n">
        <v>1673673.19</v>
      </c>
      <c r="F19" s="67" t="n">
        <v>111765.85</v>
      </c>
      <c r="G19" s="68" t="n">
        <v>6090</v>
      </c>
      <c r="H19" s="68" t="n">
        <v>432</v>
      </c>
      <c r="I19" s="68" t="n">
        <v>270</v>
      </c>
      <c r="J19" s="69" t="n">
        <v>4.5</v>
      </c>
      <c r="K19" s="69" t="inlineStr">
        <is>
          <t>https://amazon.com/dp/B0DFM25BZB</t>
        </is>
      </c>
      <c r="L19" s="114">
        <f>HYPERLINK(Table4779[[#This Row],[Column1]])</f>
        <v/>
      </c>
    </row>
    <row r="20" ht="45" customHeight="1" s="314">
      <c r="A20" s="35" t="inlineStr">
        <is>
          <t>TOPDON TopScan Lite OBD2 Scanner Bluetooth, Bi-Directional Scanner Wireless All System Diagnostic Tool for iOS &amp; Android, 8+ Hot Reset, Repair Guides, Check Engine Car Code Reader, Performance Test</t>
        </is>
      </c>
      <c r="B20" s="35" t="inlineStr">
        <is>
          <t>B0C3QQYQ1B</t>
        </is>
      </c>
      <c r="C20" s="35" t="inlineStr">
        <is>
          <t>Dongle</t>
        </is>
      </c>
      <c r="D20" s="359" t="n">
        <v>51.95718309859155</v>
      </c>
      <c r="E20" s="66" t="n">
        <v>2108841.06</v>
      </c>
      <c r="F20" s="67" t="n">
        <v>70090.24000000001</v>
      </c>
      <c r="G20" s="68" t="n">
        <v>31770</v>
      </c>
      <c r="H20" s="68" t="n">
        <v>1349</v>
      </c>
      <c r="I20" s="68" t="n">
        <v>7230</v>
      </c>
      <c r="J20" s="69" t="n">
        <v>4</v>
      </c>
      <c r="K20" s="69" t="inlineStr">
        <is>
          <t>https://amazon.com/dp/B0C3QQYQ1B</t>
        </is>
      </c>
      <c r="L20" s="114">
        <f>HYPERLINK(Table4779[[#This Row],[Column1]])</f>
        <v/>
      </c>
    </row>
    <row r="21" ht="45" customHeight="1" s="314">
      <c r="A21" s="35" t="inlineStr">
        <is>
          <t>TOPDON RLink J2534 Reprogramming Tool, High-Speed J2534 Pass-Thru Programmer, OEM Reprogramming and Diagnostic Tool, Supports J2534/D-PDU/CAN-FD/DoIP, 17+ Vehicle Brands Supported</t>
        </is>
      </c>
      <c r="B21" s="35" t="inlineStr">
        <is>
          <t>B0FS11XMH1</t>
        </is>
      </c>
      <c r="C21" s="35" t="inlineStr">
        <is>
          <t>VCI</t>
        </is>
      </c>
      <c r="D21" s="359" t="n">
        <v>256.5457933579336</v>
      </c>
      <c r="E21" s="66" t="n">
        <v>700772.8915384616</v>
      </c>
      <c r="F21" s="67" t="n">
        <v>69523.91</v>
      </c>
      <c r="G21" s="68" t="n">
        <v>1260</v>
      </c>
      <c r="H21" s="68" t="n">
        <v>271</v>
      </c>
      <c r="I21" s="68" t="n">
        <v>32</v>
      </c>
      <c r="J21" s="69" t="n">
        <v>5</v>
      </c>
      <c r="K21" s="69" t="inlineStr">
        <is>
          <t>https://amazon.com/dp/B0FS11XMH1</t>
        </is>
      </c>
      <c r="L21" s="114">
        <f>HYPERLINK(Table4779[[#This Row],[Column1]])</f>
        <v/>
      </c>
    </row>
    <row r="22" ht="45" customHeight="1" s="314">
      <c r="A22" s="35" t="inlineStr">
        <is>
          <t>TOPDON Phoenix Smart OBD2 Scanner, Bidirectional Scan Tool for 200+ Brands, Car Diagnostic Tool with ECU Programming Coding, CAN-FD &amp; DoIP, Topology Mapping &amp; ADAS Compatibility, 2 Years Free Update</t>
        </is>
      </c>
      <c r="B22" s="35" t="inlineStr">
        <is>
          <t>B09YQ1NQXD</t>
        </is>
      </c>
      <c r="C22" s="35" t="inlineStr">
        <is>
          <t>Tablet</t>
        </is>
      </c>
      <c r="D22" s="359" t="n">
        <v>2004.318125</v>
      </c>
      <c r="E22" s="66" t="n">
        <v>578580.98</v>
      </c>
      <c r="F22" s="67" t="n">
        <v>64138.18</v>
      </c>
      <c r="G22" s="68" t="n">
        <v>264</v>
      </c>
      <c r="H22" s="68" t="n">
        <v>32</v>
      </c>
      <c r="I22" s="68" t="n">
        <v>15</v>
      </c>
      <c r="J22" s="69" t="n">
        <v>4.5</v>
      </c>
      <c r="K22" s="69" t="inlineStr">
        <is>
          <t>https://amazon.com/dp/B09YQ1NQXD</t>
        </is>
      </c>
      <c r="L22" s="114">
        <f>HYPERLINK(Table4779[[#This Row],[Column1]])</f>
        <v/>
      </c>
    </row>
    <row r="23" ht="45" customHeight="1" s="314">
      <c r="A23" s="35" t="inlineStr">
        <is>
          <t>TOPDON TopScan Pro OBD2 Scanner Bluetooth, Bi-Directional Scan Tool for iPhone &amp; Android with All System, 13+ Hot Reset Car Scanner, FCA AutoAuth, CAN-FD, AI Assistant, Upgraded TopScan Code Reader</t>
        </is>
      </c>
      <c r="B23" s="35" t="inlineStr">
        <is>
          <t>B0G2Y6Y36Q</t>
        </is>
      </c>
      <c r="C23" s="35" t="inlineStr">
        <is>
          <t>Dongle</t>
        </is>
      </c>
      <c r="D23" s="359" t="n">
        <v>112.2635940409683</v>
      </c>
      <c r="E23" s="66" t="n">
        <v>599303.77</v>
      </c>
      <c r="F23" s="67" t="n">
        <v>60285.55</v>
      </c>
      <c r="G23" s="68" t="n">
        <v>1320</v>
      </c>
      <c r="H23" s="68" t="n">
        <v>537</v>
      </c>
      <c r="I23" s="68" t="n">
        <v>97</v>
      </c>
      <c r="J23" s="69" t="n">
        <v>4.7</v>
      </c>
      <c r="K23" s="69" t="inlineStr">
        <is>
          <t>https://amazon.com/dp/B0G2Y6Y36Q</t>
        </is>
      </c>
      <c r="L23" s="114">
        <f>HYPERLINK(Table4779[[#This Row],[Column1]])</f>
        <v/>
      </c>
    </row>
    <row r="24" ht="45" customHeight="1" s="314">
      <c r="A24" s="35" t="inlineStr">
        <is>
          <t>OBD2 Scanner Diagnostic Tool, TOPDON AD900BT Bidirectional Scan Tool with ECU C0ding, 28+ Services, Automotive All Systems Diagnosis Scanner for Car with 2 Years Updates, Active Test</t>
        </is>
      </c>
      <c r="B24" s="35" t="inlineStr">
        <is>
          <t>B0C1YB3N42</t>
        </is>
      </c>
      <c r="C24" s="35" t="inlineStr">
        <is>
          <t>Tablet</t>
        </is>
      </c>
      <c r="D24" s="359" t="n">
        <v>494.2713445378151</v>
      </c>
      <c r="E24" s="66" t="n">
        <v>561059.76</v>
      </c>
      <c r="F24" s="67" t="n">
        <v>58818.29</v>
      </c>
      <c r="G24" s="68" t="n">
        <v>1050</v>
      </c>
      <c r="H24" s="68" t="n">
        <v>119</v>
      </c>
      <c r="I24" s="68" t="n">
        <v>219</v>
      </c>
      <c r="J24" s="69" t="n">
        <v>4.4</v>
      </c>
      <c r="K24" s="69" t="inlineStr">
        <is>
          <t>https://amazon.com/dp/B0C1YB3N42</t>
        </is>
      </c>
      <c r="L24" s="114">
        <f>HYPERLINK(Table4779[[#This Row],[Column1]])</f>
        <v/>
      </c>
    </row>
    <row r="25" ht="45" customHeight="1" s="314">
      <c r="A25" s="35" t="inlineStr">
        <is>
          <t>TOPDON AD500 OBD2 Scanner Car Code Reader Scan Tool, Engine ABS SRS Transmission Diagnostics Tool, Oil/Throttle/SAS/TPMS/BMS/EPB Reset Car Scanner, Free Upgrade for DIY</t>
        </is>
      </c>
      <c r="B25" s="35" t="inlineStr">
        <is>
          <t>B09LH3QFFQ</t>
        </is>
      </c>
      <c r="C25" s="35" t="inlineStr">
        <is>
          <t>Tablet</t>
        </is>
      </c>
      <c r="D25" s="359" t="n">
        <v>157.2394540229885</v>
      </c>
      <c r="E25" s="66" t="n">
        <v>855025.9099999999</v>
      </c>
      <c r="F25" s="67" t="n">
        <v>54719.33</v>
      </c>
      <c r="G25" s="68" t="n">
        <v>5311</v>
      </c>
      <c r="H25" s="68" t="n">
        <v>348</v>
      </c>
      <c r="I25" s="68" t="n">
        <v>1082</v>
      </c>
      <c r="J25" s="69" t="n">
        <v>4.5</v>
      </c>
      <c r="K25" s="69" t="inlineStr">
        <is>
          <t>https://amazon.com/dp/B09LH3QFFQ</t>
        </is>
      </c>
      <c r="L25" s="114">
        <f>HYPERLINK(Table4779[[#This Row],[Column1]])</f>
        <v/>
      </c>
    </row>
    <row r="26" ht="60" customHeight="1" s="314">
      <c r="A26" s="35" t="inlineStr">
        <is>
          <t>TOPDON Topscan Master OBD2 Scanner Bluetooth, 2026 Wireless Bidirectional Scan Tool, All System Diagnostic Tool for iOS &amp; Android, 30+ Resets, FCA AutoAuth, CAN-FD/DoIP, Upgraded Version of TopScan</t>
        </is>
      </c>
      <c r="B26" s="35" t="inlineStr">
        <is>
          <t>B0FX3VZXTK</t>
        </is>
      </c>
      <c r="C26" s="35" t="inlineStr">
        <is>
          <t>Tablet</t>
        </is>
      </c>
      <c r="D26" s="359" t="n">
        <v>174.7615857605178</v>
      </c>
      <c r="E26" s="66" t="n">
        <v>624628.2507692308</v>
      </c>
      <c r="F26" s="67" t="n">
        <v>54001.33</v>
      </c>
      <c r="G26" s="68" t="n">
        <v>1473</v>
      </c>
      <c r="H26" s="68" t="n">
        <v>309</v>
      </c>
      <c r="I26" s="68" t="n">
        <v>40</v>
      </c>
      <c r="J26" s="69" t="n">
        <v>4.5</v>
      </c>
      <c r="K26" s="69" t="inlineStr">
        <is>
          <t>https://amazon.com/dp/B0FX3VZXTK</t>
        </is>
      </c>
      <c r="L26" s="114">
        <f>HYPERLINK(Table4779[[#This Row],[Column1]])</f>
        <v/>
      </c>
    </row>
    <row r="27" ht="45" customHeight="1" s="314">
      <c r="A27" s="35" t="inlineStr">
        <is>
          <t>TOPDON RLink X3 OBD2 Adapter for GM/Ford/Chrysler, J2534 Pass-Thru Programmer, OBD USB FORScan Adapter, OEM Programming and Diagnostic Tool, Fit for 8+ OE Software, Supports J2534/CAN-FD, Auto Switch</t>
        </is>
      </c>
      <c r="B27" s="35" t="inlineStr">
        <is>
          <t>B0FRRYY8TC</t>
        </is>
      </c>
      <c r="C27" s="35" t="inlineStr">
        <is>
          <t>Cable/Adapter</t>
        </is>
      </c>
      <c r="D27" s="359" t="n">
        <v>125.0126341463415</v>
      </c>
      <c r="E27" s="66" t="n">
        <v>530296.4769230768</v>
      </c>
      <c r="F27" s="67" t="n">
        <v>51255.18</v>
      </c>
      <c r="G27" s="68" t="n">
        <v>1469</v>
      </c>
      <c r="H27" s="68" t="n">
        <v>410</v>
      </c>
      <c r="I27" s="68" t="n">
        <v>60</v>
      </c>
      <c r="J27" s="69" t="n">
        <v>4.3</v>
      </c>
      <c r="K27" s="69" t="inlineStr">
        <is>
          <t>https://amazon.com/dp/B0FRRYY8TC</t>
        </is>
      </c>
      <c r="L27" s="114">
        <f>HYPERLINK(Table4779[[#This Row],[Column1]])</f>
        <v/>
      </c>
    </row>
    <row r="28" ht="45" customHeight="1" s="314">
      <c r="A28" s="35" t="inlineStr">
        <is>
          <t>TOPDON Carpal OBD2 Scanner Bluetooth - Scanner for Car, AI-Assisted All System Diagnostic Tool for iOS &amp; Android, Vehicle Health Check, 6 Maintenance Services, Smog Check, Repair Guide</t>
        </is>
      </c>
      <c r="B28" s="35" t="inlineStr">
        <is>
          <t>B0D9VPW238</t>
        </is>
      </c>
      <c r="C28" s="35" t="inlineStr">
        <is>
          <t>Dongle</t>
        </is>
      </c>
      <c r="D28" s="359" t="n">
        <v>40.38472140762463</v>
      </c>
      <c r="E28" s="66" t="n">
        <v>416110.01</v>
      </c>
      <c r="F28" s="67" t="n">
        <v>41313.57</v>
      </c>
      <c r="G28" s="68" t="n">
        <v>8770</v>
      </c>
      <c r="H28" s="68" t="n">
        <v>1023</v>
      </c>
      <c r="I28" s="68" t="n">
        <v>3030</v>
      </c>
      <c r="J28" s="69" t="n">
        <v>4.3</v>
      </c>
      <c r="K28" s="69" t="inlineStr">
        <is>
          <t>https://amazon.com/dp/B0D9VPW238</t>
        </is>
      </c>
      <c r="L28" s="114">
        <f>HYPERLINK(Table4779[[#This Row],[Column1]])</f>
        <v/>
      </c>
    </row>
    <row r="29" ht="45" customHeight="1" s="314">
      <c r="A29" s="35" t="inlineStr">
        <is>
          <t>TOPDON VeriDiag X800 BT OBD2 Scanner, 2026 Upgraded Bidirectional Scan Tool with 34 Reset Services, Full System Wireless Automotive Diagnostic Tool, Active Test Scan Tool, 2 Years Free Update</t>
        </is>
      </c>
      <c r="B29" s="35" t="inlineStr">
        <is>
          <t>B0GMGV5LB7</t>
        </is>
      </c>
      <c r="C29" s="35" t="inlineStr">
        <is>
          <t>Tablet</t>
        </is>
      </c>
      <c r="D29" s="359" t="n">
        <v>375.2603092783505</v>
      </c>
      <c r="E29" s="66" t="n">
        <v>410802.5484615383</v>
      </c>
      <c r="F29" s="67" t="n">
        <v>36400.25</v>
      </c>
      <c r="G29" s="68" t="n">
        <v>109</v>
      </c>
      <c r="H29" s="68" t="n">
        <v>97</v>
      </c>
      <c r="I29" s="68" t="n"/>
      <c r="J29" s="69" t="n"/>
      <c r="K29" s="69" t="inlineStr">
        <is>
          <t>https://amazon.com/dp/B0GMGV5LB7</t>
        </is>
      </c>
      <c r="L29" s="114">
        <f>HYPERLINK(Table4779[[#This Row],[Column1]])</f>
        <v/>
      </c>
    </row>
    <row r="30" ht="45" customHeight="1" s="314">
      <c r="A30" s="35" t="inlineStr">
        <is>
          <t>TOPDON ArtiDiag HD Heavy Duty Truck Scanner, Diesel Diagnostic Tool, Full System Truck Scanner for Cummins Detroit MaxxForce, 10 Reset Service, DPF Regen, Speed Limit Adjust Reset, 2 Years Free Update</t>
        </is>
      </c>
      <c r="B30" s="35" t="inlineStr">
        <is>
          <t>B0FSZPGN9X</t>
        </is>
      </c>
      <c r="C30" s="35" t="inlineStr">
        <is>
          <t>Tablet</t>
        </is>
      </c>
      <c r="D30" s="359" t="n">
        <v>724.2180000000001</v>
      </c>
      <c r="E30" s="66" t="n">
        <v>339964.9630769231</v>
      </c>
      <c r="F30" s="67" t="n">
        <v>36210.9</v>
      </c>
      <c r="G30" s="68" t="n">
        <v>140</v>
      </c>
      <c r="H30" s="68" t="n">
        <v>50</v>
      </c>
      <c r="I30" s="68" t="n">
        <v>4</v>
      </c>
      <c r="J30" s="69" t="n">
        <v>5</v>
      </c>
      <c r="K30" s="69" t="inlineStr">
        <is>
          <t>https://amazon.com/dp/B0FSZPGN9X</t>
        </is>
      </c>
      <c r="L30" s="114">
        <f>HYPERLINK(Table4779[[#This Row],[Column1]])</f>
        <v/>
      </c>
    </row>
    <row r="31" ht="45" customHeight="1" s="314">
      <c r="A31" s="35" t="inlineStr">
        <is>
          <t>TOPDON Phoenix Lite 2 Bidirectional Scan Tool, OBD2 Scanner, Function as AD900BT AD900 Lite, ECU Coding, Wireless Automotive Diagnostic Scanner, 34+ Reset Services, FCA AutoAuth, 2 Years Free Update</t>
        </is>
      </c>
      <c r="B31" s="35" t="inlineStr">
        <is>
          <t>B0B1MB6YG8</t>
        </is>
      </c>
      <c r="C31" s="35" t="inlineStr">
        <is>
          <t>Tablet</t>
        </is>
      </c>
      <c r="D31" s="359" t="n">
        <v>705.531875</v>
      </c>
      <c r="E31" s="66" t="n">
        <v>811100.7</v>
      </c>
      <c r="F31" s="67" t="n">
        <v>33865.53</v>
      </c>
      <c r="G31" s="68" t="n">
        <v>1086</v>
      </c>
      <c r="H31" s="68" t="n">
        <v>48</v>
      </c>
      <c r="I31" s="68" t="n">
        <v>376</v>
      </c>
      <c r="J31" s="69" t="n">
        <v>4.3</v>
      </c>
      <c r="K31" s="69" t="inlineStr">
        <is>
          <t>https://amazon.com/dp/B0B1MB6YG8</t>
        </is>
      </c>
      <c r="L31" s="114">
        <f>HYPERLINK(Table4779[[#This Row],[Column1]])</f>
        <v/>
      </c>
    </row>
    <row r="32" ht="45" customHeight="1" s="314">
      <c r="A32" s="35" t="inlineStr">
        <is>
          <t>TOPDON Phoenix Plus 2 Bidirectional Scan Tool with Battery Tester, 2 Years Free Update, OE-Level Full Diagnosis, Topology Scanner, 40+ Reset Services, AutoAuth for FCA SGW</t>
        </is>
      </c>
      <c r="B32" s="35" t="inlineStr">
        <is>
          <t>B0B3JB2P5H</t>
        </is>
      </c>
      <c r="C32" s="35" t="inlineStr">
        <is>
          <t>Tablet</t>
        </is>
      </c>
      <c r="D32" s="359" t="n">
        <v>999.2054838709676</v>
      </c>
      <c r="E32" s="66" t="n">
        <v>563499.4999999999</v>
      </c>
      <c r="F32" s="67" t="n">
        <v>30975.37</v>
      </c>
      <c r="G32" s="68" t="n">
        <v>502</v>
      </c>
      <c r="H32" s="68" t="n">
        <v>31</v>
      </c>
      <c r="I32" s="68" t="n">
        <v>94</v>
      </c>
      <c r="J32" s="69" t="n">
        <v>4.3</v>
      </c>
      <c r="K32" s="69" t="inlineStr">
        <is>
          <t>https://amazon.com/dp/B0B3JB2P5H</t>
        </is>
      </c>
      <c r="L32" s="114">
        <f>HYPERLINK(Table4779[[#This Row],[Column1]])</f>
        <v/>
      </c>
    </row>
    <row r="33" ht="45" customHeight="1" s="314">
      <c r="A33" s="35" t="inlineStr">
        <is>
          <t>TOPDON Phoenix Nano, 2026 New Bidirectional Scan Tool, FCA AutoAuth, CAN FD/DoIP Protocols, 32+ Special Functions, Full System Diagnostic, Free Updates for 2 Years</t>
        </is>
      </c>
      <c r="B33" s="35" t="inlineStr">
        <is>
          <t>B0D812Q21B</t>
        </is>
      </c>
      <c r="C33" s="35" t="inlineStr">
        <is>
          <t>Tablet</t>
        </is>
      </c>
      <c r="D33" s="359" t="n">
        <v>561.5688888888889</v>
      </c>
      <c r="E33" s="66" t="n">
        <v>467221.3800000001</v>
      </c>
      <c r="F33" s="67" t="n">
        <v>30324.72</v>
      </c>
      <c r="G33" s="68" t="n">
        <v>738</v>
      </c>
      <c r="H33" s="68" t="n">
        <v>54</v>
      </c>
      <c r="I33" s="68" t="n">
        <v>62</v>
      </c>
      <c r="J33" s="69" t="n">
        <v>4.4</v>
      </c>
      <c r="K33" s="69" t="inlineStr">
        <is>
          <t>https://amazon.com/dp/B0D812Q21B</t>
        </is>
      </c>
      <c r="L33" s="114">
        <f>HYPERLINK(Table4779[[#This Row],[Column1]])</f>
        <v/>
      </c>
    </row>
    <row r="34" ht="17" customHeight="1" s="314">
      <c r="A34" s="35" t="inlineStr">
        <is>
          <t>TOPDON Phoenix Lite 3 OBD2 Scanner, Upgraded Scanner of Lite 2, Bidirectional Scan Tool with CAN-FD, Car Scanner Diagnostic Tool, 35+ Maintenance Resets, Topology Mapping, ECU Coding, FCA Autoauth</t>
        </is>
      </c>
      <c r="B34" s="35" t="inlineStr">
        <is>
          <t>B0DFLWDPK2</t>
        </is>
      </c>
      <c r="C34" s="35" t="inlineStr">
        <is>
          <t>Tablet</t>
        </is>
      </c>
      <c r="D34" s="359" t="n">
        <v>797.8936842105263</v>
      </c>
      <c r="E34" s="66" t="n">
        <v>354653.69</v>
      </c>
      <c r="F34" s="67" t="n">
        <v>30319.96</v>
      </c>
      <c r="G34" s="68" t="n">
        <v>409</v>
      </c>
      <c r="H34" s="68" t="n">
        <v>38</v>
      </c>
      <c r="I34" s="68" t="n">
        <v>18</v>
      </c>
      <c r="J34" s="69" t="n">
        <v>4.7</v>
      </c>
      <c r="K34" s="69" t="inlineStr">
        <is>
          <t>https://amazon.com/dp/B0DFLWDPK2</t>
        </is>
      </c>
      <c r="L34" s="114">
        <f>HYPERLINK(Table4779[[#This Row],[Column1]])</f>
        <v/>
      </c>
    </row>
    <row r="35" ht="45" customHeight="1" s="314">
      <c r="A35" s="35" t="inlineStr">
        <is>
          <t>TOPDON Phoenix XLink Scanner, ECU Programming &amp; Coding Scan Tool, Topology Mapping, CAN-FD &amp; DoIP, Full System Bidirectional Scanner, 41+ Maintenance Services, V.A.G Guided, 2 Year Free Update</t>
        </is>
      </c>
      <c r="B35" s="35" t="inlineStr">
        <is>
          <t>B0D6YZT8Y5</t>
        </is>
      </c>
      <c r="C35" s="35" t="inlineStr">
        <is>
          <t>Tablet</t>
        </is>
      </c>
      <c r="D35" s="359" t="n">
        <v>1854.905384615385</v>
      </c>
      <c r="E35" s="66" t="n">
        <v>242454.49</v>
      </c>
      <c r="F35" s="67" t="n">
        <v>24113.77</v>
      </c>
      <c r="G35" s="68" t="n">
        <v>136</v>
      </c>
      <c r="H35" s="68" t="n">
        <v>13</v>
      </c>
      <c r="I35" s="68" t="n">
        <v>21</v>
      </c>
      <c r="J35" s="69" t="n">
        <v>3.8</v>
      </c>
      <c r="K35" s="69" t="inlineStr">
        <is>
          <t>https://amazon.com/dp/B0D6YZT8Y5</t>
        </is>
      </c>
      <c r="L35" s="114">
        <f>HYPERLINK(Table4779[[#This Row],[Column1]])</f>
        <v/>
      </c>
    </row>
    <row r="36" ht="45" customHeight="1" s="314">
      <c r="A36" s="35" t="inlineStr">
        <is>
          <t>TOPDON USA - Phoenix MAX W/Scope KIT</t>
        </is>
      </c>
      <c r="B36" s="35" t="inlineStr">
        <is>
          <t>B0FC2Y5BK9</t>
        </is>
      </c>
      <c r="C36" s="35" t="inlineStr">
        <is>
          <t>Tablet</t>
        </is>
      </c>
      <c r="D36" s="359" t="n">
        <v>3577.356</v>
      </c>
      <c r="E36" s="66" t="n">
        <v>386005.5715384615</v>
      </c>
      <c r="F36" s="67" t="n">
        <v>17886.78</v>
      </c>
      <c r="G36" s="68" t="n">
        <v>93</v>
      </c>
      <c r="H36" s="68" t="n">
        <v>5</v>
      </c>
      <c r="I36" s="68" t="n"/>
      <c r="J36" s="69" t="n"/>
      <c r="K36" s="69" t="inlineStr">
        <is>
          <t>https://amazon.com/dp/B0FC2Y5BK9</t>
        </is>
      </c>
      <c r="L36" s="114">
        <f>HYPERLINK(Table4779[[#This Row],[Column1]])</f>
        <v/>
      </c>
    </row>
    <row r="37" ht="45" customHeight="1" s="314">
      <c r="A37" s="35" t="inlineStr">
        <is>
          <t>TOPDON Phoenix XLink Scan Tool, ECU Programming, Online ECU Coding, Upgraded of Phoenix Plus, Topology Mapping, 41 Services, Bi-Directional Scanner, Guided Function, CAN FD/DoIP, 2 Years Free Update</t>
        </is>
      </c>
      <c r="B37" s="35" t="inlineStr">
        <is>
          <t>B0D2ZM4HL3</t>
        </is>
      </c>
      <c r="C37" s="35" t="inlineStr">
        <is>
          <t>Tablet</t>
        </is>
      </c>
      <c r="D37" s="359" t="n">
        <v>1719.97</v>
      </c>
      <c r="E37" s="66" t="n">
        <v>476515.6200000001</v>
      </c>
      <c r="F37" s="67" t="n">
        <v>15479.73</v>
      </c>
      <c r="G37" s="68" t="n">
        <v>272</v>
      </c>
      <c r="H37" s="68" t="n">
        <v>9</v>
      </c>
      <c r="I37" s="68" t="n">
        <v>427</v>
      </c>
      <c r="J37" s="69" t="n">
        <v>4.2</v>
      </c>
      <c r="K37" s="69" t="inlineStr">
        <is>
          <t>https://amazon.com/dp/B0D2ZM4HL3</t>
        </is>
      </c>
      <c r="L37" s="114">
        <f>HYPERLINK(Table4779[[#This Row],[Column1]])</f>
        <v/>
      </c>
    </row>
    <row r="38" ht="45" customHeight="1" s="314">
      <c r="A38" s="35" t="inlineStr">
        <is>
          <t>ArtiDiag600 Pro OBD2 Scanner Diagnostic Tool - TOPDON Automotive Scan Tool with Full Systems, Car Code Reader with 9 Reset Services for DIY &amp; Professional, Lifetime Free Update</t>
        </is>
      </c>
      <c r="B38" s="35" t="inlineStr">
        <is>
          <t>B0GDDWBY77</t>
        </is>
      </c>
      <c r="C38" s="35" t="inlineStr">
        <is>
          <t>Tablet</t>
        </is>
      </c>
      <c r="D38" s="359" t="n">
        <v>268.4875</v>
      </c>
      <c r="E38" s="66" t="n">
        <v>96118.5523076923</v>
      </c>
      <c r="F38" s="67" t="n">
        <v>7517.65</v>
      </c>
      <c r="G38" s="68" t="n">
        <v>97</v>
      </c>
      <c r="H38" s="68" t="n">
        <v>28</v>
      </c>
      <c r="I38" s="68" t="n">
        <v>9</v>
      </c>
      <c r="J38" s="69" t="n">
        <v>4.8</v>
      </c>
      <c r="K38" s="69" t="inlineStr">
        <is>
          <t>https://amazon.com/dp/B0GDDWBY77</t>
        </is>
      </c>
      <c r="L38" s="114">
        <f>HYPERLINK(Table4779[[#This Row],[Column1]])</f>
        <v/>
      </c>
    </row>
    <row r="39" ht="45" customHeight="1" s="314">
      <c r="A39" s="35" t="inlineStr">
        <is>
          <t>Motorcycle Scanner Bluetooth TOPDON TopScan, Motorcycle Scan Tool Fits for Harley, Ducati, BMW &amp; Japan Brands, All Systems Motorbike Scanner Tool with Reset Functioan, Data Stream, AutoVIN</t>
        </is>
      </c>
      <c r="B39" s="35" t="inlineStr">
        <is>
          <t>B0CVVXX3HH</t>
        </is>
      </c>
      <c r="C39" s="35" t="inlineStr">
        <is>
          <t>Dongle</t>
        </is>
      </c>
      <c r="D39" s="359" t="n">
        <v>153.5236170212766</v>
      </c>
      <c r="E39" s="66" t="n">
        <v>83047.31</v>
      </c>
      <c r="F39" s="67" t="n">
        <v>7215.61</v>
      </c>
      <c r="G39" s="68" t="n">
        <v>466</v>
      </c>
      <c r="H39" s="68" t="n">
        <v>47</v>
      </c>
      <c r="I39" s="68" t="n">
        <v>68</v>
      </c>
      <c r="J39" s="69" t="n">
        <v>4.1</v>
      </c>
      <c r="K39" s="69" t="inlineStr">
        <is>
          <t>https://amazon.com/dp/B0CVVXX3HH</t>
        </is>
      </c>
      <c r="L39" s="114">
        <f>HYPERLINK(Table4779[[#This Row],[Column1]])</f>
        <v/>
      </c>
    </row>
    <row r="40" ht="45" customHeight="1" s="314">
      <c r="A40" s="35" t="inlineStr">
        <is>
          <t>TOPDON Phoenix XLink 2025 New Gen Scan Tool, ECU Program ming/Online Coding, Topology Mapping/New CAN Bus/DoIP, Bidirectional Scanner, 41+ Service, V.A.G Guided, Diagnostic Tool for All Vehicles</t>
        </is>
      </c>
      <c r="B40" s="35" t="inlineStr">
        <is>
          <t>B0DT8JCQ5G</t>
        </is>
      </c>
      <c r="C40" s="35" t="inlineStr">
        <is>
          <t>Tablet</t>
        </is>
      </c>
      <c r="D40" s="359" t="n">
        <v>1427.788</v>
      </c>
      <c r="E40" s="66" t="n">
        <v>158064.24</v>
      </c>
      <c r="F40" s="67" t="n">
        <v>7138.94</v>
      </c>
      <c r="G40" s="68" t="n">
        <v>93</v>
      </c>
      <c r="H40" s="68" t="n">
        <v>5</v>
      </c>
      <c r="I40" s="68" t="n">
        <v>39</v>
      </c>
      <c r="J40" s="69" t="n">
        <v>4.4</v>
      </c>
      <c r="K40" s="69" t="inlineStr">
        <is>
          <t>https://amazon.com/dp/B0DT8JCQ5G</t>
        </is>
      </c>
      <c r="L40" s="114">
        <f>HYPERLINK(Table4779[[#This Row],[Column1]])</f>
        <v/>
      </c>
    </row>
    <row r="41" ht="45" customHeight="1" s="314">
      <c r="A41" s="35" t="inlineStr">
        <is>
          <t>TOPDON Carpal-US OBD2 Code Reader Bluetooth, All System OBD2 Scanner for iOS &amp; Android, Vehicle Health Check, 6 Maintenance Services, Smog Check, Repair Guide, 1 Year Free Update</t>
        </is>
      </c>
      <c r="B41" s="35" t="inlineStr">
        <is>
          <t>B0DBQQC2LS</t>
        </is>
      </c>
      <c r="C41" s="35" t="inlineStr">
        <is>
          <t>Dongle</t>
        </is>
      </c>
      <c r="D41" s="359" t="n">
        <v>41.24398843930636</v>
      </c>
      <c r="E41" s="66" t="n">
        <v>90678.16</v>
      </c>
      <c r="F41" s="67" t="n">
        <v>7135.21</v>
      </c>
      <c r="G41" s="68" t="n">
        <v>2141</v>
      </c>
      <c r="H41" s="68" t="n">
        <v>173</v>
      </c>
      <c r="I41" s="68" t="n">
        <v>1628</v>
      </c>
      <c r="J41" s="69" t="n">
        <v>4.4</v>
      </c>
      <c r="K41" s="69" t="inlineStr">
        <is>
          <t>https://amazon.com/dp/B0DBQQC2LS</t>
        </is>
      </c>
      <c r="L41" s="114">
        <f>HYPERLINK(Table4779[[#This Row],[Column1]])</f>
        <v/>
      </c>
    </row>
    <row r="42" ht="45" customHeight="1" s="314">
      <c r="A42" s="35" t="inlineStr">
        <is>
          <t>TOPDON 3-in-1 USB OBD2 Adapter for FORScan, High-Speed Enhanced J2534 VCI for GM/Ford/Chrysler, J2534 Pass-Thru OEM Functions and Diagnostic Tool, for J2534/CAN FD, RLink X3, No OE Software Provided</t>
        </is>
      </c>
      <c r="B42" s="35" t="inlineStr">
        <is>
          <t>B0G34SC1RP</t>
        </is>
      </c>
      <c r="C42" s="35" t="inlineStr">
        <is>
          <t>VCI</t>
        </is>
      </c>
      <c r="D42" s="359" t="n">
        <v>111.8627118644068</v>
      </c>
      <c r="E42" s="66" t="n">
        <v>96195.73846153844</v>
      </c>
      <c r="F42" s="67" t="n">
        <v>6599.9</v>
      </c>
      <c r="G42" s="68" t="n">
        <v>319</v>
      </c>
      <c r="H42" s="68" t="n">
        <v>59</v>
      </c>
      <c r="I42" s="68" t="n">
        <v>24</v>
      </c>
      <c r="J42" s="69" t="n">
        <v>4.9</v>
      </c>
      <c r="K42" s="69" t="inlineStr">
        <is>
          <t>https://amazon.com/dp/B0G34SC1RP</t>
        </is>
      </c>
      <c r="L42" s="114">
        <f>HYPERLINK(Table4779[[#This Row],[Column1]])</f>
        <v/>
      </c>
    </row>
    <row r="43" ht="60" customHeight="1" s="314">
      <c r="A43" s="35" t="inlineStr">
        <is>
          <t>TOPDON ArtiDiag600 Elite, OBD2 Scanner, Full-System Car Diagnostic Tool, 13+ Services, FCA AutoAuth, Automotive Scan Tool with CAN-FD, 2-Years Free Updates, Upgraded of AD500 AD600S</t>
        </is>
      </c>
      <c r="B43" s="35" t="inlineStr">
        <is>
          <t>B0DT6CDWKK</t>
        </is>
      </c>
      <c r="C43" s="35" t="inlineStr">
        <is>
          <t>Tablet</t>
        </is>
      </c>
      <c r="D43" s="359" t="n">
        <v>315.952</v>
      </c>
      <c r="E43" s="66" t="n">
        <v>213500.31</v>
      </c>
      <c r="F43" s="67" t="n">
        <v>6319.04</v>
      </c>
      <c r="G43" s="68" t="n">
        <v>696</v>
      </c>
      <c r="H43" s="68" t="n">
        <v>20</v>
      </c>
      <c r="I43" s="68" t="n">
        <v>75</v>
      </c>
      <c r="J43" s="69" t="n">
        <v>4.5</v>
      </c>
      <c r="K43" s="69" t="inlineStr">
        <is>
          <t>https://amazon.com/dp/B0DT6CDWKK</t>
        </is>
      </c>
      <c r="L43" s="114">
        <f>HYPERLINK(Table4779[[#This Row],[Column1]])</f>
        <v/>
      </c>
    </row>
    <row r="44" ht="45" customHeight="1" s="314">
      <c r="A44" s="35" t="inlineStr">
        <is>
          <t>TOPDON AL500B OBD2 Scanner Battery Tester 2 in 1 Code Reader, Full OBDII Diagnosis, 12V Battery Tests &amp; 12V/24V Cranking Tests, Charging Tests, Scan Tool, Car Diagnostic Tool for All OBDII Cars</t>
        </is>
      </c>
      <c r="B44" s="35" t="inlineStr">
        <is>
          <t>B0BNT2KGQ6</t>
        </is>
      </c>
      <c r="C44" s="35" t="inlineStr">
        <is>
          <t>Handheld</t>
        </is>
      </c>
      <c r="D44" s="359" t="n">
        <v>70.08025316455696</v>
      </c>
      <c r="E44" s="66" t="n">
        <v>73982.41769230769</v>
      </c>
      <c r="F44" s="67" t="n">
        <v>5536.34</v>
      </c>
      <c r="G44" s="68" t="n">
        <v>861</v>
      </c>
      <c r="H44" s="68" t="n">
        <v>79</v>
      </c>
      <c r="I44" s="68" t="n">
        <v>282</v>
      </c>
      <c r="J44" s="69" t="n">
        <v>4.4</v>
      </c>
      <c r="K44" s="69" t="inlineStr">
        <is>
          <t>https://amazon.com/dp/B0BNT2KGQ6</t>
        </is>
      </c>
      <c r="L44" s="114">
        <f>HYPERLINK(Table4779[[#This Row],[Column1]])</f>
        <v/>
      </c>
    </row>
    <row r="45" ht="45" customHeight="1" s="314">
      <c r="A45" s="35" t="inlineStr">
        <is>
          <t>TOPDON Phoenix Plus Scanner, OE-Level ECU Coding Scan Tool with Bidirectional Control, Topology Map, All System, 41+ Services, FCA SGW AutoAuth, V.A.G Guided, 2-Years Free Update, Module Configuration</t>
        </is>
      </c>
      <c r="B45" s="35" t="inlineStr">
        <is>
          <t>B0G4LXJB4V</t>
        </is>
      </c>
      <c r="C45" s="35" t="inlineStr">
        <is>
          <t>Tablet</t>
        </is>
      </c>
      <c r="D45" s="359" t="n">
        <v>1086.414</v>
      </c>
      <c r="E45" s="66" t="n">
        <v>106118.2176923077</v>
      </c>
      <c r="F45" s="67" t="n">
        <v>5432.07</v>
      </c>
      <c r="G45" s="68" t="n">
        <v>69</v>
      </c>
      <c r="H45" s="68" t="n">
        <v>5</v>
      </c>
      <c r="I45" s="68" t="n">
        <v>2</v>
      </c>
      <c r="J45" s="69" t="n">
        <v>5</v>
      </c>
      <c r="K45" s="69" t="inlineStr">
        <is>
          <t>https://amazon.com/dp/B0G4LXJB4V</t>
        </is>
      </c>
      <c r="L45" s="114">
        <f>HYPERLINK(Table4779[[#This Row],[Column1]])</f>
        <v/>
      </c>
    </row>
    <row r="46" ht="45" customHeight="1" s="314">
      <c r="A46" s="35" t="inlineStr">
        <is>
          <t>TOPDON J2534 VCI Tool, High-Speed EnhancedJ2534 VCI, J2534 Pass-Thru OEM Functions and Diagnostic Tool, Supports J2534/D-PDU/CAN-FD/DoIP, 8 Vehicle Brands Supported, RLink X7</t>
        </is>
      </c>
      <c r="B46" s="35" t="inlineStr">
        <is>
          <t>B0FS12V1XC</t>
        </is>
      </c>
      <c r="C46" s="35" t="inlineStr">
        <is>
          <t>VCI</t>
        </is>
      </c>
      <c r="D46" s="359" t="n">
        <v>176.4893333333333</v>
      </c>
      <c r="E46" s="66" t="n">
        <v>129345.0315384616</v>
      </c>
      <c r="F46" s="67" t="n">
        <v>5294.68</v>
      </c>
      <c r="G46" s="68" t="n">
        <v>548</v>
      </c>
      <c r="H46" s="68" t="n">
        <v>30</v>
      </c>
      <c r="I46" s="68" t="n">
        <v>31</v>
      </c>
      <c r="J46" s="69" t="n">
        <v>4.5</v>
      </c>
      <c r="K46" s="69" t="inlineStr">
        <is>
          <t>https://amazon.com/dp/B0FS12V1XC</t>
        </is>
      </c>
      <c r="L46" s="114">
        <f>HYPERLINK(Table4779[[#This Row],[Column1]])</f>
        <v/>
      </c>
    </row>
    <row r="47" ht="45" customHeight="1" s="314">
      <c r="A47" s="35" t="inlineStr">
        <is>
          <t>Motorcycle Scan Tool TOPDON TopScan Moto, All System Bidirectional Motorcycle Scanner for Harley, Duca ti, BMW &amp; Japan Brands, Reset Services Motorcycle Diagnostic Scanner, AutoVIN Diagnostic Tool</t>
        </is>
      </c>
      <c r="B47" s="35" t="inlineStr">
        <is>
          <t>B0DK98KF37</t>
        </is>
      </c>
      <c r="C47" s="35" t="inlineStr">
        <is>
          <t>Dongle</t>
        </is>
      </c>
      <c r="D47" s="359" t="n">
        <v>157.7347826086957</v>
      </c>
      <c r="E47" s="66" t="n">
        <v>56009.00000000001</v>
      </c>
      <c r="F47" s="67" t="n">
        <v>3627.9</v>
      </c>
      <c r="G47" s="68" t="n">
        <v>358</v>
      </c>
      <c r="H47" s="68" t="n">
        <v>23</v>
      </c>
      <c r="I47" s="68" t="n">
        <v>21</v>
      </c>
      <c r="J47" s="69" t="n">
        <v>4</v>
      </c>
      <c r="K47" s="69" t="inlineStr">
        <is>
          <t>https://amazon.com/dp/B0DK98KF37</t>
        </is>
      </c>
      <c r="L47" s="114">
        <f>HYPERLINK(Table4779[[#This Row],[Column1]])</f>
        <v/>
      </c>
    </row>
    <row r="48" ht="45" customHeight="1" s="314">
      <c r="A48" s="35" t="inlineStr">
        <is>
          <t>TOPDON AL400 OBD2 Scanner, Full OBDII Code Reader, Check Engine Light Scan Tool, Car Scanner with DTC Lookup, Clear Codes, Freeze Frame, One-Click I/M, Diagnostic Scanner for DIYers, Lifetime Update</t>
        </is>
      </c>
      <c r="B48" s="35" t="inlineStr">
        <is>
          <t>B09NW325DV</t>
        </is>
      </c>
      <c r="C48" s="35" t="inlineStr">
        <is>
          <t>Handheld</t>
        </is>
      </c>
      <c r="D48" s="359" t="n">
        <v>28.25913043478261</v>
      </c>
      <c r="E48" s="66" t="n">
        <v>56555.53000000001</v>
      </c>
      <c r="F48" s="67" t="n">
        <v>3249.8</v>
      </c>
      <c r="G48" s="68" t="n">
        <v>1727</v>
      </c>
      <c r="H48" s="68" t="n">
        <v>115</v>
      </c>
      <c r="I48" s="68" t="n">
        <v>783</v>
      </c>
      <c r="J48" s="69" t="n">
        <v>4.5</v>
      </c>
      <c r="K48" s="69" t="inlineStr">
        <is>
          <t>https://amazon.com/dp/B09NW325DV</t>
        </is>
      </c>
      <c r="L48" s="114">
        <f>HYPERLINK(Table4779[[#This Row],[Column1]])</f>
        <v/>
      </c>
    </row>
    <row r="49" ht="45" customHeight="1" s="314">
      <c r="A49" s="35" t="inlineStr">
        <is>
          <t>TOPDON 1</t>
        </is>
      </c>
      <c r="B49" s="35" t="inlineStr">
        <is>
          <t>B0D5J15WGL</t>
        </is>
      </c>
      <c r="C49" s="35" t="inlineStr">
        <is>
          <t>Dongle</t>
        </is>
      </c>
      <c r="D49" s="359" t="n">
        <v>75.435</v>
      </c>
      <c r="E49" s="66" t="n">
        <v>3610.54</v>
      </c>
      <c r="F49" s="67" t="n">
        <v>150.87</v>
      </c>
      <c r="G49" s="68" t="n">
        <v>41</v>
      </c>
      <c r="H49" s="68" t="n">
        <v>2</v>
      </c>
      <c r="I49" s="68" t="n">
        <v>35</v>
      </c>
      <c r="J49" s="69" t="n">
        <v>4.3</v>
      </c>
      <c r="K49" s="69" t="inlineStr">
        <is>
          <t>https://amazon.com/dp/B0D5J15WGL</t>
        </is>
      </c>
      <c r="L49" s="114">
        <f>HYPERLINK(Table4779[[#This Row],[Column1]])</f>
        <v/>
      </c>
    </row>
    <row r="50" ht="45" customHeight="1" s="314">
      <c r="A50" s="35" t="inlineStr">
        <is>
          <t>TOPDON USA - ARTIDIAG EU 4-INCH SCAN Tool for Euro Vehicles EC</t>
        </is>
      </c>
      <c r="B50" s="35" t="inlineStr">
        <is>
          <t>B0FJF8QWTR</t>
        </is>
      </c>
      <c r="C50" s="35" t="inlineStr">
        <is>
          <t>Handheld</t>
        </is>
      </c>
      <c r="D50" s="359" t="n">
        <v>119.27</v>
      </c>
      <c r="E50" s="66" t="n">
        <v>2233.733846153846</v>
      </c>
      <c r="F50" s="67" t="n">
        <v>119.27</v>
      </c>
      <c r="G50" s="68" t="n">
        <v>6</v>
      </c>
      <c r="H50" s="68" t="n">
        <v>1</v>
      </c>
      <c r="I50" s="68" t="n">
        <v>1</v>
      </c>
      <c r="J50" s="69" t="n">
        <v>1</v>
      </c>
      <c r="K50" s="69" t="inlineStr">
        <is>
          <t>https://amazon.com/dp/B0FJF8QWTR</t>
        </is>
      </c>
      <c r="L50" s="114">
        <f>HYPERLINK(Table4779[[#This Row],[Column1]])</f>
        <v/>
      </c>
    </row>
    <row r="51" ht="17" customHeight="1" s="314">
      <c r="A51" s="35" t="inlineStr">
        <is>
          <t>Topdon ArtiLink500 - Code Reader - 10 OBDII Modes &amp; Data Graphing</t>
        </is>
      </c>
      <c r="B51" s="35" t="inlineStr">
        <is>
          <t>B08MZWBN33</t>
        </is>
      </c>
      <c r="C51" s="35" t="inlineStr">
        <is>
          <t>Handheld</t>
        </is>
      </c>
      <c r="D51" s="359" t="n">
        <v>63.92</v>
      </c>
      <c r="E51" s="66" t="n">
        <v>63.92</v>
      </c>
      <c r="F51" s="67" t="n">
        <v>63.92</v>
      </c>
      <c r="G51" s="68" t="n">
        <v>1</v>
      </c>
      <c r="H51" s="68" t="n">
        <v>1</v>
      </c>
      <c r="I51" s="68" t="n">
        <v>774</v>
      </c>
      <c r="J51" s="69" t="n">
        <v>4</v>
      </c>
      <c r="K51" s="69" t="inlineStr">
        <is>
          <t>https://amazon.com/dp/B08MZWBN33</t>
        </is>
      </c>
      <c r="L51" s="114">
        <f>HYPERLINK(Table4779[[#This Row],[Column1]])</f>
        <v/>
      </c>
    </row>
    <row r="52" ht="17" customHeight="1" s="314">
      <c r="A52" s="35" t="inlineStr">
        <is>
          <t>TOPDON Round 10 Pin Connector to 16 Pin Adapter Compatible with BMW Motorcycles</t>
        </is>
      </c>
      <c r="B52" s="35" t="inlineStr">
        <is>
          <t>B0CXD91FGV</t>
        </is>
      </c>
      <c r="C52" s="35" t="inlineStr">
        <is>
          <t>Cable/Adapter</t>
        </is>
      </c>
      <c r="D52" s="359" t="n">
        <v>21.645</v>
      </c>
      <c r="E52" s="66" t="n">
        <v>212.46</v>
      </c>
      <c r="F52" s="67" t="n">
        <v>43.29</v>
      </c>
      <c r="G52" s="68" t="n">
        <v>8</v>
      </c>
      <c r="H52" s="68" t="n">
        <v>2</v>
      </c>
      <c r="I52" s="68" t="n">
        <v>3</v>
      </c>
      <c r="J52" s="69" t="n">
        <v>5</v>
      </c>
      <c r="K52" s="69" t="inlineStr">
        <is>
          <t>https://amazon.com/dp/B0CXD91FGV</t>
        </is>
      </c>
      <c r="L52" s="114">
        <f>HYPERLINK(Table4779[[#This Row],[Column1]])</f>
        <v/>
      </c>
    </row>
    <row r="53" ht="17" customHeight="1" s="314">
      <c r="A53" s="35" t="inlineStr">
        <is>
          <t>TOPDON AL400 OBD2 Scanner, Full OBDII Code Reader, Check Engine Light Scan Tool, Car Scanner with DTC Lookup, Clear Codes, Freeze Frame, One-Click I/M, Diagnostic Scanner for DIYers, Lifetime Update</t>
        </is>
      </c>
      <c r="B53" s="35" t="inlineStr">
        <is>
          <t>B0D5HBK8TD</t>
        </is>
      </c>
      <c r="C53" s="35" t="inlineStr">
        <is>
          <t>Handheld</t>
        </is>
      </c>
      <c r="D53" s="359" t="n">
        <v>29.99</v>
      </c>
      <c r="E53" s="66" t="n">
        <v>692.14</v>
      </c>
      <c r="F53" s="67" t="n">
        <v>0</v>
      </c>
      <c r="G53" s="68" t="n">
        <v>20</v>
      </c>
      <c r="H53" s="68" t="n">
        <v>0</v>
      </c>
      <c r="I53" s="68" t="n">
        <v>4</v>
      </c>
      <c r="J53" s="69" t="n">
        <v>4.5</v>
      </c>
      <c r="K53" s="69" t="inlineStr">
        <is>
          <t>https://amazon.com/dp/B0D5HBK8TD</t>
        </is>
      </c>
      <c r="L53" s="114">
        <f>HYPERLINK(Table4779[[#This Row],[Column1]])</f>
        <v/>
      </c>
    </row>
    <row r="54" ht="17" customHeight="1" s="314">
      <c r="A54" s="35" t="inlineStr">
        <is>
          <t>TOPDON USA - Phoenix MAX/Smart ONE-Year Update Passenger CAR</t>
        </is>
      </c>
      <c r="B54" s="35" t="inlineStr">
        <is>
          <t>B0CY5LZRWK</t>
        </is>
      </c>
      <c r="C54" s="35" t="inlineStr">
        <is>
          <t>Tablet</t>
        </is>
      </c>
      <c r="D54" s="359" t="n">
        <v>699.99</v>
      </c>
      <c r="E54" s="66" t="n">
        <v>4616.35</v>
      </c>
      <c r="F54" s="67" t="n">
        <v>0</v>
      </c>
      <c r="G54" s="68" t="n">
        <v>6</v>
      </c>
      <c r="H54" s="68" t="n">
        <v>0</v>
      </c>
      <c r="I54" s="68" t="n">
        <v>2</v>
      </c>
      <c r="J54" s="69" t="n">
        <v>5</v>
      </c>
      <c r="K54" s="69" t="inlineStr">
        <is>
          <t>https://amazon.com/dp/B0CY5LZRWK</t>
        </is>
      </c>
      <c r="L54" s="114">
        <f>HYPERLINK(Table4779[[#This Row],[Column1]])</f>
        <v/>
      </c>
    </row>
    <row r="55" ht="17" customHeight="1" s="314">
      <c r="A55" s="35" t="inlineStr">
        <is>
          <t>TOPDON USA - Code Reader - 2.4 Screen Data GRAPHING</t>
        </is>
      </c>
      <c r="B55" s="35" t="inlineStr">
        <is>
          <t>B09XD1FGWM</t>
        </is>
      </c>
      <c r="C55" s="35" t="inlineStr">
        <is>
          <t>Handheld</t>
        </is>
      </c>
      <c r="D55" s="359" t="n">
        <v>54.47</v>
      </c>
      <c r="E55" s="66" t="n">
        <v>273.78</v>
      </c>
      <c r="F55" s="67" t="n">
        <v>0</v>
      </c>
      <c r="G55" s="68" t="n">
        <v>6</v>
      </c>
      <c r="H55" s="68" t="n">
        <v>0</v>
      </c>
      <c r="I55" s="68" t="n">
        <v>1216</v>
      </c>
      <c r="J55" s="69" t="n">
        <v>4.1</v>
      </c>
      <c r="K55" s="69" t="inlineStr">
        <is>
          <t>https://amazon.com/dp/B09XD1FGWM</t>
        </is>
      </c>
      <c r="L55" s="114">
        <f>HYPERLINK(Table4779[[#This Row],[Column1]])</f>
        <v/>
      </c>
    </row>
    <row r="56" ht="17" customHeight="1" s="314">
      <c r="A56" s="35" t="inlineStr">
        <is>
          <t>TOPDON USA - 2-in-1 Code Reader Battery Tester W/Data GRAPHIN</t>
        </is>
      </c>
      <c r="B56" s="35" t="inlineStr">
        <is>
          <t>B0CP8VYGHW</t>
        </is>
      </c>
      <c r="C56" s="35" t="inlineStr">
        <is>
          <t>Tablet</t>
        </is>
      </c>
      <c r="D56" s="359" t="n">
        <v>82.11</v>
      </c>
      <c r="E56" s="66" t="n">
        <v>0</v>
      </c>
      <c r="F56" s="67" t="n">
        <v>0</v>
      </c>
      <c r="G56" s="68" t="n">
        <v>0</v>
      </c>
      <c r="H56" s="68" t="n">
        <v>0</v>
      </c>
      <c r="I56" s="68" t="n">
        <v>1</v>
      </c>
      <c r="J56" s="69" t="n">
        <v>1</v>
      </c>
      <c r="K56" s="69" t="inlineStr">
        <is>
          <t>https://amazon.com/dp/B0CP8VYGHW</t>
        </is>
      </c>
      <c r="L56" s="114">
        <f>HYPERLINK(Table4779[[#This Row],[Column1]])</f>
        <v/>
      </c>
    </row>
    <row r="57" ht="30" customHeight="1" s="314">
      <c r="A57" s="35" t="inlineStr">
        <is>
          <t>TOPDON RLink Lite J2534 Pass-Thru Programmer, Enhanced VCI</t>
        </is>
      </c>
      <c r="B57" s="35" t="inlineStr">
        <is>
          <t>B0CZHMH149</t>
        </is>
      </c>
      <c r="C57" s="35" t="inlineStr">
        <is>
          <t>Handheld</t>
        </is>
      </c>
      <c r="D57" s="359" t="n">
        <v>697.3099999999999</v>
      </c>
      <c r="E57" s="66" t="n">
        <v>19496.52</v>
      </c>
      <c r="F57" s="67" t="n">
        <v>0</v>
      </c>
      <c r="G57" s="68" t="n">
        <v>21</v>
      </c>
      <c r="H57" s="68" t="n">
        <v>0</v>
      </c>
      <c r="I57" s="68" t="n">
        <v>5</v>
      </c>
      <c r="J57" s="69" t="n">
        <v>4</v>
      </c>
      <c r="K57" s="69" t="inlineStr">
        <is>
          <t>https://amazon.com/dp/B0CZHMH149</t>
        </is>
      </c>
      <c r="L57" s="114">
        <f>HYPERLINK(Table4779[[#This Row],[Column1]])</f>
        <v/>
      </c>
    </row>
    <row r="58" ht="45" customHeight="1" s="314">
      <c r="A58" s="35" t="inlineStr">
        <is>
          <t>TOPDON USA - 13.3 OE-Level SCAN Tool Docking Station Cloud-B</t>
        </is>
      </c>
      <c r="B58" s="35" t="inlineStr">
        <is>
          <t>B0FC33DQD9</t>
        </is>
      </c>
      <c r="C58" s="35" t="inlineStr">
        <is>
          <t>Tablet</t>
        </is>
      </c>
      <c r="D58" s="359" t="n">
        <v>2671.073333333333</v>
      </c>
      <c r="E58" s="66" t="n">
        <v>47677.78</v>
      </c>
      <c r="F58" s="67" t="n">
        <v>0</v>
      </c>
      <c r="G58" s="68" t="n">
        <v>14</v>
      </c>
      <c r="H58" s="68" t="n">
        <v>0</v>
      </c>
      <c r="I58" s="68" t="n"/>
      <c r="J58" s="69" t="n"/>
      <c r="K58" s="69" t="inlineStr">
        <is>
          <t>https://amazon.com/dp/B0FC33DQD9</t>
        </is>
      </c>
      <c r="L58" s="114">
        <f>HYPERLINK(Table4779[[#This Row],[Column1]])</f>
        <v/>
      </c>
    </row>
    <row r="59" ht="17" customHeight="1" s="314">
      <c r="A59" s="35" t="inlineStr">
        <is>
          <t>TOPDON USA - Pocket-Size Bluetooth SCAN Tool W/BI-Directional C</t>
        </is>
      </c>
      <c r="B59" s="35" t="inlineStr">
        <is>
          <t>B0DFM66VTZ</t>
        </is>
      </c>
      <c r="C59" s="35" t="inlineStr">
        <is>
          <t>Dongle</t>
        </is>
      </c>
      <c r="D59" s="359" t="n">
        <v>75.33</v>
      </c>
      <c r="E59" s="66" t="n">
        <v>0</v>
      </c>
      <c r="F59" s="67" t="n">
        <v>0</v>
      </c>
      <c r="G59" s="68" t="n">
        <v>0</v>
      </c>
      <c r="H59" s="68" t="n">
        <v>0</v>
      </c>
      <c r="I59" s="68" t="n"/>
      <c r="J59" s="69" t="n"/>
      <c r="K59" s="69" t="inlineStr">
        <is>
          <t>https://amazon.com/dp/B0DFM66VTZ</t>
        </is>
      </c>
      <c r="L59" s="114">
        <f>HYPERLINK(Table4779[[#This Row],[Column1]])</f>
        <v/>
      </c>
    </row>
    <row r="60" ht="45" customHeight="1" s="314">
      <c r="A60" s="35" t="inlineStr">
        <is>
          <t>Elite Phoenix by TOPDON</t>
        </is>
      </c>
      <c r="B60" s="35" t="inlineStr">
        <is>
          <t>B09WD74CHH</t>
        </is>
      </c>
      <c r="C60" s="35" t="inlineStr">
        <is>
          <t>Tablet</t>
        </is>
      </c>
      <c r="D60" s="359" t="n">
        <v>1649.06</v>
      </c>
      <c r="E60" s="66" t="n">
        <v>8880.24</v>
      </c>
      <c r="F60" s="67" t="n">
        <v>0</v>
      </c>
      <c r="G60" s="68" t="n">
        <v>6</v>
      </c>
      <c r="H60" s="68" t="n">
        <v>0</v>
      </c>
      <c r="I60" s="68" t="n">
        <v>2</v>
      </c>
      <c r="J60" s="69" t="n">
        <v>5</v>
      </c>
      <c r="K60" s="69" t="inlineStr">
        <is>
          <t>https://amazon.com/dp/B09WD74CHH</t>
        </is>
      </c>
      <c r="L60" s="114">
        <f>HYPERLINK(Table4779[[#This Row],[Column1]])</f>
        <v/>
      </c>
    </row>
    <row r="61" ht="45" customHeight="1" s="314">
      <c r="A61" s="35" t="inlineStr">
        <is>
          <t>TOPDON Phoenix Lite 2 Multi-Brand Car Diagnostic Tool for All Systems, ECU Coding, 34+ Maintenance Service, Bidirectional Control, Guided V.A.G</t>
        </is>
      </c>
      <c r="B61" s="35" t="inlineStr">
        <is>
          <t>B0B63J5MDJ</t>
        </is>
      </c>
      <c r="C61" s="35" t="inlineStr">
        <is>
          <t>Tablet</t>
        </is>
      </c>
      <c r="D61" s="359" t="n">
        <v>763.1799999999999</v>
      </c>
      <c r="E61" s="66" t="n">
        <v>2258.66</v>
      </c>
      <c r="F61" s="67" t="n">
        <v>0</v>
      </c>
      <c r="G61" s="68" t="n">
        <v>4</v>
      </c>
      <c r="H61" s="68" t="n">
        <v>0</v>
      </c>
      <c r="I61" s="68" t="n">
        <v>113</v>
      </c>
      <c r="J61" s="69" t="n">
        <v>4.2</v>
      </c>
      <c r="K61" s="69" t="inlineStr">
        <is>
          <t>https://amazon.com/dp/B0B63J5MDJ</t>
        </is>
      </c>
      <c r="L61" s="114">
        <f>HYPERLINK(Table4779[[#This Row],[Column1]])</f>
        <v/>
      </c>
    </row>
    <row r="62" ht="45" customHeight="1" s="314">
      <c r="A62" s="35" t="n"/>
      <c r="B62" s="35" t="n"/>
      <c r="C62" s="35" t="n"/>
      <c r="D62" s="359" t="n"/>
      <c r="E62" s="66" t="n"/>
      <c r="F62" s="67" t="n"/>
      <c r="G62" s="68" t="n"/>
      <c r="H62" s="68" t="n"/>
      <c r="I62" s="68" t="n"/>
      <c r="J62" s="69" t="n"/>
      <c r="K62" s="69" t="n"/>
      <c r="L62" s="114">
        <f>HYPERLINK(Table4779[[#This Row],[Column1]])</f>
        <v/>
      </c>
    </row>
    <row r="63" ht="17" customHeight="1" s="314">
      <c r="A63" s="35" t="n"/>
      <c r="B63" s="35" t="n"/>
      <c r="C63" s="35" t="n"/>
      <c r="D63" s="359" t="n"/>
      <c r="E63" s="66" t="n"/>
      <c r="F63" s="67" t="n"/>
      <c r="G63" s="68" t="n"/>
      <c r="H63" s="68" t="n"/>
      <c r="I63" s="68" t="n"/>
      <c r="J63" s="69" t="n"/>
      <c r="K63" s="69" t="n"/>
      <c r="L63" s="114">
        <f>HYPERLINK(Table4779[[#This Row],[Column1]])</f>
        <v/>
      </c>
    </row>
    <row r="64" ht="45" customHeight="1" s="314">
      <c r="A64" s="35" t="n"/>
      <c r="B64" s="35" t="n"/>
      <c r="C64" s="35" t="n"/>
      <c r="D64" s="359" t="n"/>
      <c r="E64" s="66" t="n"/>
      <c r="F64" s="67" t="n"/>
      <c r="G64" s="68" t="n"/>
      <c r="H64" s="68" t="n"/>
      <c r="I64" s="68" t="n"/>
      <c r="J64" s="69" t="n"/>
      <c r="K64" s="69" t="n"/>
      <c r="L64" s="114">
        <f>HYPERLINK(Table4779[[#This Row],[Column1]])</f>
        <v/>
      </c>
    </row>
    <row r="65" ht="17" customHeight="1" s="314">
      <c r="A65" s="35" t="n"/>
      <c r="B65" s="35" t="n"/>
      <c r="C65" s="35" t="n"/>
      <c r="D65" s="359" t="n"/>
      <c r="E65" s="66" t="n"/>
      <c r="F65" s="67" t="n"/>
      <c r="G65" s="68" t="n"/>
      <c r="H65" s="68" t="n"/>
      <c r="I65" s="68" t="n"/>
      <c r="J65" s="69" t="n"/>
      <c r="K65" s="69" t="n"/>
      <c r="L65" s="114">
        <f>HYPERLINK(Table4779[[#This Row],[Column1]])</f>
        <v/>
      </c>
    </row>
    <row r="66" ht="17" customHeight="1" s="314">
      <c r="A66" s="41" t="inlineStr">
        <is>
          <t>Total</t>
        </is>
      </c>
      <c r="B66" s="41" t="n"/>
      <c r="C66" s="365" t="n"/>
      <c r="D66" s="365" t="n"/>
      <c r="E66" s="122">
        <f>SUM(E9:E65)</f>
        <v/>
      </c>
      <c r="F66" s="122">
        <f>SUM(F9:F65)</f>
        <v/>
      </c>
      <c r="G66" s="123" t="n"/>
      <c r="H66" s="123" t="n"/>
      <c r="I66" s="123" t="n"/>
      <c r="J66" s="128" t="n"/>
      <c r="K66" s="41" t="n"/>
      <c r="L66" s="40" t="n"/>
    </row>
    <row r="68" ht="16" customHeight="1" s="314"/>
    <row r="69">
      <c r="A69" s="307" t="inlineStr">
        <is>
          <t>Rank by Units</t>
        </is>
      </c>
    </row>
    <row r="70" ht="17" customHeight="1" s="314">
      <c r="A70" s="46" t="inlineStr">
        <is>
          <t>Product Name</t>
        </is>
      </c>
      <c r="B70" s="47" t="inlineStr">
        <is>
          <t>ASIN</t>
        </is>
      </c>
      <c r="C70" s="47" t="inlineStr">
        <is>
          <t>Type</t>
        </is>
      </c>
      <c r="D70" s="345" t="inlineStr">
        <is>
          <t>Avg Price</t>
        </is>
      </c>
      <c r="E70" s="49" t="inlineStr">
        <is>
          <t>Estimated 12mo Revenue</t>
        </is>
      </c>
      <c r="F70" s="47" t="inlineStr">
        <is>
          <t>Monthly Rev</t>
        </is>
      </c>
      <c r="G70" s="51" t="inlineStr">
        <is>
          <t>Estimated 12mo Units</t>
        </is>
      </c>
      <c r="H70" s="54" t="inlineStr">
        <is>
          <t>Monthly Units</t>
        </is>
      </c>
      <c r="I70" s="51" t="inlineStr">
        <is>
          <t># of Reviews</t>
        </is>
      </c>
      <c r="J70" s="52" t="inlineStr">
        <is>
          <t xml:space="preserve">Tool Rating </t>
        </is>
      </c>
      <c r="K70" s="52" t="inlineStr">
        <is>
          <t>Column1</t>
        </is>
      </c>
      <c r="L70" s="346" t="inlineStr">
        <is>
          <t>Link</t>
        </is>
      </c>
    </row>
    <row r="71" ht="45" customHeight="1" s="314">
      <c r="A71" s="35" t="inlineStr">
        <is>
          <t>TOPDON TopScan Lite OBD2 Scanner Bluetooth, Bi-Directional Scanner Wireless All System Diagnostic Tool for iOS &amp; Android, 8+ Hot Reset, Repair Guides, Check Engine Car Code Reader, Performance Test</t>
        </is>
      </c>
      <c r="B71" s="35" t="inlineStr">
        <is>
          <t>B0C3QQYQ1B</t>
        </is>
      </c>
      <c r="C71" s="35" t="inlineStr">
        <is>
          <t>Dongle</t>
        </is>
      </c>
      <c r="D71" s="359" t="n">
        <v>51.95718309859155</v>
      </c>
      <c r="E71" s="66" t="n">
        <v>2108841.06</v>
      </c>
      <c r="F71" s="66" t="n">
        <v>70090.24000000001</v>
      </c>
      <c r="G71" s="68" t="n">
        <v>31770</v>
      </c>
      <c r="H71" s="70" t="n">
        <v>1349</v>
      </c>
      <c r="I71" s="68" t="n">
        <v>7230</v>
      </c>
      <c r="J71" s="69" t="n">
        <v>4</v>
      </c>
      <c r="K71" s="69" t="inlineStr">
        <is>
          <t>https://amazon.com/dp/B0C3QQYQ1B</t>
        </is>
      </c>
      <c r="L71" s="114">
        <f>HYPERLINK(Table4880[[#This Row],[Column1]])</f>
        <v/>
      </c>
    </row>
    <row r="72" ht="45" customHeight="1" s="314">
      <c r="A72" s="35" t="inlineStr">
        <is>
          <t>OBD2 Scanner TOPDON AD600S Scan Tool, Code Reader, Diagnostics Scanner for ABS/SRS/AT/Engine, 9 Reset Services, Oil/Brake/BMS/SAS/DPF/TPMS/ETS Reset/ABS Bleeding/Injector Coding, Free Lifetime Upgrade</t>
        </is>
      </c>
      <c r="B72" s="35" t="inlineStr">
        <is>
          <t>B09KZTYD18</t>
        </is>
      </c>
      <c r="C72" s="35" t="inlineStr">
        <is>
          <t>Tablet</t>
        </is>
      </c>
      <c r="D72" s="359" t="n">
        <v>194.0666122766123</v>
      </c>
      <c r="E72" s="66" t="n">
        <v>3482124.96</v>
      </c>
      <c r="F72" s="66" t="n">
        <v>249763.73</v>
      </c>
      <c r="G72" s="68" t="n">
        <v>17369</v>
      </c>
      <c r="H72" s="70" t="n">
        <v>1287</v>
      </c>
      <c r="I72" s="68" t="n">
        <v>1836</v>
      </c>
      <c r="J72" s="69" t="n">
        <v>4.5</v>
      </c>
      <c r="K72" s="69" t="inlineStr">
        <is>
          <t>https://amazon.com/dp/B09KZTYD18</t>
        </is>
      </c>
      <c r="L72" s="114">
        <f>HYPERLINK(Table4880[[#This Row],[Column1]])</f>
        <v/>
      </c>
    </row>
    <row r="73" ht="60" customHeight="1" s="314">
      <c r="A73" s="35" t="inlineStr">
        <is>
          <t>TOPDON Bidirectional Scan Tool, 2026 New ArtiDiag900 Lite Automotive Diagnostic Tool for Full System, Scanner for Car with Active Test, 8 Reset, Wireless OBD2 Scanner Diagnostic Tool for All Vehicles</t>
        </is>
      </c>
      <c r="B73" s="35" t="inlineStr">
        <is>
          <t>B0C33Y285Y</t>
        </is>
      </c>
      <c r="C73" s="35" t="inlineStr">
        <is>
          <t>Tablet</t>
        </is>
      </c>
      <c r="D73" s="359" t="n">
        <v>318.9840625</v>
      </c>
      <c r="E73" s="66" t="n">
        <v>5509789.810000001</v>
      </c>
      <c r="F73" s="66" t="n">
        <v>367469.64</v>
      </c>
      <c r="G73" s="68" t="n">
        <v>15164</v>
      </c>
      <c r="H73" s="70" t="n">
        <v>1152</v>
      </c>
      <c r="I73" s="68" t="n">
        <v>1230</v>
      </c>
      <c r="J73" s="69" t="n">
        <v>4.3</v>
      </c>
      <c r="K73" s="69" t="inlineStr">
        <is>
          <t>https://amazon.com/dp/B0C33Y285Y</t>
        </is>
      </c>
      <c r="L73" s="114">
        <f>HYPERLINK(Table4880[[#This Row],[Column1]])</f>
        <v/>
      </c>
    </row>
    <row r="74" ht="45" customHeight="1" s="314">
      <c r="A74" s="35" t="inlineStr">
        <is>
          <t>TOPDON Carpal OBD2 Scanner Bluetooth - Scanner for Car, AI-Assisted All System Diagnostic Tool for iOS &amp; Android, Vehicle Health Check, 6 Maintenance Services, Smog Check, Repair Guide</t>
        </is>
      </c>
      <c r="B74" s="35" t="inlineStr">
        <is>
          <t>B0D9VPW238</t>
        </is>
      </c>
      <c r="C74" s="35" t="inlineStr">
        <is>
          <t>Dongle</t>
        </is>
      </c>
      <c r="D74" s="359" t="n">
        <v>40.38472140762463</v>
      </c>
      <c r="E74" s="66" t="n">
        <v>416110.01</v>
      </c>
      <c r="F74" s="66" t="n">
        <v>41313.57</v>
      </c>
      <c r="G74" s="68" t="n">
        <v>8770</v>
      </c>
      <c r="H74" s="70" t="n">
        <v>1023</v>
      </c>
      <c r="I74" s="68" t="n">
        <v>3030</v>
      </c>
      <c r="J74" s="69" t="n">
        <v>4.3</v>
      </c>
      <c r="K74" s="69" t="inlineStr">
        <is>
          <t>https://amazon.com/dp/B0D9VPW238</t>
        </is>
      </c>
      <c r="L74" s="114">
        <f>HYPERLINK(Table4880[[#This Row],[Column1]])</f>
        <v/>
      </c>
    </row>
    <row r="75" ht="45" customHeight="1" s="314">
      <c r="A75" s="35" t="inlineStr">
        <is>
          <t>TOPDON AD500 OBD2 Scanner, Oil SAS Throttle TPMS BMS EPB Reset, Engine ABS SRS Transmission, Diagnostic Scan Tool, AutoVIN, Car Check Engine Code Reader with Battery Test, Lifetime Wi-Fi Free Update</t>
        </is>
      </c>
      <c r="B75" s="35" t="inlineStr">
        <is>
          <t>B08XK3DJ42</t>
        </is>
      </c>
      <c r="C75" s="35" t="inlineStr">
        <is>
          <t>Tablet</t>
        </is>
      </c>
      <c r="D75" s="359" t="n">
        <v>158.4307592190889</v>
      </c>
      <c r="E75" s="66" t="n">
        <v>2504808.563076923</v>
      </c>
      <c r="F75" s="66" t="n">
        <v>146073.16</v>
      </c>
      <c r="G75" s="68" t="n">
        <v>15216</v>
      </c>
      <c r="H75" s="70" t="n">
        <v>922</v>
      </c>
      <c r="I75" s="68" t="n">
        <v>1727</v>
      </c>
      <c r="J75" s="69" t="n">
        <v>4.5</v>
      </c>
      <c r="K75" s="69" t="inlineStr">
        <is>
          <t>https://amazon.com/dp/B08XK3DJ42</t>
        </is>
      </c>
      <c r="L75" s="114">
        <f>HYPERLINK(Table4880[[#This Row],[Column1]])</f>
        <v/>
      </c>
    </row>
    <row r="76" ht="60" customHeight="1" s="314">
      <c r="A76" s="35" t="inlineStr">
        <is>
          <t>TOPDON Upgraded AD600S OBD2 Scanner, Diagnostic Tool, ABS SRS Transmission Engine Code Reader, 9 Reset Services Scan Tool, Oil/Brake/BMS/SAS/DPF/TPMS/ETS Reset, Injector Coding, Lifetime Free Update</t>
        </is>
      </c>
      <c r="B76" s="35" t="inlineStr">
        <is>
          <t>B0CTHJW813</t>
        </is>
      </c>
      <c r="C76" s="35" t="inlineStr">
        <is>
          <t>Tablet</t>
        </is>
      </c>
      <c r="D76" s="359" t="n">
        <v>196.5306924101198</v>
      </c>
      <c r="E76" s="66" t="n">
        <v>2271197.149999999</v>
      </c>
      <c r="F76" s="66" t="n">
        <v>147594.55</v>
      </c>
      <c r="G76" s="68" t="n">
        <v>11104</v>
      </c>
      <c r="H76" s="70" t="n">
        <v>751</v>
      </c>
      <c r="I76" s="68" t="n">
        <v>876</v>
      </c>
      <c r="J76" s="69" t="n">
        <v>4.5</v>
      </c>
      <c r="K76" s="69" t="inlineStr">
        <is>
          <t>https://amazon.com/dp/B0CTHJW813</t>
        </is>
      </c>
      <c r="L76" s="114">
        <f>HYPERLINK(Table4880[[#This Row],[Column1]])</f>
        <v/>
      </c>
    </row>
    <row r="77" ht="60" customHeight="1" s="314">
      <c r="A77" s="35" t="inlineStr">
        <is>
          <t>TOPDON AD800BT 2 OBD2 Scanner, 2026 Bidirectional Scan Tool, Function as AD900 Lite AD Pro, All System Automotive Diagnostic Scanner, Active Test, 28+ Reset Service, FCA Autoauth, 2 Years Free Update</t>
        </is>
      </c>
      <c r="B77" s="35" t="inlineStr">
        <is>
          <t>B08TR5PS5V</t>
        </is>
      </c>
      <c r="C77" s="35" t="inlineStr">
        <is>
          <t>Tablet</t>
        </is>
      </c>
      <c r="D77" s="359" t="n">
        <v>330.3861891117479</v>
      </c>
      <c r="E77" s="66" t="n">
        <v>2516415.06</v>
      </c>
      <c r="F77" s="66" t="n">
        <v>230609.56</v>
      </c>
      <c r="G77" s="68" t="n">
        <v>7109</v>
      </c>
      <c r="H77" s="70" t="n">
        <v>698</v>
      </c>
      <c r="I77" s="68" t="n">
        <v>828</v>
      </c>
      <c r="J77" s="69" t="n">
        <v>4.4</v>
      </c>
      <c r="K77" s="69" t="inlineStr">
        <is>
          <t>https://amazon.com/dp/B08TR5PS5V</t>
        </is>
      </c>
      <c r="L77" s="114">
        <f>HYPERLINK(Table4880[[#This Row],[Column1]])</f>
        <v/>
      </c>
    </row>
    <row r="78" ht="45" customHeight="1" s="314">
      <c r="A78" s="35" t="inlineStr">
        <is>
          <t>TOPDON Scanner AD800BT V2.0, Bidirectional Scan Tool, Full Systems Diagnostic Tool for All Vehicles, Automotive Diagnostic Scanner for Car, 28+ Services, FCA AutoAuth, CANFD, 2 Years Free Update</t>
        </is>
      </c>
      <c r="B78" s="35" t="inlineStr">
        <is>
          <t>B08TBRDH7W</t>
        </is>
      </c>
      <c r="C78" s="35" t="inlineStr">
        <is>
          <t>Tablet</t>
        </is>
      </c>
      <c r="D78" s="359" t="n">
        <v>321.1128621291449</v>
      </c>
      <c r="E78" s="66" t="n">
        <v>1626773.72</v>
      </c>
      <c r="F78" s="66" t="n">
        <v>183997.67</v>
      </c>
      <c r="G78" s="68" t="n">
        <v>4630</v>
      </c>
      <c r="H78" s="70" t="n">
        <v>573</v>
      </c>
      <c r="I78" s="68" t="n">
        <v>664</v>
      </c>
      <c r="J78" s="69" t="n">
        <v>4.4</v>
      </c>
      <c r="K78" s="69" t="inlineStr">
        <is>
          <t>https://amazon.com/dp/B08TBRDH7W</t>
        </is>
      </c>
      <c r="L78" s="114">
        <f>HYPERLINK(Table4880[[#This Row],[Column1]])</f>
        <v/>
      </c>
    </row>
    <row r="79" ht="45" customHeight="1" s="314">
      <c r="A79" s="35" t="inlineStr">
        <is>
          <t>TOPDON TopScan Pro OBD2 Scanner Bluetooth, Bi-Directional Scan Tool for iPhone &amp; Android with All System, 13+ Hot Reset Car Scanner, FCA AutoAuth, CAN-FD, AI Assistant, Upgraded TopScan Code Reader</t>
        </is>
      </c>
      <c r="B79" s="35" t="inlineStr">
        <is>
          <t>B0G2Y6Y36Q</t>
        </is>
      </c>
      <c r="C79" s="35" t="inlineStr">
        <is>
          <t>Dongle</t>
        </is>
      </c>
      <c r="D79" s="359" t="n">
        <v>112.2635940409683</v>
      </c>
      <c r="E79" s="66" t="n">
        <v>599303.77</v>
      </c>
      <c r="F79" s="66" t="n">
        <v>60285.55</v>
      </c>
      <c r="G79" s="68" t="n">
        <v>1320</v>
      </c>
      <c r="H79" s="70" t="n">
        <v>537</v>
      </c>
      <c r="I79" s="68" t="n">
        <v>97</v>
      </c>
      <c r="J79" s="69" t="n">
        <v>4.7</v>
      </c>
      <c r="K79" s="69" t="inlineStr">
        <is>
          <t>https://amazon.com/dp/B0G2Y6Y36Q</t>
        </is>
      </c>
      <c r="L79" s="114">
        <f>HYPERLINK(Table4880[[#This Row],[Column1]])</f>
        <v/>
      </c>
    </row>
    <row r="80" ht="45" customHeight="1" s="314">
      <c r="A80" s="35" t="inlineStr">
        <is>
          <t>TOPDON ArtiDiag Pro OBD2 Scanner Diagnostic Tool, Bidirectional Scan Tool with ECU Coding, 35+ Services, V.A.G Guided, FCA SGW, Can FD DoIP/All System Diagnosis</t>
        </is>
      </c>
      <c r="B80" s="35" t="inlineStr">
        <is>
          <t>B0BNKHCXVC</t>
        </is>
      </c>
      <c r="C80" s="35" t="inlineStr">
        <is>
          <t>Tablet</t>
        </is>
      </c>
      <c r="D80" s="359" t="n">
        <v>429.9311553030303</v>
      </c>
      <c r="E80" s="66" t="n">
        <v>3043204.62</v>
      </c>
      <c r="F80" s="66" t="n">
        <v>227003.65</v>
      </c>
      <c r="G80" s="68" t="n">
        <v>6723</v>
      </c>
      <c r="H80" s="70" t="n">
        <v>528</v>
      </c>
      <c r="I80" s="68" t="n">
        <v>774</v>
      </c>
      <c r="J80" s="69" t="n">
        <v>4.3</v>
      </c>
      <c r="K80" s="69" t="inlineStr">
        <is>
          <t>https://amazon.com/dp/B0BNKHCXVC</t>
        </is>
      </c>
      <c r="L80" s="114">
        <f>HYPERLINK(Table4880[[#This Row],[Column1]])</f>
        <v/>
      </c>
    </row>
    <row r="81" ht="45" customHeight="1" s="314">
      <c r="A81" s="35" t="inlineStr">
        <is>
          <t>TOPDON ArtiDiag600 Pro, OBD2 Scanner Diagnostic Tool for All Systems, Code Reader Scan Tool with 9 Essential Maintenance Functions, Upgraded Version of AD600S/AD500, Lifetime Free Update</t>
        </is>
      </c>
      <c r="B81" s="35" t="inlineStr">
        <is>
          <t>B0DMW4QY3T</t>
        </is>
      </c>
      <c r="C81" s="35" t="inlineStr">
        <is>
          <t>Tablet</t>
        </is>
      </c>
      <c r="D81" s="359" t="n">
        <v>243.9343711340206</v>
      </c>
      <c r="E81" s="66" t="n">
        <v>883905.5399999998</v>
      </c>
      <c r="F81" s="66" t="n">
        <v>118308.17</v>
      </c>
      <c r="G81" s="68" t="n">
        <v>3585</v>
      </c>
      <c r="H81" s="70" t="n">
        <v>485</v>
      </c>
      <c r="I81" s="68" t="n">
        <v>172</v>
      </c>
      <c r="J81" s="69" t="n">
        <v>4.5</v>
      </c>
      <c r="K81" s="69" t="inlineStr">
        <is>
          <t>https://amazon.com/dp/B0DMW4QY3T</t>
        </is>
      </c>
      <c r="L81" s="114">
        <f>HYPERLINK(Table4880[[#This Row],[Column1]])</f>
        <v/>
      </c>
    </row>
    <row r="82" ht="45" customHeight="1" s="314">
      <c r="A82" s="35" t="inlineStr">
        <is>
          <t>TOPDON ONE Bidirectional Scan Tool, 10.1" OBD2 Scanner with J2534 Pass-Thru and ECU Coding, Over 50 Resets, Topology Mapping Car Diagnostic Tool for All Vehicles</t>
        </is>
      </c>
      <c r="B82" s="35" t="inlineStr">
        <is>
          <t>B0GK9G6YDL</t>
        </is>
      </c>
      <c r="C82" s="35" t="inlineStr">
        <is>
          <t>Tablet</t>
        </is>
      </c>
      <c r="D82" s="359" t="n">
        <v>745.0893534482759</v>
      </c>
      <c r="E82" s="66" t="n">
        <v>3842831.225384615</v>
      </c>
      <c r="F82" s="66" t="n">
        <v>345721.46</v>
      </c>
      <c r="G82" s="68" t="n">
        <v>866</v>
      </c>
      <c r="H82" s="70" t="n">
        <v>464</v>
      </c>
      <c r="I82" s="68" t="n">
        <v>90</v>
      </c>
      <c r="J82" s="69" t="n">
        <v>4.7</v>
      </c>
      <c r="K82" s="69" t="inlineStr">
        <is>
          <t>https://amazon.com/dp/B0GK9G6YDL</t>
        </is>
      </c>
      <c r="L82" s="114">
        <f>HYPERLINK(Table4880[[#This Row],[Column1]])</f>
        <v/>
      </c>
    </row>
    <row r="83" ht="45" customHeight="1" s="314">
      <c r="A83" s="35" t="inlineStr">
        <is>
          <t>TOPDON RLink J2534 Pass-Thru Programmer, OEM Reprogramming and Diagnostic Tool, Enhanced J2534 VCI, Supports J2534/D-PDU/CAN-FD/DoIP, Compatible with 18+ Vehicle Brands, No OE Software Provided</t>
        </is>
      </c>
      <c r="B83" s="35" t="inlineStr">
        <is>
          <t>B0DFM25BZB</t>
        </is>
      </c>
      <c r="C83" s="35" t="inlineStr">
        <is>
          <t>VCI</t>
        </is>
      </c>
      <c r="D83" s="359" t="n">
        <v>258.7172453703704</v>
      </c>
      <c r="E83" s="66" t="n">
        <v>1673673.19</v>
      </c>
      <c r="F83" s="66" t="n">
        <v>111765.85</v>
      </c>
      <c r="G83" s="68" t="n">
        <v>6090</v>
      </c>
      <c r="H83" s="70" t="n">
        <v>432</v>
      </c>
      <c r="I83" s="68" t="n">
        <v>270</v>
      </c>
      <c r="J83" s="69" t="n">
        <v>4.5</v>
      </c>
      <c r="K83" s="69" t="inlineStr">
        <is>
          <t>https://amazon.com/dp/B0DFM25BZB</t>
        </is>
      </c>
      <c r="L83" s="114">
        <f>HYPERLINK(Table4880[[#This Row],[Column1]])</f>
        <v/>
      </c>
    </row>
    <row r="84" ht="45" customHeight="1" s="314">
      <c r="A84" s="35" t="inlineStr">
        <is>
          <t>TOPDON RLink X3 OBD2 Adapter for GM/Ford/Chrysler, J2534 Pass-Thru Programmer, OBD USB FORScan Adapter, OEM Programming and Diagnostic Tool, Fit for 8+ OE Software, Supports J2534/CAN-FD, Auto Switch</t>
        </is>
      </c>
      <c r="B84" s="35" t="inlineStr">
        <is>
          <t>B0FRRYY8TC</t>
        </is>
      </c>
      <c r="C84" s="35" t="inlineStr">
        <is>
          <t>Cable/Adapter</t>
        </is>
      </c>
      <c r="D84" s="359" t="n">
        <v>125.0126341463415</v>
      </c>
      <c r="E84" s="66" t="n">
        <v>530296.4769230768</v>
      </c>
      <c r="F84" s="66" t="n">
        <v>51255.18</v>
      </c>
      <c r="G84" s="68" t="n">
        <v>1469</v>
      </c>
      <c r="H84" s="70" t="n">
        <v>410</v>
      </c>
      <c r="I84" s="68" t="n">
        <v>60</v>
      </c>
      <c r="J84" s="69" t="n">
        <v>4.3</v>
      </c>
      <c r="K84" s="69" t="inlineStr">
        <is>
          <t>https://amazon.com/dp/B0FRRYY8TC</t>
        </is>
      </c>
      <c r="L84" s="114">
        <f>HYPERLINK(Table4880[[#This Row],[Column1]])</f>
        <v/>
      </c>
    </row>
    <row r="85" ht="45" customHeight="1" s="314">
      <c r="A85" s="35" t="inlineStr">
        <is>
          <t>TOPDON AD500 OBD2 Scanner Car Code Reader Scan Tool, Engine ABS SRS Transmission Diagnostics Tool, Oil/Throttle/SAS/TPMS/BMS/EPB Reset Car Scanner, Free Upgrade for DIY</t>
        </is>
      </c>
      <c r="B85" s="35" t="inlineStr">
        <is>
          <t>B09LH3QFFQ</t>
        </is>
      </c>
      <c r="C85" s="35" t="inlineStr">
        <is>
          <t>Tablet</t>
        </is>
      </c>
      <c r="D85" s="359" t="n">
        <v>157.2394540229885</v>
      </c>
      <c r="E85" s="66" t="n">
        <v>855025.9099999999</v>
      </c>
      <c r="F85" s="66" t="n">
        <v>54719.33</v>
      </c>
      <c r="G85" s="68" t="n">
        <v>5311</v>
      </c>
      <c r="H85" s="70" t="n">
        <v>348</v>
      </c>
      <c r="I85" s="68" t="n">
        <v>1082</v>
      </c>
      <c r="J85" s="69" t="n">
        <v>4.5</v>
      </c>
      <c r="K85" s="69" t="inlineStr">
        <is>
          <t>https://amazon.com/dp/B09LH3QFFQ</t>
        </is>
      </c>
      <c r="L85" s="114">
        <f>HYPERLINK(Table4880[[#This Row],[Column1]])</f>
        <v/>
      </c>
    </row>
    <row r="86" ht="45" customHeight="1" s="314">
      <c r="A86" s="35" t="inlineStr">
        <is>
          <t>TOPDON Topscan Master OBD2 Scanner Bluetooth, 2026 Wireless Bidirectional Scan Tool, All System Diagnostic Tool for iOS &amp; Android, 30+ Resets, FCA AutoAuth, CAN-FD/DoIP, Upgraded Version of TopScan</t>
        </is>
      </c>
      <c r="B86" s="35" t="inlineStr">
        <is>
          <t>B0FX3VZXTK</t>
        </is>
      </c>
      <c r="C86" s="35" t="inlineStr">
        <is>
          <t>Tablet</t>
        </is>
      </c>
      <c r="D86" s="359" t="n">
        <v>174.7615857605178</v>
      </c>
      <c r="E86" s="66" t="n">
        <v>624628.2507692308</v>
      </c>
      <c r="F86" s="66" t="n">
        <v>54001.33</v>
      </c>
      <c r="G86" s="68" t="n">
        <v>1473</v>
      </c>
      <c r="H86" s="70" t="n">
        <v>309</v>
      </c>
      <c r="I86" s="68" t="n">
        <v>40</v>
      </c>
      <c r="J86" s="69" t="n">
        <v>4.5</v>
      </c>
      <c r="K86" s="69" t="inlineStr">
        <is>
          <t>https://amazon.com/dp/B0FX3VZXTK</t>
        </is>
      </c>
      <c r="L86" s="114">
        <f>HYPERLINK(Table4880[[#This Row],[Column1]])</f>
        <v/>
      </c>
    </row>
    <row r="87" ht="60" customHeight="1" s="314">
      <c r="A87" s="35" t="inlineStr">
        <is>
          <t>TOPDON Phoenix Plus 2, ECU Coding TOPDON Scanner V2.0, Bidirectional Scan Tool, Topology Map, CANFD, High-End OEM Full System, 42+ Service, FCA SGW AutoAuth, V.A.G Guided, 2 Years Free Update</t>
        </is>
      </c>
      <c r="B87" s="35" t="inlineStr">
        <is>
          <t>B091BQNR3S</t>
        </is>
      </c>
      <c r="C87" s="35" t="inlineStr">
        <is>
          <t>Tablet</t>
        </is>
      </c>
      <c r="D87" s="359" t="n">
        <v>1014.280512820513</v>
      </c>
      <c r="E87" s="66" t="n">
        <v>3083243.13</v>
      </c>
      <c r="F87" s="66" t="n">
        <v>276898.58</v>
      </c>
      <c r="G87" s="68" t="n">
        <v>2855</v>
      </c>
      <c r="H87" s="70" t="n">
        <v>273</v>
      </c>
      <c r="I87" s="68" t="n">
        <v>492</v>
      </c>
      <c r="J87" s="69" t="n">
        <v>4.4</v>
      </c>
      <c r="K87" s="69" t="inlineStr">
        <is>
          <t>https://amazon.com/dp/B091BQNR3S</t>
        </is>
      </c>
      <c r="L87" s="114">
        <f>HYPERLINK(Table4880[[#This Row],[Column1]])</f>
        <v/>
      </c>
    </row>
    <row r="88" ht="45" customHeight="1" s="314">
      <c r="A88" s="35" t="inlineStr">
        <is>
          <t>TOPDON RLink J2534 Reprogramming Tool, High-Speed J2534 Pass-Thru Programmer, OEM Reprogramming and Diagnostic Tool, Supports J2534/D-PDU/CAN-FD/DoIP, 17+ Vehicle Brands Supported</t>
        </is>
      </c>
      <c r="B88" s="35" t="inlineStr">
        <is>
          <t>B0FS11XMH1</t>
        </is>
      </c>
      <c r="C88" s="35" t="inlineStr">
        <is>
          <t>VCI</t>
        </is>
      </c>
      <c r="D88" s="359" t="n">
        <v>256.5457933579336</v>
      </c>
      <c r="E88" s="66" t="n">
        <v>700772.8915384616</v>
      </c>
      <c r="F88" s="66" t="n">
        <v>69523.91</v>
      </c>
      <c r="G88" s="68" t="n">
        <v>1260</v>
      </c>
      <c r="H88" s="70" t="n">
        <v>271</v>
      </c>
      <c r="I88" s="68" t="n">
        <v>32</v>
      </c>
      <c r="J88" s="69" t="n">
        <v>5</v>
      </c>
      <c r="K88" s="69" t="inlineStr">
        <is>
          <t>https://amazon.com/dp/B0FS11XMH1</t>
        </is>
      </c>
      <c r="L88" s="114">
        <f>HYPERLINK(Table4880[[#This Row],[Column1]])</f>
        <v/>
      </c>
    </row>
    <row r="89" ht="45" customHeight="1" s="314">
      <c r="A89" s="35" t="inlineStr">
        <is>
          <t>TOPDON Carpal-US OBD2 Code Reader Bluetooth, All System OBD2 Scanner for iOS &amp; Android, Vehicle Health Check, 6 Maintenance Services, Smog Check, Repair Guide, 1 Year Free Update</t>
        </is>
      </c>
      <c r="B89" s="35" t="inlineStr">
        <is>
          <t>B0DBQQC2LS</t>
        </is>
      </c>
      <c r="C89" s="35" t="inlineStr">
        <is>
          <t>Dongle</t>
        </is>
      </c>
      <c r="D89" s="359" t="n">
        <v>41.24398843930636</v>
      </c>
      <c r="E89" s="66" t="n">
        <v>90678.16</v>
      </c>
      <c r="F89" s="66" t="n">
        <v>7135.21</v>
      </c>
      <c r="G89" s="68" t="n">
        <v>2141</v>
      </c>
      <c r="H89" s="70" t="n">
        <v>173</v>
      </c>
      <c r="I89" s="68" t="n">
        <v>1628</v>
      </c>
      <c r="J89" s="69" t="n">
        <v>4.4</v>
      </c>
      <c r="K89" s="69" t="inlineStr">
        <is>
          <t>https://amazon.com/dp/B0DBQQC2LS</t>
        </is>
      </c>
      <c r="L89" s="114">
        <f>HYPERLINK(Table4880[[#This Row],[Column1]])</f>
        <v/>
      </c>
    </row>
    <row r="90" ht="45" customHeight="1" s="314">
      <c r="A90" s="35" t="inlineStr">
        <is>
          <t>OBD2 Scanner Diagnostic Tool, TOPDON AD900BT Bidirectional Scan Tool with ECU C0ding, 28+ Services, Automotive All Systems Diagnosis Scanner for Car with 2 Years Updates, Active Test</t>
        </is>
      </c>
      <c r="B90" s="35" t="inlineStr">
        <is>
          <t>B0C1YB3N42</t>
        </is>
      </c>
      <c r="C90" s="35" t="inlineStr">
        <is>
          <t>Tablet</t>
        </is>
      </c>
      <c r="D90" s="359" t="n">
        <v>494.2713445378151</v>
      </c>
      <c r="E90" s="66" t="n">
        <v>561059.76</v>
      </c>
      <c r="F90" s="66" t="n">
        <v>58818.29</v>
      </c>
      <c r="G90" s="68" t="n">
        <v>1050</v>
      </c>
      <c r="H90" s="70" t="n">
        <v>119</v>
      </c>
      <c r="I90" s="68" t="n">
        <v>219</v>
      </c>
      <c r="J90" s="69" t="n">
        <v>4.4</v>
      </c>
      <c r="K90" s="69" t="inlineStr">
        <is>
          <t>https://amazon.com/dp/B0C1YB3N42</t>
        </is>
      </c>
      <c r="L90" s="114">
        <f>HYPERLINK(Table4880[[#This Row],[Column1]])</f>
        <v/>
      </c>
    </row>
    <row r="91" ht="45" customHeight="1" s="314">
      <c r="A91" s="35" t="inlineStr">
        <is>
          <t>TOPDON AL400 OBD2 Scanner, Full OBDII Code Reader, Check Engine Light Scan Tool, Car Scanner with DTC Lookup, Clear Codes, Freeze Frame, One-Click I/M, Diagnostic Scanner for DIYers, Lifetime Update</t>
        </is>
      </c>
      <c r="B91" s="35" t="inlineStr">
        <is>
          <t>B09NW325DV</t>
        </is>
      </c>
      <c r="C91" s="35" t="inlineStr">
        <is>
          <t>Handheld</t>
        </is>
      </c>
      <c r="D91" s="359" t="n">
        <v>28.25913043478261</v>
      </c>
      <c r="E91" s="66" t="n">
        <v>56555.53000000001</v>
      </c>
      <c r="F91" s="66" t="n">
        <v>3249.8</v>
      </c>
      <c r="G91" s="68" t="n">
        <v>1727</v>
      </c>
      <c r="H91" s="70" t="n">
        <v>115</v>
      </c>
      <c r="I91" s="68" t="n">
        <v>783</v>
      </c>
      <c r="J91" s="69" t="n">
        <v>4.5</v>
      </c>
      <c r="K91" s="69" t="inlineStr">
        <is>
          <t>https://amazon.com/dp/B09NW325DV</t>
        </is>
      </c>
      <c r="L91" s="114">
        <f>HYPERLINK(Table4880[[#This Row],[Column1]])</f>
        <v/>
      </c>
    </row>
    <row r="92" ht="45" customHeight="1" s="314">
      <c r="A92" s="35" t="inlineStr">
        <is>
          <t>TOPDON VeriDiag X800 BT OBD2 Scanner, 2026 Upgraded Bidirectional Scan Tool with 34 Reset Services, Full System Wireless Automotive Diagnostic Tool, Active Test Scan Tool, 2 Years Free Update</t>
        </is>
      </c>
      <c r="B92" s="35" t="inlineStr">
        <is>
          <t>B0GMGV5LB7</t>
        </is>
      </c>
      <c r="C92" s="35" t="inlineStr">
        <is>
          <t>Tablet</t>
        </is>
      </c>
      <c r="D92" s="359" t="n">
        <v>375.2603092783505</v>
      </c>
      <c r="E92" s="66" t="n">
        <v>410802.5484615383</v>
      </c>
      <c r="F92" s="66" t="n">
        <v>36400.25</v>
      </c>
      <c r="G92" s="68" t="n">
        <v>109</v>
      </c>
      <c r="H92" s="70" t="n">
        <v>97</v>
      </c>
      <c r="I92" s="68" t="n"/>
      <c r="J92" s="69" t="n"/>
      <c r="K92" s="69" t="inlineStr">
        <is>
          <t>https://amazon.com/dp/B0GMGV5LB7</t>
        </is>
      </c>
      <c r="L92" s="114">
        <f>HYPERLINK(Table4880[[#This Row],[Column1]])</f>
        <v/>
      </c>
    </row>
    <row r="93" ht="45" customHeight="1" s="314">
      <c r="A93" s="35" t="inlineStr">
        <is>
          <t>TOPDON AL500B OBD2 Scanner Battery Tester 2 in 1 Code Reader, Full OBDII Diagnosis, 12V Battery Tests &amp; 12V/24V Cranking Tests, Charging Tests, Scan Tool, Car Diagnostic Tool for All OBDII Cars</t>
        </is>
      </c>
      <c r="B93" s="35" t="inlineStr">
        <is>
          <t>B0BNT2KGQ6</t>
        </is>
      </c>
      <c r="C93" s="35" t="inlineStr">
        <is>
          <t>Handheld</t>
        </is>
      </c>
      <c r="D93" s="359" t="n">
        <v>70.08025316455696</v>
      </c>
      <c r="E93" s="66" t="n">
        <v>73982.41769230769</v>
      </c>
      <c r="F93" s="66" t="n">
        <v>5536.34</v>
      </c>
      <c r="G93" s="68" t="n">
        <v>861</v>
      </c>
      <c r="H93" s="70" t="n">
        <v>79</v>
      </c>
      <c r="I93" s="68" t="n">
        <v>282</v>
      </c>
      <c r="J93" s="69" t="n">
        <v>4.4</v>
      </c>
      <c r="K93" s="69" t="inlineStr">
        <is>
          <t>https://amazon.com/dp/B0BNT2KGQ6</t>
        </is>
      </c>
      <c r="L93" s="114">
        <f>HYPERLINK(Table4880[[#This Row],[Column1]])</f>
        <v/>
      </c>
    </row>
    <row r="94" ht="45" customHeight="1" s="314">
      <c r="A94" s="35" t="inlineStr">
        <is>
          <t>TOPDON 3-in-1 USB OBD2 Adapter for FORScan, High-Speed Enhanced J2534 VCI for GM/Ford/Chrysler, J2534 Pass-Thru OEM Functions and Diagnostic Tool, for J2534/CAN FD, RLink X3, No OE Software Provided</t>
        </is>
      </c>
      <c r="B94" s="35" t="inlineStr">
        <is>
          <t>B0G34SC1RP</t>
        </is>
      </c>
      <c r="C94" s="35" t="inlineStr">
        <is>
          <t>VCI</t>
        </is>
      </c>
      <c r="D94" s="359" t="n">
        <v>111.8627118644068</v>
      </c>
      <c r="E94" s="66" t="n">
        <v>96195.73846153844</v>
      </c>
      <c r="F94" s="66" t="n">
        <v>6599.9</v>
      </c>
      <c r="G94" s="68" t="n">
        <v>319</v>
      </c>
      <c r="H94" s="70" t="n">
        <v>59</v>
      </c>
      <c r="I94" s="68" t="n">
        <v>24</v>
      </c>
      <c r="J94" s="69" t="n">
        <v>4.9</v>
      </c>
      <c r="K94" s="69" t="inlineStr">
        <is>
          <t>https://amazon.com/dp/B0G34SC1RP</t>
        </is>
      </c>
      <c r="L94" s="114">
        <f>HYPERLINK(Table4880[[#This Row],[Column1]])</f>
        <v/>
      </c>
    </row>
    <row r="95" ht="45" customHeight="1" s="314">
      <c r="A95" s="35" t="inlineStr">
        <is>
          <t>TOPDON Phoenix Nano, 2026 New Bidirectional Scan Tool, FCA AutoAuth, CAN FD/DoIP Protocols, 32+ Special Functions, Full System Diagnostic, Free Updates for 2 Years</t>
        </is>
      </c>
      <c r="B95" s="35" t="inlineStr">
        <is>
          <t>B0D812Q21B</t>
        </is>
      </c>
      <c r="C95" s="35" t="inlineStr">
        <is>
          <t>Tablet</t>
        </is>
      </c>
      <c r="D95" s="359" t="n">
        <v>561.5688888888889</v>
      </c>
      <c r="E95" s="66" t="n">
        <v>467221.3800000001</v>
      </c>
      <c r="F95" s="66" t="n">
        <v>30324.72</v>
      </c>
      <c r="G95" s="68" t="n">
        <v>738</v>
      </c>
      <c r="H95" s="70" t="n">
        <v>54</v>
      </c>
      <c r="I95" s="68" t="n">
        <v>62</v>
      </c>
      <c r="J95" s="69" t="n">
        <v>4.4</v>
      </c>
      <c r="K95" s="69" t="inlineStr">
        <is>
          <t>https://amazon.com/dp/B0D812Q21B</t>
        </is>
      </c>
      <c r="L95" s="114">
        <f>HYPERLINK(Table4880[[#This Row],[Column1]])</f>
        <v/>
      </c>
    </row>
    <row r="96" ht="45" customHeight="1" s="314">
      <c r="A96" s="35" t="inlineStr">
        <is>
          <t>TOPDON ArtiDiag HD Heavy Duty Truck Scanner, Diesel Diagnostic Tool, Full System Truck Scanner for Cummins Detroit MaxxForce, 10 Reset Service, DPF Regen, Speed Limit Adjust Reset, 2 Years Free Update</t>
        </is>
      </c>
      <c r="B96" s="35" t="inlineStr">
        <is>
          <t>B0FSZPGN9X</t>
        </is>
      </c>
      <c r="C96" s="35" t="inlineStr">
        <is>
          <t>Tablet</t>
        </is>
      </c>
      <c r="D96" s="359" t="n">
        <v>724.2180000000001</v>
      </c>
      <c r="E96" s="66" t="n">
        <v>339964.9630769231</v>
      </c>
      <c r="F96" s="66" t="n">
        <v>36210.9</v>
      </c>
      <c r="G96" s="68" t="n">
        <v>140</v>
      </c>
      <c r="H96" s="70" t="n">
        <v>50</v>
      </c>
      <c r="I96" s="68" t="n">
        <v>4</v>
      </c>
      <c r="J96" s="69" t="n">
        <v>5</v>
      </c>
      <c r="K96" s="69" t="inlineStr">
        <is>
          <t>https://amazon.com/dp/B0FSZPGN9X</t>
        </is>
      </c>
      <c r="L96" s="114">
        <f>HYPERLINK(Table4880[[#This Row],[Column1]])</f>
        <v/>
      </c>
    </row>
    <row r="97" ht="45" customHeight="1" s="314">
      <c r="A97" s="35" t="inlineStr">
        <is>
          <t>TOPDON Phoenix Lite 2 Bidirectional Scan Tool, OBD2 Scanner, Function as AD900BT AD900 Lite, ECU Coding, Wireless Automotive Diagnostic Scanner, 34+ Reset Services, FCA AutoAuth, 2 Years Free Update</t>
        </is>
      </c>
      <c r="B97" s="35" t="inlineStr">
        <is>
          <t>B0B1MB6YG8</t>
        </is>
      </c>
      <c r="C97" s="35" t="inlineStr">
        <is>
          <t>Tablet</t>
        </is>
      </c>
      <c r="D97" s="359" t="n">
        <v>705.531875</v>
      </c>
      <c r="E97" s="66" t="n">
        <v>811100.7</v>
      </c>
      <c r="F97" s="66" t="n">
        <v>33865.53</v>
      </c>
      <c r="G97" s="68" t="n">
        <v>1086</v>
      </c>
      <c r="H97" s="70" t="n">
        <v>48</v>
      </c>
      <c r="I97" s="68" t="n">
        <v>376</v>
      </c>
      <c r="J97" s="69" t="n">
        <v>4.3</v>
      </c>
      <c r="K97" s="69" t="inlineStr">
        <is>
          <t>https://amazon.com/dp/B0B1MB6YG8</t>
        </is>
      </c>
      <c r="L97" s="114">
        <f>HYPERLINK(Table4880[[#This Row],[Column1]])</f>
        <v/>
      </c>
    </row>
    <row r="98" ht="45" customHeight="1" s="314">
      <c r="A98" s="35" t="inlineStr">
        <is>
          <t>Motorcycle Scanner Bluetooth TOPDON TopScan, Motorcycle Scan Tool Fits for Harley, Ducati, BMW &amp; Japan Brands, All Systems Motorbike Scanner Tool with Reset Functioan, Data Stream, AutoVIN</t>
        </is>
      </c>
      <c r="B98" s="35" t="inlineStr">
        <is>
          <t>B0CVVXX3HH</t>
        </is>
      </c>
      <c r="C98" s="35" t="inlineStr">
        <is>
          <t>Dongle</t>
        </is>
      </c>
      <c r="D98" s="359" t="n">
        <v>153.5236170212766</v>
      </c>
      <c r="E98" s="66" t="n">
        <v>83047.31</v>
      </c>
      <c r="F98" s="66" t="n">
        <v>7215.61</v>
      </c>
      <c r="G98" s="68" t="n">
        <v>466</v>
      </c>
      <c r="H98" s="70" t="n">
        <v>47</v>
      </c>
      <c r="I98" s="68" t="n">
        <v>68</v>
      </c>
      <c r="J98" s="69" t="n">
        <v>4.1</v>
      </c>
      <c r="K98" s="69" t="inlineStr">
        <is>
          <t>https://amazon.com/dp/B0CVVXX3HH</t>
        </is>
      </c>
      <c r="L98" s="114">
        <f>HYPERLINK(Table4880[[#This Row],[Column1]])</f>
        <v/>
      </c>
    </row>
    <row r="99" ht="45" customHeight="1" s="314">
      <c r="A99" s="35" t="inlineStr">
        <is>
          <t>TOPDON Phoenix Lite 3 OBD2 Scanner, Upgraded Scanner of Lite 2, Bidirectional Scan Tool with CAN-FD, Car Scanner Diagnostic Tool, 35+ Maintenance Resets, Topology Mapping, ECU Coding, FCA Autoauth</t>
        </is>
      </c>
      <c r="B99" s="35" t="inlineStr">
        <is>
          <t>B0DFLWDPK2</t>
        </is>
      </c>
      <c r="C99" s="35" t="inlineStr">
        <is>
          <t>Tablet</t>
        </is>
      </c>
      <c r="D99" s="359" t="n">
        <v>797.8936842105263</v>
      </c>
      <c r="E99" s="66" t="n">
        <v>354653.69</v>
      </c>
      <c r="F99" s="66" t="n">
        <v>30319.96</v>
      </c>
      <c r="G99" s="68" t="n">
        <v>409</v>
      </c>
      <c r="H99" s="70" t="n">
        <v>38</v>
      </c>
      <c r="I99" s="68" t="n">
        <v>18</v>
      </c>
      <c r="J99" s="69" t="n">
        <v>4.7</v>
      </c>
      <c r="K99" s="69" t="inlineStr">
        <is>
          <t>https://amazon.com/dp/B0DFLWDPK2</t>
        </is>
      </c>
      <c r="L99" s="114">
        <f>HYPERLINK(Table4880[[#This Row],[Column1]])</f>
        <v/>
      </c>
    </row>
    <row r="100" ht="45" customHeight="1" s="314">
      <c r="A100" s="35" t="inlineStr">
        <is>
          <t>TOPDON Phoenix Smart OBD2 Scanner, Bidirectional Scan Tool for 200+ Brands, Car Diagnostic Tool with ECU Programming Coding, CAN-FD &amp; DoIP, Topology Mapping &amp; ADAS Compatibility, 2 Years Free Update</t>
        </is>
      </c>
      <c r="B100" s="35" t="inlineStr">
        <is>
          <t>B09YQ1NQXD</t>
        </is>
      </c>
      <c r="C100" s="35" t="inlineStr">
        <is>
          <t>Tablet</t>
        </is>
      </c>
      <c r="D100" s="359" t="n">
        <v>2004.318125</v>
      </c>
      <c r="E100" s="66" t="n">
        <v>578580.98</v>
      </c>
      <c r="F100" s="66" t="n">
        <v>64138.18</v>
      </c>
      <c r="G100" s="68" t="n">
        <v>264</v>
      </c>
      <c r="H100" s="70" t="n">
        <v>32</v>
      </c>
      <c r="I100" s="68" t="n">
        <v>15</v>
      </c>
      <c r="J100" s="69" t="n">
        <v>4.5</v>
      </c>
      <c r="K100" s="69" t="inlineStr">
        <is>
          <t>https://amazon.com/dp/B09YQ1NQXD</t>
        </is>
      </c>
      <c r="L100" s="114">
        <f>HYPERLINK(Table4880[[#This Row],[Column1]])</f>
        <v/>
      </c>
    </row>
    <row r="101" ht="45" customHeight="1" s="314">
      <c r="A101" s="35" t="inlineStr">
        <is>
          <t>TOPDON Phoenix Plus 2 Bidirectional Scan Tool with Battery Tester, 2 Years Free Update, OE-Level Full Diagnosis, Topology Scanner, 40+ Reset Services, AutoAuth for FCA SGW</t>
        </is>
      </c>
      <c r="B101" s="35" t="inlineStr">
        <is>
          <t>B0B3JB2P5H</t>
        </is>
      </c>
      <c r="C101" s="35" t="inlineStr">
        <is>
          <t>Tablet</t>
        </is>
      </c>
      <c r="D101" s="359" t="n">
        <v>999.2054838709676</v>
      </c>
      <c r="E101" s="66" t="n">
        <v>563499.4999999999</v>
      </c>
      <c r="F101" s="66" t="n">
        <v>30975.37</v>
      </c>
      <c r="G101" s="68" t="n">
        <v>502</v>
      </c>
      <c r="H101" s="70" t="n">
        <v>31</v>
      </c>
      <c r="I101" s="68" t="n">
        <v>94</v>
      </c>
      <c r="J101" s="69" t="n">
        <v>4.3</v>
      </c>
      <c r="K101" s="69" t="inlineStr">
        <is>
          <t>https://amazon.com/dp/B0B3JB2P5H</t>
        </is>
      </c>
      <c r="L101" s="114">
        <f>HYPERLINK(Table4880[[#This Row],[Column1]])</f>
        <v/>
      </c>
    </row>
    <row r="102" ht="45" customHeight="1" s="314">
      <c r="A102" s="35" t="inlineStr">
        <is>
          <t>TOPDON J2534 VCI Tool, High-Speed EnhancedJ2534 VCI, J2534 Pass-Thru OEM Functions and Diagnostic Tool, Supports J2534/D-PDU/CAN-FD/DoIP, 8 Vehicle Brands Supported, RLink X7</t>
        </is>
      </c>
      <c r="B102" s="35" t="inlineStr">
        <is>
          <t>B0FS12V1XC</t>
        </is>
      </c>
      <c r="C102" s="35" t="inlineStr">
        <is>
          <t>VCI</t>
        </is>
      </c>
      <c r="D102" s="359" t="n">
        <v>176.4893333333333</v>
      </c>
      <c r="E102" s="66" t="n">
        <v>129345.0315384616</v>
      </c>
      <c r="F102" s="66" t="n">
        <v>5294.68</v>
      </c>
      <c r="G102" s="68" t="n">
        <v>548</v>
      </c>
      <c r="H102" s="70" t="n">
        <v>30</v>
      </c>
      <c r="I102" s="68" t="n">
        <v>31</v>
      </c>
      <c r="J102" s="69" t="n">
        <v>4.5</v>
      </c>
      <c r="K102" s="69" t="inlineStr">
        <is>
          <t>https://amazon.com/dp/B0FS12V1XC</t>
        </is>
      </c>
      <c r="L102" s="114">
        <f>HYPERLINK(Table4880[[#This Row],[Column1]])</f>
        <v/>
      </c>
    </row>
    <row r="103" ht="45" customHeight="1" s="314">
      <c r="A103" s="35" t="inlineStr">
        <is>
          <t>ArtiDiag600 Pro OBD2 Scanner Diagnostic Tool - TOPDON Automotive Scan Tool with Full Systems, Car Code Reader with 9 Reset Services for DIY &amp; Professional, Lifetime Free Update</t>
        </is>
      </c>
      <c r="B103" s="35" t="inlineStr">
        <is>
          <t>B0GDDWBY77</t>
        </is>
      </c>
      <c r="C103" s="35" t="inlineStr">
        <is>
          <t>Tablet</t>
        </is>
      </c>
      <c r="D103" s="359" t="n">
        <v>268.4875</v>
      </c>
      <c r="E103" s="66" t="n">
        <v>96118.5523076923</v>
      </c>
      <c r="F103" s="66" t="n">
        <v>7517.65</v>
      </c>
      <c r="G103" s="68" t="n">
        <v>97</v>
      </c>
      <c r="H103" s="70" t="n">
        <v>28</v>
      </c>
      <c r="I103" s="68" t="n">
        <v>9</v>
      </c>
      <c r="J103" s="69" t="n">
        <v>4.8</v>
      </c>
      <c r="K103" s="69" t="inlineStr">
        <is>
          <t>https://amazon.com/dp/B0GDDWBY77</t>
        </is>
      </c>
      <c r="L103" s="114">
        <f>HYPERLINK(Table4880[[#This Row],[Column1]])</f>
        <v/>
      </c>
    </row>
    <row r="104" ht="45" customHeight="1" s="314">
      <c r="A104" s="35" t="inlineStr">
        <is>
          <t>Motorcycle Scan Tool TOPDON TopScan Moto, All System Bidirectional Motorcycle Scanner for Harley, Duca ti, BMW &amp; Japan Brands, Reset Services Motorcycle Diagnostic Scanner, AutoVIN Diagnostic Tool</t>
        </is>
      </c>
      <c r="B104" s="35" t="inlineStr">
        <is>
          <t>B0DK98KF37</t>
        </is>
      </c>
      <c r="C104" s="35" t="inlineStr">
        <is>
          <t>Dongle</t>
        </is>
      </c>
      <c r="D104" s="359" t="n">
        <v>157.7347826086957</v>
      </c>
      <c r="E104" s="66" t="n">
        <v>56009.00000000001</v>
      </c>
      <c r="F104" s="66" t="n">
        <v>3627.9</v>
      </c>
      <c r="G104" s="68" t="n">
        <v>358</v>
      </c>
      <c r="H104" s="70" t="n">
        <v>23</v>
      </c>
      <c r="I104" s="68" t="n">
        <v>21</v>
      </c>
      <c r="J104" s="69" t="n">
        <v>4</v>
      </c>
      <c r="K104" s="69" t="inlineStr">
        <is>
          <t>https://amazon.com/dp/B0DK98KF37</t>
        </is>
      </c>
      <c r="L104" s="114">
        <f>HYPERLINK(Table4880[[#This Row],[Column1]])</f>
        <v/>
      </c>
    </row>
    <row r="105" ht="45" customHeight="1" s="314">
      <c r="A105" s="35" t="inlineStr">
        <is>
          <t>TOPDON ArtiDiag600 Elite, OBD2 Scanner, Full-System Car Diagnostic Tool, 13+ Services, FCA AutoAuth, Automotive Scan Tool with CAN-FD, 2-Years Free Updates, Upgraded of AD500 AD600S</t>
        </is>
      </c>
      <c r="B105" s="35" t="inlineStr">
        <is>
          <t>B0DT6CDWKK</t>
        </is>
      </c>
      <c r="C105" s="35" t="inlineStr">
        <is>
          <t>Tablet</t>
        </is>
      </c>
      <c r="D105" s="359" t="n">
        <v>315.952</v>
      </c>
      <c r="E105" s="66" t="n">
        <v>213500.31</v>
      </c>
      <c r="F105" s="66" t="n">
        <v>6319.04</v>
      </c>
      <c r="G105" s="68" t="n">
        <v>696</v>
      </c>
      <c r="H105" s="70" t="n">
        <v>20</v>
      </c>
      <c r="I105" s="68" t="n">
        <v>75</v>
      </c>
      <c r="J105" s="69" t="n">
        <v>4.5</v>
      </c>
      <c r="K105" s="69" t="inlineStr">
        <is>
          <t>https://amazon.com/dp/B0DT6CDWKK</t>
        </is>
      </c>
      <c r="L105" s="114">
        <f>HYPERLINK(Table4880[[#This Row],[Column1]])</f>
        <v/>
      </c>
    </row>
    <row r="106" ht="45" customHeight="1" s="314">
      <c r="A106" s="35" t="inlineStr">
        <is>
          <t>TOPDON Phoenix XLink Scanner, ECU Programming &amp; Coding Scan Tool, Topology Mapping, CAN-FD &amp; DoIP, Full System Bidirectional Scanner, 41+ Maintenance Services, V.A.G Guided, 2 Year Free Update</t>
        </is>
      </c>
      <c r="B106" s="35" t="inlineStr">
        <is>
          <t>B0D6YZT8Y5</t>
        </is>
      </c>
      <c r="C106" s="35" t="inlineStr">
        <is>
          <t>Tablet</t>
        </is>
      </c>
      <c r="D106" s="359" t="n">
        <v>1854.905384615385</v>
      </c>
      <c r="E106" s="66" t="n">
        <v>242454.49</v>
      </c>
      <c r="F106" s="66" t="n">
        <v>24113.77</v>
      </c>
      <c r="G106" s="68" t="n">
        <v>136</v>
      </c>
      <c r="H106" s="70" t="n">
        <v>13</v>
      </c>
      <c r="I106" s="68" t="n">
        <v>21</v>
      </c>
      <c r="J106" s="69" t="n">
        <v>3.8</v>
      </c>
      <c r="K106" s="69" t="inlineStr">
        <is>
          <t>https://amazon.com/dp/B0D6YZT8Y5</t>
        </is>
      </c>
      <c r="L106" s="114">
        <f>HYPERLINK(Table4880[[#This Row],[Column1]])</f>
        <v/>
      </c>
    </row>
    <row r="107" ht="45" customHeight="1" s="314">
      <c r="A107" s="35" t="inlineStr">
        <is>
          <t>TOPDON Phoenix XLink Scan Tool, ECU Programming, Online ECU Coding, Upgraded of Phoenix Plus, Topology Mapping, 41 Services, Bi-Directional Scanner, Guided Function, CAN FD/DoIP, 2 Years Free Update</t>
        </is>
      </c>
      <c r="B107" s="35" t="inlineStr">
        <is>
          <t>B0D2ZM4HL3</t>
        </is>
      </c>
      <c r="C107" s="35" t="inlineStr">
        <is>
          <t>Tablet</t>
        </is>
      </c>
      <c r="D107" s="359" t="n">
        <v>1719.97</v>
      </c>
      <c r="E107" s="66" t="n">
        <v>476515.6200000001</v>
      </c>
      <c r="F107" s="66" t="n">
        <v>15479.73</v>
      </c>
      <c r="G107" s="68" t="n">
        <v>272</v>
      </c>
      <c r="H107" s="70" t="n">
        <v>9</v>
      </c>
      <c r="I107" s="68" t="n">
        <v>427</v>
      </c>
      <c r="J107" s="69" t="n">
        <v>4.2</v>
      </c>
      <c r="K107" s="69" t="inlineStr">
        <is>
          <t>https://amazon.com/dp/B0D2ZM4HL3</t>
        </is>
      </c>
      <c r="L107" s="114">
        <f>HYPERLINK(Table4880[[#This Row],[Column1]])</f>
        <v/>
      </c>
    </row>
    <row r="108" ht="45" customHeight="1" s="314">
      <c r="A108" s="35" t="inlineStr">
        <is>
          <t>TOPDON Phoenix Plus Scanner, OE-Level ECU Coding Scan Tool with Bidirectional Control, Topology Map, All System, 41+ Services, FCA SGW AutoAuth, V.A.G Guided, 2-Years Free Update, Module Configuration</t>
        </is>
      </c>
      <c r="B108" s="35" t="inlineStr">
        <is>
          <t>B0G4LXJB4V</t>
        </is>
      </c>
      <c r="C108" s="35" t="inlineStr">
        <is>
          <t>Tablet</t>
        </is>
      </c>
      <c r="D108" s="359" t="n">
        <v>1086.414</v>
      </c>
      <c r="E108" s="66" t="n">
        <v>106118.2176923077</v>
      </c>
      <c r="F108" s="66" t="n">
        <v>5432.07</v>
      </c>
      <c r="G108" s="68" t="n">
        <v>69</v>
      </c>
      <c r="H108" s="70" t="n">
        <v>5</v>
      </c>
      <c r="I108" s="68" t="n">
        <v>2</v>
      </c>
      <c r="J108" s="69" t="n">
        <v>5</v>
      </c>
      <c r="K108" s="69" t="inlineStr">
        <is>
          <t>https://amazon.com/dp/B0G4LXJB4V</t>
        </is>
      </c>
      <c r="L108" s="114">
        <f>HYPERLINK(Table4880[[#This Row],[Column1]])</f>
        <v/>
      </c>
    </row>
    <row r="109" ht="17" customHeight="1" s="314">
      <c r="A109" s="35" t="inlineStr">
        <is>
          <t>TOPDON Phoenix XLink 2025 New Gen Scan Tool, ECU Program ming/Online Coding, Topology Mapping/New CAN Bus/DoIP, Bidirectional Scanner, 41+ Service, V.A.G Guided, Diagnostic Tool for All Vehicles</t>
        </is>
      </c>
      <c r="B109" s="35" t="inlineStr">
        <is>
          <t>B0DT8JCQ5G</t>
        </is>
      </c>
      <c r="C109" s="35" t="inlineStr">
        <is>
          <t>Tablet</t>
        </is>
      </c>
      <c r="D109" s="359" t="n">
        <v>1427.788</v>
      </c>
      <c r="E109" s="66" t="n">
        <v>158064.24</v>
      </c>
      <c r="F109" s="66" t="n">
        <v>7138.94</v>
      </c>
      <c r="G109" s="68" t="n">
        <v>93</v>
      </c>
      <c r="H109" s="70" t="n">
        <v>5</v>
      </c>
      <c r="I109" s="68" t="n">
        <v>39</v>
      </c>
      <c r="J109" s="69" t="n">
        <v>4.4</v>
      </c>
      <c r="K109" s="69" t="inlineStr">
        <is>
          <t>https://amazon.com/dp/B0DT8JCQ5G</t>
        </is>
      </c>
      <c r="L109" s="114">
        <f>HYPERLINK(Table4880[[#This Row],[Column1]])</f>
        <v/>
      </c>
    </row>
    <row r="110" ht="45" customHeight="1" s="314">
      <c r="A110" s="35" t="inlineStr">
        <is>
          <t>TOPDON USA - Phoenix MAX W/Scope KIT</t>
        </is>
      </c>
      <c r="B110" s="35" t="inlineStr">
        <is>
          <t>B0FC2Y5BK9</t>
        </is>
      </c>
      <c r="C110" s="35" t="inlineStr">
        <is>
          <t>Tablet</t>
        </is>
      </c>
      <c r="D110" s="359" t="n">
        <v>3577.356</v>
      </c>
      <c r="E110" s="66" t="n">
        <v>386005.5715384615</v>
      </c>
      <c r="F110" s="66" t="n">
        <v>17886.78</v>
      </c>
      <c r="G110" s="68" t="n">
        <v>93</v>
      </c>
      <c r="H110" s="70" t="n">
        <v>5</v>
      </c>
      <c r="I110" s="68" t="n"/>
      <c r="J110" s="69" t="n"/>
      <c r="K110" s="69" t="inlineStr">
        <is>
          <t>https://amazon.com/dp/B0FC2Y5BK9</t>
        </is>
      </c>
      <c r="L110" s="114">
        <f>HYPERLINK(Table4880[[#This Row],[Column1]])</f>
        <v/>
      </c>
    </row>
    <row r="111" ht="60" customHeight="1" s="314">
      <c r="A111" s="35" t="inlineStr">
        <is>
          <t>TOPDON 1</t>
        </is>
      </c>
      <c r="B111" s="35" t="inlineStr">
        <is>
          <t>B0D5J15WGL</t>
        </is>
      </c>
      <c r="C111" s="35" t="inlineStr">
        <is>
          <t>Dongle</t>
        </is>
      </c>
      <c r="D111" s="359" t="n">
        <v>75.435</v>
      </c>
      <c r="E111" s="66" t="n">
        <v>3610.54</v>
      </c>
      <c r="F111" s="66" t="n">
        <v>150.87</v>
      </c>
      <c r="G111" s="68" t="n">
        <v>41</v>
      </c>
      <c r="H111" s="70" t="n">
        <v>2</v>
      </c>
      <c r="I111" s="68" t="n">
        <v>35</v>
      </c>
      <c r="J111" s="69" t="n">
        <v>4.3</v>
      </c>
      <c r="K111" s="69" t="inlineStr">
        <is>
          <t>https://amazon.com/dp/B0D5J15WGL</t>
        </is>
      </c>
      <c r="L111" s="114">
        <f>HYPERLINK(Table4880[[#This Row],[Column1]])</f>
        <v/>
      </c>
    </row>
    <row r="112" ht="45" customHeight="1" s="314">
      <c r="A112" s="35" t="inlineStr">
        <is>
          <t>TOPDON Round 10 Pin Connector to 16 Pin Adapter Compatible with BMW Motorcycles</t>
        </is>
      </c>
      <c r="B112" s="35" t="inlineStr">
        <is>
          <t>B0CXD91FGV</t>
        </is>
      </c>
      <c r="C112" s="35" t="inlineStr">
        <is>
          <t>Cable/Adapter</t>
        </is>
      </c>
      <c r="D112" s="359" t="n">
        <v>21.645</v>
      </c>
      <c r="E112" s="66" t="n">
        <v>212.46</v>
      </c>
      <c r="F112" s="66" t="n">
        <v>43.29</v>
      </c>
      <c r="G112" s="68" t="n">
        <v>8</v>
      </c>
      <c r="H112" s="70" t="n">
        <v>2</v>
      </c>
      <c r="I112" s="68" t="n">
        <v>3</v>
      </c>
      <c r="J112" s="69" t="n">
        <v>5</v>
      </c>
      <c r="K112" s="69" t="inlineStr">
        <is>
          <t>https://amazon.com/dp/B0CXD91FGV</t>
        </is>
      </c>
      <c r="L112" s="114">
        <f>HYPERLINK(Table4880[[#This Row],[Column1]])</f>
        <v/>
      </c>
    </row>
    <row r="113" ht="17" customHeight="1" s="314">
      <c r="A113" s="35" t="inlineStr">
        <is>
          <t>TOPDON USA - ARTIDIAG EU 4-INCH SCAN Tool for Euro Vehicles EC</t>
        </is>
      </c>
      <c r="B113" s="35" t="inlineStr">
        <is>
          <t>B0FJF8QWTR</t>
        </is>
      </c>
      <c r="C113" s="35" t="inlineStr">
        <is>
          <t>Handheld</t>
        </is>
      </c>
      <c r="D113" s="359" t="n">
        <v>119.27</v>
      </c>
      <c r="E113" s="66" t="n">
        <v>2233.733846153846</v>
      </c>
      <c r="F113" s="66" t="n">
        <v>119.27</v>
      </c>
      <c r="G113" s="68" t="n">
        <v>6</v>
      </c>
      <c r="H113" s="70" t="n">
        <v>1</v>
      </c>
      <c r="I113" s="68" t="n">
        <v>1</v>
      </c>
      <c r="J113" s="69" t="n">
        <v>1</v>
      </c>
      <c r="K113" s="69" t="inlineStr">
        <is>
          <t>https://amazon.com/dp/B0FJF8QWTR</t>
        </is>
      </c>
      <c r="L113" s="114">
        <f>HYPERLINK(Table4880[[#This Row],[Column1]])</f>
        <v/>
      </c>
    </row>
    <row r="114" ht="17" customHeight="1" s="314">
      <c r="A114" s="35" t="inlineStr">
        <is>
          <t>Topdon ArtiLink500 - Code Reader - 10 OBDII Modes &amp; Data Graphing</t>
        </is>
      </c>
      <c r="B114" s="35" t="inlineStr">
        <is>
          <t>B08MZWBN33</t>
        </is>
      </c>
      <c r="C114" s="35" t="inlineStr">
        <is>
          <t>Handheld</t>
        </is>
      </c>
      <c r="D114" s="359" t="n">
        <v>63.92</v>
      </c>
      <c r="E114" s="66" t="n">
        <v>63.92</v>
      </c>
      <c r="F114" s="66" t="n">
        <v>63.92</v>
      </c>
      <c r="G114" s="68" t="n">
        <v>1</v>
      </c>
      <c r="H114" s="70" t="n">
        <v>1</v>
      </c>
      <c r="I114" s="68" t="n">
        <v>774</v>
      </c>
      <c r="J114" s="69" t="n">
        <v>4</v>
      </c>
      <c r="K114" s="69" t="inlineStr">
        <is>
          <t>https://amazon.com/dp/B08MZWBN33</t>
        </is>
      </c>
      <c r="L114" s="114">
        <f>HYPERLINK(Table4880[[#This Row],[Column1]])</f>
        <v/>
      </c>
    </row>
    <row r="115" ht="45" customHeight="1" s="314">
      <c r="A115" s="35" t="inlineStr">
        <is>
          <t>TOPDON RLink Lite J2534 Pass-Thru Programmer, Enhanced VCI</t>
        </is>
      </c>
      <c r="B115" s="35" t="inlineStr">
        <is>
          <t>B0CZHMH149</t>
        </is>
      </c>
      <c r="C115" s="35" t="inlineStr">
        <is>
          <t>Handheld</t>
        </is>
      </c>
      <c r="D115" s="359" t="n">
        <v>697.3099999999999</v>
      </c>
      <c r="E115" s="66" t="n">
        <v>19496.52</v>
      </c>
      <c r="F115" s="66" t="n">
        <v>0</v>
      </c>
      <c r="G115" s="68" t="n">
        <v>21</v>
      </c>
      <c r="H115" s="70" t="n">
        <v>0</v>
      </c>
      <c r="I115" s="68" t="n">
        <v>5</v>
      </c>
      <c r="J115" s="69" t="n">
        <v>4</v>
      </c>
      <c r="K115" s="69" t="inlineStr">
        <is>
          <t>https://amazon.com/dp/B0CZHMH149</t>
        </is>
      </c>
      <c r="L115" s="114">
        <f>HYPERLINK(Table4880[[#This Row],[Column1]])</f>
        <v/>
      </c>
    </row>
    <row r="116" ht="17" customHeight="1" s="314">
      <c r="A116" s="35" t="inlineStr">
        <is>
          <t>Elite Phoenix by TOPDON</t>
        </is>
      </c>
      <c r="B116" s="35" t="inlineStr">
        <is>
          <t>B09WD74CHH</t>
        </is>
      </c>
      <c r="C116" s="35" t="inlineStr">
        <is>
          <t>Tablet</t>
        </is>
      </c>
      <c r="D116" s="359" t="n">
        <v>1649.06</v>
      </c>
      <c r="E116" s="66" t="n">
        <v>8880.24</v>
      </c>
      <c r="F116" s="66" t="n">
        <v>0</v>
      </c>
      <c r="G116" s="68" t="n">
        <v>6</v>
      </c>
      <c r="H116" s="70" t="n">
        <v>0</v>
      </c>
      <c r="I116" s="68" t="n">
        <v>2</v>
      </c>
      <c r="J116" s="69" t="n">
        <v>5</v>
      </c>
      <c r="K116" s="69" t="inlineStr">
        <is>
          <t>https://amazon.com/dp/B09WD74CHH</t>
        </is>
      </c>
      <c r="L116" s="114">
        <f>HYPERLINK(Table4880[[#This Row],[Column1]])</f>
        <v/>
      </c>
    </row>
    <row r="117" ht="45" customHeight="1" s="314">
      <c r="A117" s="35" t="inlineStr">
        <is>
          <t>TOPDON USA - Pocket-Size Bluetooth SCAN Tool W/BI-Directional C</t>
        </is>
      </c>
      <c r="B117" s="35" t="inlineStr">
        <is>
          <t>B0DFM66VTZ</t>
        </is>
      </c>
      <c r="C117" s="35" t="inlineStr">
        <is>
          <t>Dongle</t>
        </is>
      </c>
      <c r="D117" s="359" t="n">
        <v>75.33</v>
      </c>
      <c r="E117" s="66" t="n">
        <v>0</v>
      </c>
      <c r="F117" s="66" t="n">
        <v>0</v>
      </c>
      <c r="G117" s="68" t="n">
        <v>0</v>
      </c>
      <c r="H117" s="70" t="n">
        <v>0</v>
      </c>
      <c r="I117" s="68" t="n"/>
      <c r="J117" s="69" t="n"/>
      <c r="K117" s="69" t="inlineStr">
        <is>
          <t>https://amazon.com/dp/B0DFM66VTZ</t>
        </is>
      </c>
      <c r="L117" s="114">
        <f>HYPERLINK(Table4880[[#This Row],[Column1]])</f>
        <v/>
      </c>
    </row>
    <row r="118" ht="45" customFormat="1" customHeight="1" s="40">
      <c r="A118" s="35" t="inlineStr">
        <is>
          <t>TOPDON USA - 13.3 OE-Level SCAN Tool Docking Station Cloud-B</t>
        </is>
      </c>
      <c r="B118" s="35" t="inlineStr">
        <is>
          <t>B0FC33DQD9</t>
        </is>
      </c>
      <c r="C118" s="35" t="inlineStr">
        <is>
          <t>Tablet</t>
        </is>
      </c>
      <c r="D118" s="359" t="n">
        <v>2671.073333333333</v>
      </c>
      <c r="E118" s="66" t="n">
        <v>47677.78</v>
      </c>
      <c r="F118" s="66" t="n">
        <v>0</v>
      </c>
      <c r="G118" s="68" t="n">
        <v>14</v>
      </c>
      <c r="H118" s="70" t="n">
        <v>0</v>
      </c>
      <c r="I118" s="68" t="n"/>
      <c r="J118" s="69" t="n"/>
      <c r="K118" s="69" t="inlineStr">
        <is>
          <t>https://amazon.com/dp/B0FC33DQD9</t>
        </is>
      </c>
      <c r="L118" s="114">
        <f>HYPERLINK(Table4880[[#This Row],[Column1]])</f>
        <v/>
      </c>
    </row>
    <row r="119" ht="17" customHeight="1" s="314">
      <c r="A119" s="35" t="inlineStr">
        <is>
          <t>TOPDON AL400 OBD2 Scanner, Full OBDII Code Reader, Check Engine Light Scan Tool, Car Scanner with DTC Lookup, Clear Codes, Freeze Frame, One-Click I/M, Diagnostic Scanner for DIYers, Lifetime Update</t>
        </is>
      </c>
      <c r="B119" s="35" t="inlineStr">
        <is>
          <t>B0D5HBK8TD</t>
        </is>
      </c>
      <c r="C119" s="35" t="inlineStr">
        <is>
          <t>Handheld</t>
        </is>
      </c>
      <c r="D119" s="359" t="n">
        <v>29.99</v>
      </c>
      <c r="E119" s="66" t="n">
        <v>692.14</v>
      </c>
      <c r="F119" s="66" t="n">
        <v>0</v>
      </c>
      <c r="G119" s="68" t="n">
        <v>20</v>
      </c>
      <c r="H119" s="70" t="n">
        <v>0</v>
      </c>
      <c r="I119" s="68" t="n">
        <v>4</v>
      </c>
      <c r="J119" s="69" t="n">
        <v>4.5</v>
      </c>
      <c r="K119" s="69" t="inlineStr">
        <is>
          <t>https://amazon.com/dp/B0D5HBK8TD</t>
        </is>
      </c>
      <c r="L119" s="114">
        <f>HYPERLINK(Table4880[[#This Row],[Column1]])</f>
        <v/>
      </c>
    </row>
    <row r="120" ht="45" customHeight="1" s="314">
      <c r="A120" s="35" t="inlineStr">
        <is>
          <t>TOPDON USA - 2-in-1 Code Reader Battery Tester W/Data GRAPHIN</t>
        </is>
      </c>
      <c r="B120" s="35" t="inlineStr">
        <is>
          <t>B0CP8VYGHW</t>
        </is>
      </c>
      <c r="C120" s="35" t="inlineStr">
        <is>
          <t>Tablet</t>
        </is>
      </c>
      <c r="D120" s="359" t="n">
        <v>82.11</v>
      </c>
      <c r="E120" s="66" t="n">
        <v>0</v>
      </c>
      <c r="F120" s="66" t="n">
        <v>0</v>
      </c>
      <c r="G120" s="68" t="n">
        <v>0</v>
      </c>
      <c r="H120" s="70" t="n">
        <v>0</v>
      </c>
      <c r="I120" s="68" t="n">
        <v>1</v>
      </c>
      <c r="J120" s="69" t="n">
        <v>1</v>
      </c>
      <c r="K120" s="69" t="inlineStr">
        <is>
          <t>https://amazon.com/dp/B0CP8VYGHW</t>
        </is>
      </c>
      <c r="L120" s="114">
        <f>HYPERLINK(Table4880[[#This Row],[Column1]])</f>
        <v/>
      </c>
    </row>
    <row r="121" ht="30" customHeight="1" s="314">
      <c r="A121" s="35" t="inlineStr">
        <is>
          <t>TOPDON USA - Code Reader - 2.4 Screen Data GRAPHING</t>
        </is>
      </c>
      <c r="B121" s="35" t="inlineStr">
        <is>
          <t>B09XD1FGWM</t>
        </is>
      </c>
      <c r="C121" s="35" t="inlineStr">
        <is>
          <t>Handheld</t>
        </is>
      </c>
      <c r="D121" s="359" t="n">
        <v>54.47</v>
      </c>
      <c r="E121" s="66" t="n">
        <v>273.78</v>
      </c>
      <c r="F121" s="66" t="n">
        <v>0</v>
      </c>
      <c r="G121" s="68" t="n">
        <v>6</v>
      </c>
      <c r="H121" s="70" t="n">
        <v>0</v>
      </c>
      <c r="I121" s="68" t="n">
        <v>1216</v>
      </c>
      <c r="J121" s="69" t="n">
        <v>4.1</v>
      </c>
      <c r="K121" s="69" t="inlineStr">
        <is>
          <t>https://amazon.com/dp/B09XD1FGWM</t>
        </is>
      </c>
      <c r="L121" s="114">
        <f>HYPERLINK(Table4880[[#This Row],[Column1]])</f>
        <v/>
      </c>
    </row>
    <row r="122" ht="45" customHeight="1" s="314">
      <c r="A122" s="35" t="inlineStr">
        <is>
          <t>TOPDON USA - Phoenix MAX/Smart ONE-Year Update Passenger CAR</t>
        </is>
      </c>
      <c r="B122" s="35" t="inlineStr">
        <is>
          <t>B0CY5LZRWK</t>
        </is>
      </c>
      <c r="C122" s="35" t="inlineStr">
        <is>
          <t>Tablet</t>
        </is>
      </c>
      <c r="D122" s="359" t="n">
        <v>699.99</v>
      </c>
      <c r="E122" s="66" t="n">
        <v>4616.35</v>
      </c>
      <c r="F122" s="66" t="n">
        <v>0</v>
      </c>
      <c r="G122" s="68" t="n">
        <v>6</v>
      </c>
      <c r="H122" s="70" t="n">
        <v>0</v>
      </c>
      <c r="I122" s="68" t="n">
        <v>2</v>
      </c>
      <c r="J122" s="69" t="n">
        <v>5</v>
      </c>
      <c r="K122" s="69" t="inlineStr">
        <is>
          <t>https://amazon.com/dp/B0CY5LZRWK</t>
        </is>
      </c>
      <c r="L122" s="114">
        <f>HYPERLINK(Table4880[[#This Row],[Column1]])</f>
        <v/>
      </c>
    </row>
    <row r="123" ht="17" customHeight="1" s="314">
      <c r="A123" s="35" t="inlineStr">
        <is>
          <t>TOPDON Phoenix Lite 2 Multi-Brand Car Diagnostic Tool for All Systems, ECU Coding, 34+ Maintenance Service, Bidirectional Control, Guided V.A.G</t>
        </is>
      </c>
      <c r="B123" s="35" t="inlineStr">
        <is>
          <t>B0B63J5MDJ</t>
        </is>
      </c>
      <c r="C123" s="35" t="inlineStr">
        <is>
          <t>Tablet</t>
        </is>
      </c>
      <c r="D123" s="359" t="n">
        <v>763.1799999999999</v>
      </c>
      <c r="E123" s="66" t="n">
        <v>2258.66</v>
      </c>
      <c r="F123" s="66" t="n">
        <v>0</v>
      </c>
      <c r="G123" s="68" t="n">
        <v>4</v>
      </c>
      <c r="H123" s="70" t="n">
        <v>0</v>
      </c>
      <c r="I123" s="68" t="n">
        <v>113</v>
      </c>
      <c r="J123" s="69" t="n">
        <v>4.2</v>
      </c>
      <c r="K123" s="69" t="inlineStr">
        <is>
          <t>https://amazon.com/dp/B0B63J5MDJ</t>
        </is>
      </c>
      <c r="L123" s="114">
        <f>HYPERLINK(Table4880[[#This Row],[Column1]])</f>
        <v/>
      </c>
    </row>
    <row r="124" ht="17" customHeight="1" s="314">
      <c r="A124" s="35" t="n"/>
      <c r="B124" s="35" t="n"/>
      <c r="C124" s="35" t="n"/>
      <c r="D124" s="359" t="n"/>
      <c r="E124" s="66" t="n"/>
      <c r="F124" s="66" t="n"/>
      <c r="G124" s="68" t="n"/>
      <c r="H124" s="70" t="n"/>
      <c r="I124" s="68" t="n"/>
      <c r="J124" s="69" t="n"/>
      <c r="K124" s="69" t="n"/>
      <c r="L124" s="114">
        <f>HYPERLINK(Table4880[[#This Row],[Column1]])</f>
        <v/>
      </c>
    </row>
    <row r="125" ht="45" customHeight="1" s="314">
      <c r="A125" s="35" t="n"/>
      <c r="B125" s="35" t="n"/>
      <c r="C125" s="35" t="n"/>
      <c r="D125" s="359" t="n"/>
      <c r="E125" s="66" t="n"/>
      <c r="F125" s="66" t="n"/>
      <c r="G125" s="68" t="n"/>
      <c r="H125" s="70" t="n"/>
      <c r="I125" s="68" t="n"/>
      <c r="J125" s="69" t="n"/>
      <c r="K125" s="69" t="n"/>
      <c r="L125" s="114">
        <f>HYPERLINK(Table4880[[#This Row],[Column1]])</f>
        <v/>
      </c>
    </row>
    <row r="126" ht="17" customHeight="1" s="314">
      <c r="A126" s="35" t="n"/>
      <c r="B126" s="35" t="n"/>
      <c r="C126" s="35" t="n"/>
      <c r="D126" s="359" t="n"/>
      <c r="E126" s="66" t="n"/>
      <c r="F126" s="66" t="n"/>
      <c r="G126" s="68" t="n"/>
      <c r="H126" s="70" t="n"/>
      <c r="I126" s="68" t="n"/>
      <c r="J126" s="69" t="n"/>
      <c r="K126" s="69" t="n"/>
      <c r="L126" s="114">
        <f>HYPERLINK(Table4880[[#This Row],[Column1]])</f>
        <v/>
      </c>
    </row>
    <row r="127" ht="17" customHeight="1" s="314">
      <c r="A127" s="35" t="n"/>
      <c r="B127" s="35" t="n"/>
      <c r="C127" s="35" t="n"/>
      <c r="D127" s="359" t="n"/>
      <c r="E127" s="66" t="n"/>
      <c r="F127" s="66" t="n"/>
      <c r="G127" s="68" t="n"/>
      <c r="H127" s="70" t="n"/>
      <c r="I127" s="68" t="n"/>
      <c r="J127" s="69" t="n"/>
      <c r="K127" s="69" t="n"/>
      <c r="L127" s="114">
        <f>HYPERLINK(Table4880[[#This Row],[Column1]])</f>
        <v/>
      </c>
    </row>
    <row r="128" ht="17" customHeight="1" s="314">
      <c r="A128" s="41" t="inlineStr">
        <is>
          <t>Total</t>
        </is>
      </c>
      <c r="B128" s="41" t="n"/>
      <c r="C128" s="365" t="n"/>
      <c r="D128" s="122" t="n"/>
      <c r="E128" s="122" t="n"/>
      <c r="F128" s="122" t="n"/>
      <c r="G128" s="123">
        <f>SUM(G71:G127)</f>
        <v/>
      </c>
      <c r="H128" s="123">
        <f>SUM(H71:H127)</f>
        <v/>
      </c>
      <c r="I128" s="123" t="n"/>
      <c r="J128" s="128" t="n"/>
      <c r="K128" s="41" t="n"/>
      <c r="L128" s="40" t="n"/>
    </row>
  </sheetData>
  <mergeCells count="3">
    <mergeCell ref="A1:L5"/>
    <mergeCell ref="A69:L69"/>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5.xml><?xml version="1.0" encoding="utf-8"?>
<worksheet xmlns="http://schemas.openxmlformats.org/spreadsheetml/2006/main">
  <sheetPr>
    <outlinePr summaryBelow="1" summaryRight="1"/>
    <pageSetUpPr/>
  </sheetPr>
  <dimension ref="A1:L22"/>
  <sheetViews>
    <sheetView zoomScale="75" workbookViewId="0">
      <selection activeCell="L22" sqref="L22"/>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3" bestFit="1" customWidth="1" style="308" min="10" max="10"/>
    <col hidden="1" width="27.5" customWidth="1" style="308" min="11" max="11"/>
    <col width="35.6640625" customWidth="1" style="308" min="12" max="12"/>
    <col width="12.6640625" customWidth="1" style="308" min="13" max="16384"/>
  </cols>
  <sheetData>
    <row r="1">
      <c r="A1" s="306" t="inlineStr">
        <is>
          <t>Veepeak Monthly Summary</t>
        </is>
      </c>
    </row>
    <row r="2"/>
    <row r="3"/>
    <row r="4"/>
    <row r="5"/>
    <row r="6">
      <c r="A6" s="34" t="n"/>
      <c r="B6" s="34" t="n"/>
      <c r="C6" s="358" t="n"/>
      <c r="D6" s="56" t="n"/>
      <c r="E6" s="56" t="n"/>
      <c r="F6" s="57" t="n"/>
      <c r="G6" s="57" t="n"/>
      <c r="H6" s="57" t="n"/>
      <c r="I6" s="58" t="n"/>
      <c r="J6" s="59"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Veepeak OBDCheck BLE Bluetooth OBD II Scanner for iOS &amp; Android, Car Wireless Check Engine Light Code Reader Diagnostic Tool</t>
        </is>
      </c>
      <c r="B9" s="35" t="inlineStr">
        <is>
          <t>B073XKQQQW</t>
        </is>
      </c>
      <c r="C9" s="35" t="inlineStr">
        <is>
          <t>Dongle</t>
        </is>
      </c>
      <c r="D9" s="359" t="n">
        <v>31.51586355616546</v>
      </c>
      <c r="E9" s="66" t="n">
        <v>1765906.42</v>
      </c>
      <c r="F9" s="67" t="n">
        <v>160762.42</v>
      </c>
      <c r="G9" s="68" t="n">
        <v>56473</v>
      </c>
      <c r="H9" s="68" t="n">
        <v>5101</v>
      </c>
      <c r="I9" s="68" t="n">
        <v>23468</v>
      </c>
      <c r="J9" s="69" t="n">
        <v>4.5</v>
      </c>
      <c r="K9" s="69" t="inlineStr">
        <is>
          <t>https://amazon.com/dp/B073XKQQQW</t>
        </is>
      </c>
      <c r="L9" s="114">
        <f>HYPERLINK(Table55[[#This Row],[Column1]])</f>
        <v/>
      </c>
    </row>
    <row r="10" ht="30" customHeight="1" s="314">
      <c r="A10" s="35" t="inlineStr">
        <is>
          <t>Veepeak OBDCheck BLE+ Bluetooth OBD II Scanner for iOS &amp; Android, Car Check Engine Code Reader Wireless OBD Diagnostic Scan Tool</t>
        </is>
      </c>
      <c r="B10" s="35" t="inlineStr">
        <is>
          <t>B076XVQMVS</t>
        </is>
      </c>
      <c r="C10" s="35" t="inlineStr">
        <is>
          <t>Dongle</t>
        </is>
      </c>
      <c r="D10" s="359" t="n">
        <v>41.43043495145631</v>
      </c>
      <c r="E10" s="66" t="n">
        <v>806092.9799999999</v>
      </c>
      <c r="F10" s="67" t="n">
        <v>106683.37</v>
      </c>
      <c r="G10" s="68" t="n">
        <v>19331</v>
      </c>
      <c r="H10" s="68" t="n">
        <v>2575</v>
      </c>
      <c r="I10" s="68" t="n">
        <v>10842</v>
      </c>
      <c r="J10" s="69" t="n">
        <v>4.6</v>
      </c>
      <c r="K10" s="69" t="inlineStr">
        <is>
          <t>https://amazon.com/dp/B076XVQMVS</t>
        </is>
      </c>
      <c r="L10" s="114">
        <f>HYPERLINK(Table55[[#This Row],[Column1]])</f>
        <v/>
      </c>
    </row>
    <row r="11" ht="30" customHeight="1" s="314">
      <c r="A11" s="35" t="inlineStr">
        <is>
          <t>Veepeak Mini Bluetooth OBD2 Scanner for Android ONLY (NOT for iOS) – Car Wireless Check Engine Light Code Reader &amp; Diagnostic Tool</t>
        </is>
      </c>
      <c r="B11" s="35" t="inlineStr">
        <is>
          <t>B011NSX27A</t>
        </is>
      </c>
      <c r="C11" s="35" t="inlineStr">
        <is>
          <t>Dongle</t>
        </is>
      </c>
      <c r="D11" s="359" t="n">
        <v>14.47829914529914</v>
      </c>
      <c r="E11" s="66" t="n">
        <v>237383.92</v>
      </c>
      <c r="F11" s="67" t="n">
        <v>16939.61</v>
      </c>
      <c r="G11" s="68" t="n">
        <v>15902</v>
      </c>
      <c r="H11" s="68" t="n">
        <v>1170</v>
      </c>
      <c r="I11" s="68" t="n">
        <v>18622</v>
      </c>
      <c r="J11" s="69" t="n">
        <v>4.4</v>
      </c>
      <c r="K11" s="69" t="inlineStr">
        <is>
          <t>https://amazon.com/dp/B011NSX27A</t>
        </is>
      </c>
      <c r="L11" s="114">
        <f>HYPERLINK(Table55[[#This Row],[Column1]])</f>
        <v/>
      </c>
    </row>
    <row r="12" ht="45" customHeight="1" s="314">
      <c r="A12" s="35" t="inlineStr">
        <is>
          <t>Veepeak Car OBD2 Scanner Diagnostic Tool, Auto Check Engine Light Code Reader Reset Tool for 1996+ OBD-II Compliant Vehicles, Carrying Case Included</t>
        </is>
      </c>
      <c r="B12" s="35" t="inlineStr">
        <is>
          <t>B0DYDS78Q2</t>
        </is>
      </c>
      <c r="C12" s="35" t="inlineStr">
        <is>
          <t>Handheld</t>
        </is>
      </c>
      <c r="D12" s="359" t="n">
        <v>25.70851851851852</v>
      </c>
      <c r="E12" s="66" t="n">
        <v>15649.57</v>
      </c>
      <c r="F12" s="67" t="n">
        <v>694.13</v>
      </c>
      <c r="G12" s="68" t="n">
        <v>534</v>
      </c>
      <c r="H12" s="68" t="n">
        <v>27</v>
      </c>
      <c r="I12" s="68" t="n">
        <v>141</v>
      </c>
      <c r="J12" s="69" t="n">
        <v>4.4</v>
      </c>
      <c r="K12" s="69" t="inlineStr">
        <is>
          <t>https://amazon.com/dp/B0DYDS78Q2</t>
        </is>
      </c>
      <c r="L12" s="114">
        <f>HYPERLINK(Table55[[#This Row],[Column1]])</f>
        <v/>
      </c>
    </row>
    <row r="13" ht="17" customFormat="1" customHeight="1" s="40">
      <c r="A13" s="41" t="inlineStr">
        <is>
          <t>Total</t>
        </is>
      </c>
      <c r="B13" s="41" t="n"/>
      <c r="C13" s="365" t="n"/>
      <c r="D13" s="365" t="n"/>
      <c r="E13" s="122">
        <f>SUM(E9:E12)</f>
        <v/>
      </c>
      <c r="F13" s="122">
        <f>SUM(F9:F12)</f>
        <v/>
      </c>
      <c r="G13" s="123" t="n"/>
      <c r="H13" s="123" t="n"/>
      <c r="I13" s="123" t="n"/>
      <c r="J13" s="128" t="n"/>
      <c r="K13" s="41" t="n"/>
    </row>
    <row r="16">
      <c r="A16" s="307" t="inlineStr">
        <is>
          <t>Rank by Units</t>
        </is>
      </c>
    </row>
    <row r="17" ht="17" customHeight="1" s="314">
      <c r="A17" s="46" t="inlineStr">
        <is>
          <t>Product Name</t>
        </is>
      </c>
      <c r="B17" s="47" t="inlineStr">
        <is>
          <t>ASIN</t>
        </is>
      </c>
      <c r="C17" s="47" t="inlineStr">
        <is>
          <t>Type</t>
        </is>
      </c>
      <c r="D17" s="345" t="inlineStr">
        <is>
          <t>Avg Price</t>
        </is>
      </c>
      <c r="E17" s="49" t="inlineStr">
        <is>
          <t>Estimated 12mo Revenue</t>
        </is>
      </c>
      <c r="F17" s="47" t="inlineStr">
        <is>
          <t>Monthly Rev</t>
        </is>
      </c>
      <c r="G17" s="51" t="inlineStr">
        <is>
          <t>Estimated 12mo Units</t>
        </is>
      </c>
      <c r="H17" s="54" t="inlineStr">
        <is>
          <t>Monthly Units</t>
        </is>
      </c>
      <c r="I17" s="51" t="inlineStr">
        <is>
          <t># of Reviews</t>
        </is>
      </c>
      <c r="J17" s="52" t="inlineStr">
        <is>
          <t xml:space="preserve">Tool Rating </t>
        </is>
      </c>
      <c r="K17" s="52" t="inlineStr">
        <is>
          <t>Column1</t>
        </is>
      </c>
      <c r="L17" s="346" t="inlineStr">
        <is>
          <t>Link</t>
        </is>
      </c>
    </row>
    <row r="18" ht="30" customHeight="1" s="314">
      <c r="A18" s="35" t="inlineStr">
        <is>
          <t>Veepeak OBDCheck BLE Bluetooth OBD II Scanner for iOS &amp; Android, Car Wireless Check Engine Light Code Reader Diagnostic Tool</t>
        </is>
      </c>
      <c r="B18" s="35" t="inlineStr">
        <is>
          <t>B073XKQQQW</t>
        </is>
      </c>
      <c r="C18" s="35" t="inlineStr">
        <is>
          <t>Dongle</t>
        </is>
      </c>
      <c r="D18" s="359" t="n">
        <v>31.51586355616546</v>
      </c>
      <c r="E18" s="66" t="n">
        <v>1765906.42</v>
      </c>
      <c r="F18" s="66" t="n">
        <v>160762.42</v>
      </c>
      <c r="G18" s="68" t="n">
        <v>56473</v>
      </c>
      <c r="H18" s="70" t="n">
        <v>5101</v>
      </c>
      <c r="I18" s="68" t="n">
        <v>23468</v>
      </c>
      <c r="J18" s="69" t="n">
        <v>4.5</v>
      </c>
      <c r="K18" s="69" t="inlineStr">
        <is>
          <t>https://amazon.com/dp/B073XKQQQW</t>
        </is>
      </c>
      <c r="L18" s="114">
        <f>HYPERLINK(Table56[[#This Row],[Column1]])</f>
        <v/>
      </c>
    </row>
    <row r="19" ht="30" customHeight="1" s="314">
      <c r="A19" s="35" t="inlineStr">
        <is>
          <t>Veepeak OBDCheck BLE+ Bluetooth OBD II Scanner for iOS &amp; Android, Car Check Engine Code Reader Wireless OBD Diagnostic Scan Tool</t>
        </is>
      </c>
      <c r="B19" s="35" t="inlineStr">
        <is>
          <t>B076XVQMVS</t>
        </is>
      </c>
      <c r="C19" s="35" t="inlineStr">
        <is>
          <t>Dongle</t>
        </is>
      </c>
      <c r="D19" s="359" t="n">
        <v>41.43043495145631</v>
      </c>
      <c r="E19" s="66" t="n">
        <v>806092.9799999999</v>
      </c>
      <c r="F19" s="66" t="n">
        <v>106683.37</v>
      </c>
      <c r="G19" s="68" t="n">
        <v>19331</v>
      </c>
      <c r="H19" s="70" t="n">
        <v>2575</v>
      </c>
      <c r="I19" s="68" t="n">
        <v>10842</v>
      </c>
      <c r="J19" s="69" t="n">
        <v>4.6</v>
      </c>
      <c r="K19" s="69" t="inlineStr">
        <is>
          <t>https://amazon.com/dp/B076XVQMVS</t>
        </is>
      </c>
      <c r="L19" s="114">
        <f>HYPERLINK(Table56[[#This Row],[Column1]])</f>
        <v/>
      </c>
    </row>
    <row r="20" ht="30" customHeight="1" s="314">
      <c r="A20" s="35" t="inlineStr">
        <is>
          <t>Veepeak Mini Bluetooth OBD2 Scanner for Android ONLY (NOT for iOS) – Car Wireless Check Engine Light Code Reader &amp; Diagnostic Tool</t>
        </is>
      </c>
      <c r="B20" s="35" t="inlineStr">
        <is>
          <t>B011NSX27A</t>
        </is>
      </c>
      <c r="C20" s="35" t="inlineStr">
        <is>
          <t>Dongle</t>
        </is>
      </c>
      <c r="D20" s="359" t="n">
        <v>14.47829914529914</v>
      </c>
      <c r="E20" s="66" t="n">
        <v>237383.92</v>
      </c>
      <c r="F20" s="66" t="n">
        <v>16939.61</v>
      </c>
      <c r="G20" s="68" t="n">
        <v>15902</v>
      </c>
      <c r="H20" s="70" t="n">
        <v>1170</v>
      </c>
      <c r="I20" s="68" t="n">
        <v>18622</v>
      </c>
      <c r="J20" s="69" t="n">
        <v>4.4</v>
      </c>
      <c r="K20" s="69" t="inlineStr">
        <is>
          <t>https://amazon.com/dp/B011NSX27A</t>
        </is>
      </c>
      <c r="L20" s="114">
        <f>HYPERLINK(Table56[[#This Row],[Column1]])</f>
        <v/>
      </c>
    </row>
    <row r="21" ht="45" customHeight="1" s="314">
      <c r="A21" s="35" t="inlineStr">
        <is>
          <t>Veepeak Car OBD2 Scanner Diagnostic Tool, Auto Check Engine Light Code Reader Reset Tool for 1996+ OBD-II Compliant Vehicles, Carrying Case Included</t>
        </is>
      </c>
      <c r="B21" s="35" t="inlineStr">
        <is>
          <t>B0DYDS78Q2</t>
        </is>
      </c>
      <c r="C21" s="35" t="inlineStr">
        <is>
          <t>Handheld</t>
        </is>
      </c>
      <c r="D21" s="359" t="n">
        <v>25.70851851851852</v>
      </c>
      <c r="E21" s="66" t="n">
        <v>15649.57</v>
      </c>
      <c r="F21" s="66" t="n">
        <v>694.13</v>
      </c>
      <c r="G21" s="68" t="n">
        <v>534</v>
      </c>
      <c r="H21" s="70" t="n">
        <v>27</v>
      </c>
      <c r="I21" s="68" t="n">
        <v>141</v>
      </c>
      <c r="J21" s="69" t="n">
        <v>4.4</v>
      </c>
      <c r="K21" s="69" t="inlineStr">
        <is>
          <t>https://amazon.com/dp/B0DYDS78Q2</t>
        </is>
      </c>
      <c r="L21" s="114">
        <f>HYPERLINK(Table56[[#This Row],[Column1]])</f>
        <v/>
      </c>
    </row>
    <row r="22" ht="17" customHeight="1" s="314">
      <c r="A22" s="41" t="inlineStr">
        <is>
          <t>Total</t>
        </is>
      </c>
      <c r="B22" s="41" t="n"/>
      <c r="C22" s="365" t="n"/>
      <c r="D22" s="122" t="n"/>
      <c r="E22" s="122" t="n"/>
      <c r="F22" s="122" t="n"/>
      <c r="G22" s="123">
        <f>SUM(G18:G21)</f>
        <v/>
      </c>
      <c r="H22" s="123">
        <f>SUM(H18:H21)</f>
        <v/>
      </c>
      <c r="I22" s="123" t="n"/>
      <c r="J22" s="128" t="n"/>
      <c r="K22" s="41" t="n"/>
    </row>
  </sheetData>
  <mergeCells count="3">
    <mergeCell ref="A1:L5"/>
    <mergeCell ref="A16:L16"/>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L82"/>
  <sheetViews>
    <sheetView workbookViewId="0">
      <selection activeCell="C83" sqref="C83"/>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width="28.1640625" bestFit="1" customWidth="1" style="308" min="11" max="11"/>
    <col width="35.6640625" customWidth="1" style="308" min="12" max="12"/>
    <col width="12.6640625" customWidth="1" style="308" min="13" max="16384"/>
  </cols>
  <sheetData>
    <row r="1" ht="15.75" customHeight="1" s="314">
      <c r="A1" s="323" t="inlineStr">
        <is>
          <t>Vgate Monthly Summary</t>
        </is>
      </c>
    </row>
    <row r="2" ht="15.75" customHeight="1" s="314"/>
    <row r="3" ht="15.75" customHeight="1" s="314"/>
    <row r="4" ht="15.75" customHeight="1" s="314"/>
    <row r="5" ht="15.75" customHeight="1" s="314"/>
    <row r="6">
      <c r="B6" s="60" t="n"/>
      <c r="C6" s="366" t="n"/>
      <c r="E6" s="60" t="n"/>
      <c r="F6" s="62" t="n"/>
      <c r="G6" s="62" t="n"/>
      <c r="H6" s="62" t="n"/>
      <c r="I6" s="63" t="n"/>
      <c r="J6" s="60" t="n"/>
    </row>
    <row r="7">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30" customHeight="1" s="314">
      <c r="A9" s="35" t="inlineStr">
        <is>
          <t>Vgate vLinker FS OBD2 USB Adapter for FORScan HS/MS-CAN Auto Switch</t>
        </is>
      </c>
      <c r="B9" s="35" t="inlineStr">
        <is>
          <t>B094Z7PBLS</t>
        </is>
      </c>
      <c r="C9" s="35" t="inlineStr">
        <is>
          <t>Cable/Adapter</t>
        </is>
      </c>
      <c r="D9" s="359" t="n">
        <v>34.99058479532164</v>
      </c>
      <c r="E9" s="66" t="n">
        <v>634867.14</v>
      </c>
      <c r="F9" s="67" t="n">
        <v>59833.9</v>
      </c>
      <c r="G9" s="68" t="n">
        <v>18321</v>
      </c>
      <c r="H9" s="68" t="n">
        <v>1710</v>
      </c>
      <c r="I9" s="68" t="n">
        <v>2686</v>
      </c>
      <c r="J9" s="69" t="n">
        <v>4.7</v>
      </c>
      <c r="K9" s="69" t="inlineStr">
        <is>
          <t>https://amazon.com/dp/B094Z7PBLS</t>
        </is>
      </c>
      <c r="L9" s="114">
        <f>HYPERLINK(Table5282[[#This Row],[Column1]])</f>
        <v/>
      </c>
    </row>
    <row r="10" ht="30" customHeight="1" s="314">
      <c r="A10" s="35" t="inlineStr">
        <is>
          <t>Vgate iCar Pro Bluetooth 4.0 (BLE) OBD2 Fault Code Reader OBDII Code Scanner Car Check Engine Light for iOS/Android</t>
        </is>
      </c>
      <c r="B10" s="35" t="inlineStr">
        <is>
          <t>B06XGB4873</t>
        </is>
      </c>
      <c r="C10" s="35" t="inlineStr">
        <is>
          <t>Dongle</t>
        </is>
      </c>
      <c r="D10" s="359" t="n">
        <v>31.98785039941902</v>
      </c>
      <c r="E10" s="66" t="n">
        <v>545436.7684615385</v>
      </c>
      <c r="F10" s="67" t="n">
        <v>44047.27</v>
      </c>
      <c r="G10" s="68" t="n">
        <v>15867</v>
      </c>
      <c r="H10" s="68" t="n">
        <v>1377</v>
      </c>
      <c r="I10" s="68" t="n">
        <v>7098</v>
      </c>
      <c r="J10" s="69" t="n">
        <v>4.6</v>
      </c>
      <c r="K10" s="69" t="inlineStr">
        <is>
          <t>https://amazon.com/dp/B06XGB4873</t>
        </is>
      </c>
      <c r="L10" s="114">
        <f>HYPERLINK(Table5282[[#This Row],[Column1]])</f>
        <v/>
      </c>
    </row>
    <row r="11" ht="30" customHeight="1" s="314">
      <c r="A11" s="35" t="inlineStr">
        <is>
          <t>Vgate vLinker MC+ Bluetooth OBD2 Car Diagnostic Scan Tool for iOS, Android, Windows</t>
        </is>
      </c>
      <c r="B11" s="35" t="inlineStr">
        <is>
          <t>B088LW211V</t>
        </is>
      </c>
      <c r="C11" s="35" t="inlineStr">
        <is>
          <t>Dongle</t>
        </is>
      </c>
      <c r="D11" s="359" t="n">
        <v>59.90506787330317</v>
      </c>
      <c r="E11" s="66" t="n">
        <v>364830.95</v>
      </c>
      <c r="F11" s="67" t="n">
        <v>39717.06</v>
      </c>
      <c r="G11" s="68" t="n">
        <v>6184</v>
      </c>
      <c r="H11" s="68" t="n">
        <v>663</v>
      </c>
      <c r="I11" s="68" t="n">
        <v>1371</v>
      </c>
      <c r="J11" s="69" t="n">
        <v>4.4</v>
      </c>
      <c r="K11" s="69" t="inlineStr">
        <is>
          <t>https://amazon.com/dp/B088LW211V</t>
        </is>
      </c>
      <c r="L11" s="114">
        <f>HYPERLINK(Table5282[[#This Row],[Column1]])</f>
        <v/>
      </c>
    </row>
    <row r="12" ht="30" customHeight="1" s="314">
      <c r="A12" s="35" t="inlineStr">
        <is>
          <t>Vgate vLinker FS Bluetooth OBD2 Diagnostic Scan Tool, OBDII Car Code Reader for iOS, Android &amp; Windows</t>
        </is>
      </c>
      <c r="B12" s="35" t="inlineStr">
        <is>
          <t>B0BZTXV6MZ</t>
        </is>
      </c>
      <c r="C12" s="35" t="inlineStr">
        <is>
          <t>Dongle</t>
        </is>
      </c>
      <c r="D12" s="359" t="n">
        <v>60.05211904761904</v>
      </c>
      <c r="E12" s="66" t="n">
        <v>252620.51</v>
      </c>
      <c r="F12" s="67" t="n">
        <v>25221.89</v>
      </c>
      <c r="G12" s="68" t="n">
        <v>4267</v>
      </c>
      <c r="H12" s="68" t="n">
        <v>420</v>
      </c>
      <c r="I12" s="68" t="n">
        <v>307</v>
      </c>
      <c r="J12" s="69" t="n">
        <v>4.5</v>
      </c>
      <c r="K12" s="69" t="inlineStr">
        <is>
          <t>https://amazon.com/dp/B0BZTXV6MZ</t>
        </is>
      </c>
      <c r="L12" s="114">
        <f>HYPERLINK(Table5282[[#This Row],[Column1]])</f>
        <v/>
      </c>
    </row>
    <row r="13" ht="30" customHeight="1" s="314">
      <c r="A13" s="35" t="inlineStr">
        <is>
          <t>Vgate vLinker FS USB OBD2 to USB Car Diagnostic Tool Code Reader for FORScan OBD2 Adapter</t>
        </is>
      </c>
      <c r="B13" s="35" t="inlineStr">
        <is>
          <t>B0C3B11S7F</t>
        </is>
      </c>
      <c r="C13" s="35" t="inlineStr">
        <is>
          <t>Cable/Adapter</t>
        </is>
      </c>
      <c r="D13" s="359" t="n">
        <v>35.01642857142857</v>
      </c>
      <c r="E13" s="66" t="n">
        <v>119803.38</v>
      </c>
      <c r="F13" s="67" t="n">
        <v>20099.43</v>
      </c>
      <c r="G13" s="68" t="n">
        <v>3668</v>
      </c>
      <c r="H13" s="68" t="n">
        <v>574</v>
      </c>
      <c r="I13" s="68" t="n">
        <v>242</v>
      </c>
      <c r="J13" s="69" t="n">
        <v>4.5</v>
      </c>
      <c r="K13" s="69" t="inlineStr">
        <is>
          <t>https://amazon.com/dp/B0C3B11S7F</t>
        </is>
      </c>
      <c r="L13" s="114">
        <f>HYPERLINK(Table5282[[#This Row],[Column1]])</f>
        <v/>
      </c>
    </row>
    <row r="14" ht="45" customHeight="1" s="314">
      <c r="A14" s="35" t="inlineStr">
        <is>
          <t>Vgate vLinker MC+ (BT3.0/BLE4.0) OBD2 Scanner Code Reader Diagnostic Scan Tool for Android &amp; iOS &amp; Windows, Black</t>
        </is>
      </c>
      <c r="B14" s="35" t="inlineStr">
        <is>
          <t>B0C2GT4KR3</t>
        </is>
      </c>
      <c r="C14" s="35" t="inlineStr">
        <is>
          <t>Dongle</t>
        </is>
      </c>
      <c r="D14" s="359" t="n">
        <v>57.92440251572327</v>
      </c>
      <c r="E14" s="66" t="n">
        <v>194034.65</v>
      </c>
      <c r="F14" s="67" t="n">
        <v>18419.96</v>
      </c>
      <c r="G14" s="68" t="n">
        <v>2868</v>
      </c>
      <c r="H14" s="68" t="n">
        <v>318</v>
      </c>
      <c r="I14" s="68" t="n">
        <v>189</v>
      </c>
      <c r="J14" s="69" t="n">
        <v>4.5</v>
      </c>
      <c r="K14" s="69" t="inlineStr">
        <is>
          <t>https://amazon.com/dp/B0C2GT4KR3</t>
        </is>
      </c>
      <c r="L14" s="114">
        <f>HYPERLINK(Table5282[[#This Row],[Column1]])</f>
        <v/>
      </c>
    </row>
    <row r="15" ht="30" customHeight="1" s="314">
      <c r="A15" s="35" t="inlineStr">
        <is>
          <t>Vgate vLinker FS OBD2 USB Adapter for FORS-can HS/MS-CAN Auto Switch</t>
        </is>
      </c>
      <c r="B15" s="35" t="inlineStr">
        <is>
          <t>B0952P4MLP</t>
        </is>
      </c>
      <c r="C15" s="35" t="inlineStr">
        <is>
          <t>Cable/Adapter</t>
        </is>
      </c>
      <c r="D15" s="359" t="n">
        <v>34.98154302670623</v>
      </c>
      <c r="E15" s="66" t="n">
        <v>82784.68076923076</v>
      </c>
      <c r="F15" s="67" t="n">
        <v>11788.78</v>
      </c>
      <c r="G15" s="68" t="n">
        <v>2188</v>
      </c>
      <c r="H15" s="68" t="n">
        <v>337</v>
      </c>
      <c r="I15" s="68" t="n">
        <v>1445</v>
      </c>
      <c r="J15" s="69" t="n">
        <v>4.8</v>
      </c>
      <c r="K15" s="69" t="inlineStr">
        <is>
          <t>https://amazon.com/dp/B0952P4MLP</t>
        </is>
      </c>
      <c r="L15" s="114">
        <f>HYPERLINK(Table5282[[#This Row],[Column1]])</f>
        <v/>
      </c>
    </row>
    <row r="16" ht="45" customHeight="1" s="314">
      <c r="A16" s="35" t="inlineStr">
        <is>
          <t>Vgate iCar Pro 2S Bluetooth 5.2 OBD2 Car Scan Tool for iPhone, Android, and Windows</t>
        </is>
      </c>
      <c r="B16" s="35" t="inlineStr">
        <is>
          <t>B0CYZRMCK9</t>
        </is>
      </c>
      <c r="C16" s="35" t="inlineStr">
        <is>
          <t>Dongle</t>
        </is>
      </c>
      <c r="D16" s="359" t="n">
        <v>33.9839755351682</v>
      </c>
      <c r="E16" s="66" t="n">
        <v>114951.96</v>
      </c>
      <c r="F16" s="67" t="n">
        <v>11112.76</v>
      </c>
      <c r="G16" s="68" t="n">
        <v>3415</v>
      </c>
      <c r="H16" s="68" t="n">
        <v>327</v>
      </c>
      <c r="I16" s="68" t="n">
        <v>314</v>
      </c>
      <c r="J16" s="69" t="n">
        <v>4.5</v>
      </c>
      <c r="K16" s="69" t="inlineStr">
        <is>
          <t>https://amazon.com/dp/B0CYZRMCK9</t>
        </is>
      </c>
      <c r="L16" s="114">
        <f>HYPERLINK(Table5282[[#This Row],[Column1]])</f>
        <v/>
      </c>
    </row>
    <row r="17" ht="30" customHeight="1" s="314">
      <c r="A17" s="35" t="inlineStr">
        <is>
          <t>Vgate vLinker BM+ OBD2 Bluetooth Scanner for BMW/Mini BimmerCode, Car Code Reader for iOS, Android, and Windows</t>
        </is>
      </c>
      <c r="B17" s="35" t="inlineStr">
        <is>
          <t>B08BR4KY1G</t>
        </is>
      </c>
      <c r="C17" s="35" t="inlineStr">
        <is>
          <t>Dongle</t>
        </is>
      </c>
      <c r="D17" s="359" t="n">
        <v>44.04008510638298</v>
      </c>
      <c r="E17" s="66" t="n">
        <v>97607.48999999999</v>
      </c>
      <c r="F17" s="67" t="n">
        <v>10349.42</v>
      </c>
      <c r="G17" s="68" t="n">
        <v>2236</v>
      </c>
      <c r="H17" s="68" t="n">
        <v>235</v>
      </c>
      <c r="I17" s="68" t="n">
        <v>262</v>
      </c>
      <c r="J17" s="69" t="n">
        <v>4.4</v>
      </c>
      <c r="K17" s="69" t="inlineStr">
        <is>
          <t>https://amazon.com/dp/B08BR4KY1G</t>
        </is>
      </c>
      <c r="L17" s="114">
        <f>HYPERLINK(Table5282[[#This Row],[Column1]])</f>
        <v/>
      </c>
    </row>
    <row r="18" ht="30" customHeight="1" s="314">
      <c r="A18" s="35" t="inlineStr">
        <is>
          <t>Vgate vLinker MS Bluetooth OBD2 Car Scan Tool for iPhone/iOS, Android &amp; Windows, Supports Multiple CAN Protocols (GMLAN, MS CAN, CH CAN, LS CAN)</t>
        </is>
      </c>
      <c r="B18" s="35" t="inlineStr">
        <is>
          <t>B0D6YQX4R8</t>
        </is>
      </c>
      <c r="C18" s="35" t="inlineStr">
        <is>
          <t>Dongle</t>
        </is>
      </c>
      <c r="D18" s="359" t="n">
        <v>70.0358904109589</v>
      </c>
      <c r="E18" s="66" t="n">
        <v>105804.28</v>
      </c>
      <c r="F18" s="67" t="n">
        <v>10225.24</v>
      </c>
      <c r="G18" s="68" t="n">
        <v>1533</v>
      </c>
      <c r="H18" s="68" t="n">
        <v>146</v>
      </c>
      <c r="I18" s="68" t="n">
        <v>166</v>
      </c>
      <c r="J18" s="69" t="n">
        <v>4.5</v>
      </c>
      <c r="K18" s="69" t="inlineStr">
        <is>
          <t>https://amazon.com/dp/B0D6YQX4R8</t>
        </is>
      </c>
      <c r="L18" s="114">
        <f>HYPERLINK(Table5282[[#This Row],[Column1]])</f>
        <v/>
      </c>
    </row>
    <row r="19" ht="30" customHeight="1" s="314">
      <c r="A19" s="35" t="inlineStr">
        <is>
          <t>Vgate iCar Pro(BT3.0/ BLE4.0) OBD2 Scanner Bluetooth Code Reader Diagnostic Scan Tool for Android &amp; iOS &amp; Windows Compatible with ELM327 Adapter</t>
        </is>
      </c>
      <c r="B19" s="35" t="inlineStr">
        <is>
          <t>B0C244484X</t>
        </is>
      </c>
      <c r="C19" s="35" t="inlineStr">
        <is>
          <t>Dongle</t>
        </is>
      </c>
      <c r="D19" s="359" t="n">
        <v>31.95444816053512</v>
      </c>
      <c r="E19" s="66" t="n">
        <v>102090.16</v>
      </c>
      <c r="F19" s="67" t="n">
        <v>9554.379999999999</v>
      </c>
      <c r="G19" s="68" t="n">
        <v>3204</v>
      </c>
      <c r="H19" s="68" t="n">
        <v>299</v>
      </c>
      <c r="I19" s="68" t="n">
        <v>379</v>
      </c>
      <c r="J19" s="69" t="n">
        <v>4.5</v>
      </c>
      <c r="K19" s="69" t="inlineStr">
        <is>
          <t>https://amazon.com/dp/B0C244484X</t>
        </is>
      </c>
      <c r="L19" s="114">
        <f>HYPERLINK(Table5282[[#This Row],[Column1]])</f>
        <v/>
      </c>
    </row>
    <row r="20" ht="45" customHeight="1" s="314">
      <c r="A20" s="35" t="inlineStr">
        <is>
          <t>Vgate vLinker BM Plus Bluetooth BLE OBD2 Scanner for BMW/Mini, Works with iPhone &amp; Android Unlock Car Hidden Features in BimmerCode, OBD II Diagnostic Tool</t>
        </is>
      </c>
      <c r="B20" s="35" t="inlineStr">
        <is>
          <t>B08H4PKT9P</t>
        </is>
      </c>
      <c r="C20" s="35" t="inlineStr">
        <is>
          <t>Dongle</t>
        </is>
      </c>
      <c r="D20" s="359" t="n">
        <v>46.9615</v>
      </c>
      <c r="E20" s="66" t="n">
        <v>86747.90000000001</v>
      </c>
      <c r="F20" s="67" t="n">
        <v>7513.84</v>
      </c>
      <c r="G20" s="68" t="n">
        <v>1874</v>
      </c>
      <c r="H20" s="68" t="n">
        <v>160</v>
      </c>
      <c r="I20" s="68" t="n">
        <v>512</v>
      </c>
      <c r="J20" s="69" t="n">
        <v>4.4</v>
      </c>
      <c r="K20" s="69" t="inlineStr">
        <is>
          <t>https://amazon.com/dp/B08H4PKT9P</t>
        </is>
      </c>
      <c r="L20" s="114">
        <f>HYPERLINK(Table5282[[#This Row],[Column1]])</f>
        <v/>
      </c>
    </row>
    <row r="21" ht="30" customHeight="1" s="314">
      <c r="A21" s="35" t="inlineStr">
        <is>
          <t>Vgate vLinker FD+ OBD2 Bluetooth Adapter – Diagnostic Code Reader for iOS, Android &amp; Windows (Supports MS-CAN, ELM327)</t>
        </is>
      </c>
      <c r="B21" s="35" t="inlineStr">
        <is>
          <t>B08FSNVZVK</t>
        </is>
      </c>
      <c r="C21" s="35" t="inlineStr">
        <is>
          <t>Dongle</t>
        </is>
      </c>
      <c r="D21" s="359" t="n">
        <v>45.14271604938271</v>
      </c>
      <c r="E21" s="66" t="n">
        <v>76837.313194</v>
      </c>
      <c r="F21" s="67" t="n">
        <v>3656.56</v>
      </c>
      <c r="G21" s="68" t="n">
        <v>1739</v>
      </c>
      <c r="H21" s="68" t="n">
        <v>81</v>
      </c>
      <c r="I21" s="68" t="n">
        <v>630</v>
      </c>
      <c r="J21" s="69" t="n">
        <v>4.6</v>
      </c>
      <c r="K21" s="69" t="inlineStr">
        <is>
          <t>https://amazon.com/dp/B08FSNVZVK</t>
        </is>
      </c>
      <c r="L21" s="114">
        <f>HYPERLINK(Table5282[[#This Row],[Column1]])</f>
        <v/>
      </c>
    </row>
    <row r="22" ht="30" customHeight="1" s="314">
      <c r="A22" s="35" t="inlineStr">
        <is>
          <t>Vgate vLinker FS Bluetooth FORS-can 0BD2 Adapter for-d Fixd Car Diagnostic Tool OBD2 Scanner Bluetooth MS-CAN Work for iOS, Android &amp; Windows, Black</t>
        </is>
      </c>
      <c r="B22" s="35" t="inlineStr">
        <is>
          <t>B0CP4NZCZM</t>
        </is>
      </c>
      <c r="C22" s="35" t="inlineStr">
        <is>
          <t>Dongle</t>
        </is>
      </c>
      <c r="D22" s="359" t="n">
        <v>58.65551020408163</v>
      </c>
      <c r="E22" s="66" t="n">
        <v>43875.75999999999</v>
      </c>
      <c r="F22" s="67" t="n">
        <v>2874.12</v>
      </c>
      <c r="G22" s="68" t="n">
        <v>756</v>
      </c>
      <c r="H22" s="68" t="n">
        <v>49</v>
      </c>
      <c r="I22" s="68" t="n">
        <v>85</v>
      </c>
      <c r="J22" s="69" t="n">
        <v>4.7</v>
      </c>
      <c r="K22" s="69" t="inlineStr">
        <is>
          <t>https://amazon.com/dp/B0CP4NZCZM</t>
        </is>
      </c>
      <c r="L22" s="114">
        <f>HYPERLINK(Table5282[[#This Row],[Column1]])</f>
        <v/>
      </c>
    </row>
    <row r="23" ht="45" customHeight="1" s="314">
      <c r="A23" s="35" t="inlineStr">
        <is>
          <t>Vgate iCar Pro Wi-Fi OBD2 Scanner Scan Tools OBDII Car Diagnostic Tool Code Reader Fault Check Engine Light for iOS/Android</t>
        </is>
      </c>
      <c r="B23" s="35" t="inlineStr">
        <is>
          <t>B06XGB4QL7</t>
        </is>
      </c>
      <c r="C23" s="35" t="inlineStr">
        <is>
          <t>Dongle</t>
        </is>
      </c>
      <c r="D23" s="359" t="n">
        <v>29.8225</v>
      </c>
      <c r="E23" s="66" t="n">
        <v>40556.194946</v>
      </c>
      <c r="F23" s="67" t="n">
        <v>2505.09</v>
      </c>
      <c r="G23" s="68" t="n">
        <v>1383</v>
      </c>
      <c r="H23" s="68" t="n">
        <v>84</v>
      </c>
      <c r="I23" s="68" t="n">
        <v>669</v>
      </c>
      <c r="J23" s="69" t="n">
        <v>4.3</v>
      </c>
      <c r="K23" s="69" t="inlineStr">
        <is>
          <t>https://amazon.com/dp/B06XGB4QL7</t>
        </is>
      </c>
      <c r="L23" s="114">
        <f>HYPERLINK(Table5282[[#This Row],[Column1]])</f>
        <v/>
      </c>
    </row>
    <row r="24" ht="30" customHeight="1" s="314">
      <c r="A24" s="35" t="inlineStr">
        <is>
          <t>Vgate 16 pin OBD2 OBDII Diagnostic Extender Splitter Extension Cable Male to Dual Female Y Cable 12 inches</t>
        </is>
      </c>
      <c r="B24" s="35" t="inlineStr">
        <is>
          <t>B015649DHA</t>
        </is>
      </c>
      <c r="C24" s="35" t="inlineStr">
        <is>
          <t>Cable/Adapter</t>
        </is>
      </c>
      <c r="D24" s="359" t="n">
        <v>11.95202380952381</v>
      </c>
      <c r="E24" s="66" t="n">
        <v>22548.57</v>
      </c>
      <c r="F24" s="67" t="n">
        <v>2007.94</v>
      </c>
      <c r="G24" s="68" t="n">
        <v>1890</v>
      </c>
      <c r="H24" s="68" t="n">
        <v>168</v>
      </c>
      <c r="I24" s="68" t="n">
        <v>972</v>
      </c>
      <c r="J24" s="69" t="n">
        <v>4.5</v>
      </c>
      <c r="K24" s="69" t="inlineStr">
        <is>
          <t>https://amazon.com/dp/B015649DHA</t>
        </is>
      </c>
      <c r="L24" s="114">
        <f>HYPERLINK(Table5282[[#This Row],[Column1]])</f>
        <v/>
      </c>
    </row>
    <row r="25" ht="30" customHeight="1" s="314">
      <c r="A25" s="35" t="inlineStr">
        <is>
          <t>vgate vLinker FD Plus OBD2 Adapter Bluetooth BLE Scanner for FORScan, Work with iPhone, Android, and Windows</t>
        </is>
      </c>
      <c r="B25" s="35" t="inlineStr">
        <is>
          <t>B08LDBYTFP</t>
        </is>
      </c>
      <c r="C25" s="35" t="inlineStr">
        <is>
          <t>Dongle</t>
        </is>
      </c>
      <c r="D25" s="359" t="n">
        <v>49.01458333333333</v>
      </c>
      <c r="E25" s="66" t="n">
        <v>25577.57307692308</v>
      </c>
      <c r="F25" s="67" t="n">
        <v>1176.35</v>
      </c>
      <c r="G25" s="68" t="n">
        <v>479</v>
      </c>
      <c r="H25" s="68" t="n">
        <v>24</v>
      </c>
      <c r="I25" s="68" t="n">
        <v>157</v>
      </c>
      <c r="J25" s="69" t="n">
        <v>4.2</v>
      </c>
      <c r="K25" s="69" t="inlineStr">
        <is>
          <t>https://amazon.com/dp/B08LDBYTFP</t>
        </is>
      </c>
      <c r="L25" s="114">
        <f>HYPERLINK(Table5282[[#This Row],[Column1]])</f>
        <v/>
      </c>
    </row>
    <row r="26" ht="30" customHeight="1" s="314">
      <c r="A26" s="35" t="inlineStr">
        <is>
          <t>Vgate vLinker BM OBD2 Bluetooth Code Reader, OBDII Scan Tool for Android &amp; Windows - Made for BimmerCode</t>
        </is>
      </c>
      <c r="B26" s="35" t="inlineStr">
        <is>
          <t>B08BRF2SMM</t>
        </is>
      </c>
      <c r="C26" s="35" t="inlineStr">
        <is>
          <t>Dongle</t>
        </is>
      </c>
      <c r="D26" s="359" t="n">
        <v>38.43642857142857</v>
      </c>
      <c r="E26" s="66" t="n">
        <v>13233.31</v>
      </c>
      <c r="F26" s="67" t="n">
        <v>1076.22</v>
      </c>
      <c r="G26" s="68" t="n">
        <v>352</v>
      </c>
      <c r="H26" s="68" t="n">
        <v>28</v>
      </c>
      <c r="I26" s="68" t="n">
        <v>36</v>
      </c>
      <c r="J26" s="69" t="n">
        <v>4</v>
      </c>
      <c r="K26" s="69" t="inlineStr">
        <is>
          <t>https://amazon.com/dp/B08BRF2SMM</t>
        </is>
      </c>
      <c r="L26" s="114">
        <f>HYPERLINK(Table5282[[#This Row],[Column1]])</f>
        <v/>
      </c>
    </row>
    <row r="27" ht="30" customHeight="1" s="314">
      <c r="A27" s="35" t="inlineStr">
        <is>
          <t>Vgate vLinker MC Bluetooth OBD2 Diagnostic Scanner for Android &amp; Windows</t>
        </is>
      </c>
      <c r="B27" s="35" t="inlineStr">
        <is>
          <t>B08694LQR1</t>
        </is>
      </c>
      <c r="C27" s="35" t="inlineStr">
        <is>
          <t>Dongle</t>
        </is>
      </c>
      <c r="D27" s="359" t="n">
        <v>45.97421052631579</v>
      </c>
      <c r="E27" s="66" t="n">
        <v>15380.77384615385</v>
      </c>
      <c r="F27" s="67" t="n">
        <v>873.51</v>
      </c>
      <c r="G27" s="68" t="n">
        <v>313</v>
      </c>
      <c r="H27" s="68" t="n">
        <v>19</v>
      </c>
      <c r="I27" s="68" t="n">
        <v>1371</v>
      </c>
      <c r="J27" s="69" t="n">
        <v>4.4</v>
      </c>
      <c r="K27" s="69" t="inlineStr">
        <is>
          <t>https://amazon.com/dp/B08694LQR1</t>
        </is>
      </c>
      <c r="L27" s="114">
        <f>HYPERLINK(Table5282[[#This Row],[Column1]])</f>
        <v/>
      </c>
    </row>
    <row r="28" ht="30" customHeight="1" s="314">
      <c r="A28" s="35" t="inlineStr">
        <is>
          <t>Vgate vLinker FD OBD2 Bluetooth Car Code Reader, OBD2 Diagnostic Scanner for Android &amp; Windows</t>
        </is>
      </c>
      <c r="B28" s="35" t="inlineStr">
        <is>
          <t>B08FSXYXLG</t>
        </is>
      </c>
      <c r="C28" s="35" t="inlineStr">
        <is>
          <t>Dongle</t>
        </is>
      </c>
      <c r="D28" s="359" t="n">
        <v>34.59470588235294</v>
      </c>
      <c r="E28" s="66" t="n">
        <v>15307.08</v>
      </c>
      <c r="F28" s="67" t="n">
        <v>588.11</v>
      </c>
      <c r="G28" s="68" t="n">
        <v>442</v>
      </c>
      <c r="H28" s="68" t="n">
        <v>17</v>
      </c>
      <c r="I28" s="68" t="n">
        <v>630</v>
      </c>
      <c r="J28" s="69" t="n">
        <v>4.5</v>
      </c>
      <c r="K28" s="69" t="inlineStr">
        <is>
          <t>https://amazon.com/dp/B08FSXYXLG</t>
        </is>
      </c>
      <c r="L28" s="114">
        <f>HYPERLINK(Table5282[[#This Row],[Column1]])</f>
        <v/>
      </c>
    </row>
    <row r="29" ht="30" customHeight="1" s="314">
      <c r="A29" s="35" t="inlineStr">
        <is>
          <t>Vgate iCar2 OBD2 Scanner Scan Tools Interface Wi-Fi Adapter Check Engine Light Car Diagnostic Tool for iOS &amp; Android Auto Sleep (Blue)</t>
        </is>
      </c>
      <c r="B29" s="35" t="inlineStr">
        <is>
          <t>B07ZYTZ7LJ</t>
        </is>
      </c>
      <c r="C29" s="35" t="inlineStr">
        <is>
          <t>Dongle</t>
        </is>
      </c>
      <c r="D29" s="359" t="n">
        <v>23.81833333333333</v>
      </c>
      <c r="E29" s="66" t="n">
        <v>7924.12</v>
      </c>
      <c r="F29" s="67" t="n">
        <v>571.64</v>
      </c>
      <c r="G29" s="68" t="n">
        <v>337</v>
      </c>
      <c r="H29" s="68" t="n">
        <v>24</v>
      </c>
      <c r="I29" s="68" t="n">
        <v>118</v>
      </c>
      <c r="J29" s="69" t="n">
        <v>4.4</v>
      </c>
      <c r="K29" s="69" t="inlineStr">
        <is>
          <t>https://amazon.com/dp/B07ZYTZ7LJ</t>
        </is>
      </c>
      <c r="L29" s="114">
        <f>HYPERLINK(Table5282[[#This Row],[Column1]])</f>
        <v/>
      </c>
    </row>
    <row r="30" ht="30" customHeight="1" s="314">
      <c r="A30" s="35" t="inlineStr">
        <is>
          <t>Vgate vLinker FD+ (BT3.0/ BLE4.0) OBD2 Scanner for FORScan Fixed Diagnostic Tool Car Code Reader for Android &amp; iOS &amp; Windows</t>
        </is>
      </c>
      <c r="B30" s="35" t="inlineStr">
        <is>
          <t>B0C39TL9R6</t>
        </is>
      </c>
      <c r="C30" s="35" t="inlineStr">
        <is>
          <t>Dongle</t>
        </is>
      </c>
      <c r="D30" s="359" t="n">
        <v>42.67230769230769</v>
      </c>
      <c r="E30" s="66" t="n">
        <v>10699.0225</v>
      </c>
      <c r="F30" s="67" t="n">
        <v>554.74</v>
      </c>
      <c r="G30" s="68" t="n">
        <v>250</v>
      </c>
      <c r="H30" s="68" t="n">
        <v>13</v>
      </c>
      <c r="I30" s="68" t="n">
        <v>37</v>
      </c>
      <c r="J30" s="69" t="n">
        <v>4.3</v>
      </c>
      <c r="K30" s="69" t="inlineStr">
        <is>
          <t>https://amazon.com/dp/B0C39TL9R6</t>
        </is>
      </c>
      <c r="L30" s="114">
        <f>HYPERLINK(Table5282[[#This Row],[Column1]])</f>
        <v/>
      </c>
    </row>
    <row r="31" ht="30" customHeight="1" s="314">
      <c r="A31" s="35" t="inlineStr">
        <is>
          <t>Vgate vLinker MS Bluetooth OBD2 Scanner Fixd Car Diagnostic Tool Code Reader CH-CAN and LS-CAN Work for iOS &amp; Android &amp; Windows, Black</t>
        </is>
      </c>
      <c r="B31" s="35" t="inlineStr">
        <is>
          <t>B0DB89CSF5</t>
        </is>
      </c>
      <c r="C31" s="35" t="inlineStr">
        <is>
          <t>Dongle</t>
        </is>
      </c>
      <c r="D31" s="359" t="n">
        <v>65.43428571428572</v>
      </c>
      <c r="E31" s="66" t="n">
        <v>9784.889999999999</v>
      </c>
      <c r="F31" s="67" t="n">
        <v>458.04</v>
      </c>
      <c r="G31" s="68" t="n">
        <v>149</v>
      </c>
      <c r="H31" s="68" t="n">
        <v>7</v>
      </c>
      <c r="I31" s="68" t="n">
        <v>58</v>
      </c>
      <c r="J31" s="69" t="n">
        <v>4.8</v>
      </c>
      <c r="K31" s="69" t="inlineStr">
        <is>
          <t>https://amazon.com/dp/B0DB89CSF5</t>
        </is>
      </c>
      <c r="L31" s="114">
        <f>HYPERLINK(Table5282[[#This Row],[Column1]])</f>
        <v/>
      </c>
    </row>
    <row r="32" ht="30" customHeight="1" s="314">
      <c r="A32" s="35" t="inlineStr">
        <is>
          <t>Vgate iCar2 Wi-Fi Adapter OBD2 Scanner Scan Tools Check Engine Light Car Diagnostic Tool for iOS &amp; Android, Auto Sleep (Black)</t>
        </is>
      </c>
      <c r="B32" s="35" t="inlineStr">
        <is>
          <t>B0B6BBPH3J</t>
        </is>
      </c>
      <c r="C32" s="35" t="inlineStr">
        <is>
          <t>Dongle</t>
        </is>
      </c>
      <c r="D32" s="359" t="n">
        <v>24.29666666666667</v>
      </c>
      <c r="E32" s="66" t="n">
        <v>4082.15</v>
      </c>
      <c r="F32" s="67" t="n">
        <v>437.34</v>
      </c>
      <c r="G32" s="68" t="n">
        <v>170</v>
      </c>
      <c r="H32" s="68" t="n">
        <v>18</v>
      </c>
      <c r="I32" s="68" t="n">
        <v>118</v>
      </c>
      <c r="J32" s="69" t="n">
        <v>4.4</v>
      </c>
      <c r="K32" s="69" t="inlineStr">
        <is>
          <t>https://amazon.com/dp/B0B6BBPH3J</t>
        </is>
      </c>
      <c r="L32" s="114">
        <f>HYPERLINK(Table5282[[#This Row],[Column1]])</f>
        <v/>
      </c>
    </row>
    <row r="33" ht="30" customHeight="1" s="314">
      <c r="A33" s="35" t="inlineStr">
        <is>
          <t>Vgate OBD2 Bluetooth Scanner vLinker BM Bimmercode Diagnostic Tool for BMW/Mini, Work with Android and Windows only</t>
        </is>
      </c>
      <c r="B33" s="35" t="inlineStr">
        <is>
          <t>B08LDBSWWL</t>
        </is>
      </c>
      <c r="C33" s="35" t="inlineStr">
        <is>
          <t>Dongle</t>
        </is>
      </c>
      <c r="D33" s="359" t="n">
        <v>37.92818181818182</v>
      </c>
      <c r="E33" s="66" t="n">
        <v>7242.949999999999</v>
      </c>
      <c r="F33" s="67" t="n">
        <v>417.21</v>
      </c>
      <c r="G33" s="68" t="n">
        <v>184</v>
      </c>
      <c r="H33" s="68" t="n">
        <v>11</v>
      </c>
      <c r="I33" s="68" t="n">
        <v>88</v>
      </c>
      <c r="J33" s="69" t="n">
        <v>4.3</v>
      </c>
      <c r="K33" s="69" t="inlineStr">
        <is>
          <t>https://amazon.com/dp/B08LDBSWWL</t>
        </is>
      </c>
      <c r="L33" s="114">
        <f>HYPERLINK(Table5282[[#This Row],[Column1]])</f>
        <v/>
      </c>
    </row>
    <row r="34" ht="30" customHeight="1" s="314">
      <c r="A34" s="35" t="inlineStr">
        <is>
          <t>Vgate vLinker MC Bluetooth 3.0 OBD2 Scanner Code Reader Diagnostic Scan Tool for Android &amp; Windows, Black</t>
        </is>
      </c>
      <c r="B34" s="35" t="inlineStr">
        <is>
          <t>B0C2GLCDQQ</t>
        </is>
      </c>
      <c r="C34" s="35" t="inlineStr">
        <is>
          <t>Dongle</t>
        </is>
      </c>
      <c r="D34" s="359" t="n">
        <v>46.30111111111111</v>
      </c>
      <c r="E34" s="66" t="n">
        <v>4302.000000000001</v>
      </c>
      <c r="F34" s="67" t="n">
        <v>416.71</v>
      </c>
      <c r="G34" s="68" t="n">
        <v>97</v>
      </c>
      <c r="H34" s="68" t="n">
        <v>9</v>
      </c>
      <c r="I34" s="68" t="n">
        <v>189</v>
      </c>
      <c r="J34" s="69" t="n">
        <v>4.5</v>
      </c>
      <c r="K34" s="69" t="inlineStr">
        <is>
          <t>https://amazon.com/dp/B0C2GLCDQQ</t>
        </is>
      </c>
      <c r="L34" s="114">
        <f>HYPERLINK(Table5282[[#This Row],[Column1]])</f>
        <v/>
      </c>
    </row>
    <row r="35" ht="30" customHeight="1" s="314">
      <c r="A35" s="35" t="inlineStr">
        <is>
          <t>Vgate iCar Pro Bluetooth 3.0 OBD2 Scanner | Android Only – Not for iOS – Check Engine Light</t>
        </is>
      </c>
      <c r="B35" s="35" t="inlineStr">
        <is>
          <t>B06XGBKG8X</t>
        </is>
      </c>
      <c r="C35" s="35" t="inlineStr">
        <is>
          <t>Dongle</t>
        </is>
      </c>
      <c r="D35" s="359" t="n">
        <v>26.40307692307692</v>
      </c>
      <c r="E35" s="66" t="n">
        <v>13845.18</v>
      </c>
      <c r="F35" s="67" t="n">
        <v>343.24</v>
      </c>
      <c r="G35" s="68" t="n">
        <v>537</v>
      </c>
      <c r="H35" s="68" t="n">
        <v>13</v>
      </c>
      <c r="I35" s="68" t="n">
        <v>859</v>
      </c>
      <c r="J35" s="69" t="n">
        <v>4.2</v>
      </c>
      <c r="K35" s="69" t="inlineStr">
        <is>
          <t>https://amazon.com/dp/B06XGBKG8X</t>
        </is>
      </c>
      <c r="L35" s="114">
        <f>HYPERLINK(Table5282[[#This Row],[Column1]])</f>
        <v/>
      </c>
    </row>
    <row r="36" ht="30" customHeight="1" s="314">
      <c r="A36" s="35" t="inlineStr">
        <is>
          <t>Vgate iCar Pro BT3.0 OBD2 Scanner Bluetooth Code Reader Diagnostic Scan Tool for Android &amp; Windows Compatible with ELM327 Adapter</t>
        </is>
      </c>
      <c r="B36" s="35" t="inlineStr">
        <is>
          <t>B0C244W4H5</t>
        </is>
      </c>
      <c r="C36" s="35" t="inlineStr">
        <is>
          <t>Dongle</t>
        </is>
      </c>
      <c r="D36" s="359" t="n">
        <v>24.85923076923077</v>
      </c>
      <c r="E36" s="66" t="n">
        <v>3318.020769230769</v>
      </c>
      <c r="F36" s="67" t="n">
        <v>323.17</v>
      </c>
      <c r="G36" s="68" t="n">
        <v>124</v>
      </c>
      <c r="H36" s="68" t="n">
        <v>13</v>
      </c>
      <c r="I36" s="68" t="n">
        <v>379</v>
      </c>
      <c r="J36" s="69" t="n">
        <v>4.5</v>
      </c>
      <c r="K36" s="69" t="inlineStr">
        <is>
          <t>https://amazon.com/dp/B0C244W4H5</t>
        </is>
      </c>
      <c r="L36" s="114">
        <f>HYPERLINK(Table5282[[#This Row],[Column1]])</f>
        <v/>
      </c>
    </row>
    <row r="37" ht="30" customHeight="1" s="314">
      <c r="A37" s="35" t="inlineStr">
        <is>
          <t>Vgate vLinker FD Bluetooth3.0 OBD2 Scanner for FORScan Fixed Diagnostic Tool Car Code Reader for Android &amp; Windows</t>
        </is>
      </c>
      <c r="B37" s="35" t="inlineStr">
        <is>
          <t>B0C39Y7CZM</t>
        </is>
      </c>
      <c r="C37" s="35" t="inlineStr">
        <is>
          <t>Dongle</t>
        </is>
      </c>
      <c r="D37" s="359" t="n">
        <v>31.58222222222222</v>
      </c>
      <c r="E37" s="66" t="n">
        <v>4713.200000000001</v>
      </c>
      <c r="F37" s="67" t="n">
        <v>284.24</v>
      </c>
      <c r="G37" s="68" t="n">
        <v>152</v>
      </c>
      <c r="H37" s="68" t="n">
        <v>9</v>
      </c>
      <c r="I37" s="68" t="n">
        <v>37</v>
      </c>
      <c r="J37" s="69" t="n">
        <v>4.3</v>
      </c>
      <c r="K37" s="69" t="inlineStr">
        <is>
          <t>https://amazon.com/dp/B0C39Y7CZM</t>
        </is>
      </c>
      <c r="L37" s="114">
        <f>HYPERLINK(Table5282[[#This Row],[Column1]])</f>
        <v/>
      </c>
    </row>
    <row r="38" ht="30" customHeight="1" s="314">
      <c r="A38" s="35" t="inlineStr">
        <is>
          <t>Vgate iCar Pro 2S Bluetooth OBD2 Scanner Fixd Car Diagnostic Tool Code Reader for Android &amp; iOS &amp; Windows, Black</t>
        </is>
      </c>
      <c r="B38" s="35" t="inlineStr">
        <is>
          <t>B0D81QLQ92</t>
        </is>
      </c>
      <c r="C38" s="35" t="inlineStr">
        <is>
          <t>Dongle</t>
        </is>
      </c>
      <c r="D38" s="359" t="n">
        <v>31.24555555555555</v>
      </c>
      <c r="E38" s="66" t="n">
        <v>6635</v>
      </c>
      <c r="F38" s="67" t="n">
        <v>281.21</v>
      </c>
      <c r="G38" s="68" t="n">
        <v>205</v>
      </c>
      <c r="H38" s="68" t="n">
        <v>9</v>
      </c>
      <c r="I38" s="68" t="n">
        <v>65</v>
      </c>
      <c r="J38" s="69" t="n">
        <v>4.5</v>
      </c>
      <c r="K38" s="69" t="inlineStr">
        <is>
          <t>https://amazon.com/dp/B0D81QLQ92</t>
        </is>
      </c>
      <c r="L38" s="114">
        <f>HYPERLINK(Table5282[[#This Row],[Column1]])</f>
        <v/>
      </c>
    </row>
    <row r="39" ht="30" customHeight="1" s="314">
      <c r="A39" s="35" t="inlineStr">
        <is>
          <t>Vgate iCar 3 WiFi OBD2 Scanner Scan Tools Interface Adapter Car Diagnostics Tool for iOS iPhone iPad and Android, Auto Sleep(White)</t>
        </is>
      </c>
      <c r="B39" s="35" t="inlineStr">
        <is>
          <t>B01J7IMBFC</t>
        </is>
      </c>
      <c r="C39" s="35" t="inlineStr">
        <is>
          <t>Dongle</t>
        </is>
      </c>
      <c r="D39" s="359" t="n">
        <v>25.29444444444444</v>
      </c>
      <c r="E39" s="66" t="n">
        <v>4410.139999999999</v>
      </c>
      <c r="F39" s="67" t="n">
        <v>227.65</v>
      </c>
      <c r="G39" s="68" t="n">
        <v>173</v>
      </c>
      <c r="H39" s="68" t="n">
        <v>9</v>
      </c>
      <c r="I39" s="68" t="n">
        <v>141</v>
      </c>
      <c r="J39" s="69" t="n">
        <v>4</v>
      </c>
      <c r="K39" s="69" t="inlineStr">
        <is>
          <t>https://amazon.com/dp/B01J7IMBFC</t>
        </is>
      </c>
      <c r="L39" s="114">
        <f>HYPERLINK(Table5282[[#This Row],[Column1]])</f>
        <v/>
      </c>
    </row>
    <row r="40" ht="30" customHeight="1" s="314">
      <c r="A40" s="35" t="inlineStr">
        <is>
          <t>Vgate 16 Pin OBD2 OBDII Diagnostic Extender Splitter Extension Cable Male to Dual Female Y Cable, 19 inches</t>
        </is>
      </c>
      <c r="B40" s="35" t="inlineStr">
        <is>
          <t>B07M7CS1V4</t>
        </is>
      </c>
      <c r="C40" s="35" t="inlineStr">
        <is>
          <t>Cable/Adapter</t>
        </is>
      </c>
      <c r="D40" s="359" t="n">
        <v>12.79470588235294</v>
      </c>
      <c r="E40" s="66" t="n">
        <v>2610.76</v>
      </c>
      <c r="F40" s="67" t="n">
        <v>217.51</v>
      </c>
      <c r="G40" s="68" t="n">
        <v>209</v>
      </c>
      <c r="H40" s="68" t="n">
        <v>17</v>
      </c>
      <c r="I40" s="68" t="n">
        <v>972</v>
      </c>
      <c r="J40" s="69" t="n">
        <v>4.5</v>
      </c>
      <c r="K40" s="69" t="inlineStr">
        <is>
          <t>https://amazon.com/dp/B07M7CS1V4</t>
        </is>
      </c>
      <c r="L40" s="114">
        <f>HYPERLINK(Table5282[[#This Row],[Column1]])</f>
        <v/>
      </c>
    </row>
    <row r="41" ht="17" customHeight="1" s="314">
      <c r="A41" s="35" t="inlineStr">
        <is>
          <t>Vgate vLinker BM3.0 Bluetooth OBD2 Scanner Diagnostic Tool Bimmercode, Code Reader for BMW, Supports Android &amp; Windows</t>
        </is>
      </c>
      <c r="B41" s="35" t="inlineStr">
        <is>
          <t>B0GS1J18DH</t>
        </is>
      </c>
      <c r="C41" s="35" t="inlineStr">
        <is>
          <t>Dongle</t>
        </is>
      </c>
      <c r="D41" s="359" t="n">
        <v>26.55</v>
      </c>
      <c r="E41" s="66" t="n">
        <v>320.6423076923077</v>
      </c>
      <c r="F41" s="67" t="n">
        <v>26.55</v>
      </c>
      <c r="G41" s="68" t="n">
        <v>1</v>
      </c>
      <c r="H41" s="68" t="n">
        <v>1</v>
      </c>
      <c r="I41" s="68" t="n"/>
      <c r="J41" s="69" t="n"/>
      <c r="K41" s="69" t="inlineStr">
        <is>
          <t>https://amazon.com/dp/B0GS1J18DH</t>
        </is>
      </c>
      <c r="L41" s="114">
        <f>HYPERLINK(TABLE41)</f>
        <v/>
      </c>
    </row>
    <row r="42">
      <c r="A42" s="35" t="inlineStr">
        <is>
          <t>Vgate vLinker BM+ Bluetooth LE OBD2 Scanner Diagnostic Tool Bimmercode, Code Reader for BMW, Supports iOS &amp; Android &amp; Windows</t>
        </is>
      </c>
      <c r="B42" s="35" t="inlineStr">
        <is>
          <t>B0GS4CFL5R</t>
        </is>
      </c>
      <c r="C42" s="35" t="inlineStr">
        <is>
          <t>Dongle</t>
        </is>
      </c>
      <c r="D42" s="359" t="n">
        <v>39.99</v>
      </c>
      <c r="E42" s="66" t="n">
        <v>0</v>
      </c>
      <c r="F42" s="67" t="n">
        <v>0</v>
      </c>
      <c r="G42" s="68" t="n">
        <v>0</v>
      </c>
      <c r="H42" s="68" t="n">
        <v>0</v>
      </c>
      <c r="I42" s="68" t="n"/>
      <c r="J42" s="69" t="n"/>
      <c r="K42" s="69" t="inlineStr">
        <is>
          <t>https://amazon.com/dp/B0GS4CFL5R</t>
        </is>
      </c>
      <c r="L42" s="114">
        <f>HYPERLINK(TABLE42)</f>
        <v/>
      </c>
    </row>
    <row r="43">
      <c r="A43" s="41" t="inlineStr">
        <is>
          <t>Total</t>
        </is>
      </c>
      <c r="B43" s="41" t="n"/>
      <c r="C43" s="365" t="n"/>
      <c r="D43" s="365" t="n"/>
      <c r="E43" s="122">
        <f>SUM(E9:E42)</f>
        <v/>
      </c>
      <c r="F43" s="122">
        <f>SUM(F9:F42)</f>
        <v/>
      </c>
      <c r="G43" s="123" t="n"/>
      <c r="H43" s="123" t="n"/>
      <c r="I43" s="123" t="n"/>
      <c r="J43" s="128" t="n"/>
      <c r="K43" s="41" t="n"/>
      <c r="L43" s="40" t="n"/>
    </row>
    <row r="44">
      <c r="A44" s="35" t="n"/>
    </row>
    <row r="45" ht="17" customHeight="1" s="314">
      <c r="A45" s="35" t="n"/>
      <c r="B45" s="35" t="n"/>
      <c r="C45" s="359" t="n"/>
      <c r="D45" s="66" t="n"/>
      <c r="E45" s="66" t="n"/>
      <c r="F45" s="68" t="n"/>
      <c r="G45" s="68" t="n"/>
      <c r="H45" s="68" t="n"/>
      <c r="I45" s="69" t="n"/>
      <c r="J45" s="35" t="n"/>
    </row>
    <row r="46" ht="30" customHeight="1" s="314">
      <c r="A46" s="307" t="inlineStr">
        <is>
          <t>Rank by Units</t>
        </is>
      </c>
    </row>
    <row r="47" ht="30" customFormat="1" customHeight="1" s="40">
      <c r="A47" s="46" t="inlineStr">
        <is>
          <t>Product Name</t>
        </is>
      </c>
      <c r="B47" s="47" t="inlineStr">
        <is>
          <t>ASIN</t>
        </is>
      </c>
      <c r="C47" s="47" t="inlineStr">
        <is>
          <t>Type</t>
        </is>
      </c>
      <c r="D47" s="345" t="inlineStr">
        <is>
          <t>Avg Price</t>
        </is>
      </c>
      <c r="E47" s="49" t="inlineStr">
        <is>
          <t>Estimated 12mo Revenue</t>
        </is>
      </c>
      <c r="F47" s="47" t="inlineStr">
        <is>
          <t>Monthly Rev</t>
        </is>
      </c>
      <c r="G47" s="51" t="inlineStr">
        <is>
          <t>Estimated 12mo Units</t>
        </is>
      </c>
      <c r="H47" s="54" t="inlineStr">
        <is>
          <t>Monthly Units</t>
        </is>
      </c>
      <c r="I47" s="51" t="inlineStr">
        <is>
          <t># of Reviews</t>
        </is>
      </c>
      <c r="J47" s="52" t="inlineStr">
        <is>
          <t xml:space="preserve">Tool Rating </t>
        </is>
      </c>
      <c r="K47" s="52" t="inlineStr">
        <is>
          <t>Column1</t>
        </is>
      </c>
      <c r="L47" s="346" t="inlineStr">
        <is>
          <t>Link</t>
        </is>
      </c>
    </row>
    <row r="48" ht="30" customFormat="1" customHeight="1" s="40">
      <c r="A48" s="35" t="inlineStr">
        <is>
          <t>Vgate vLinker FS OBD2 USB Adapter for FORScan HS/MS-CAN Auto Switch</t>
        </is>
      </c>
      <c r="B48" s="35" t="inlineStr">
        <is>
          <t>B094Z7PBLS</t>
        </is>
      </c>
      <c r="C48" s="35" t="inlineStr">
        <is>
          <t>Cable/Adapter</t>
        </is>
      </c>
      <c r="D48" s="359" t="n">
        <v>34.99058479532164</v>
      </c>
      <c r="E48" s="66" t="n">
        <v>634867.14</v>
      </c>
      <c r="F48" s="66" t="n">
        <v>59833.9</v>
      </c>
      <c r="G48" s="68" t="n">
        <v>18321</v>
      </c>
      <c r="H48" s="70" t="n">
        <v>1710</v>
      </c>
      <c r="I48" s="68" t="n">
        <v>2686</v>
      </c>
      <c r="J48" s="69" t="n">
        <v>4.7</v>
      </c>
      <c r="K48" s="69" t="inlineStr">
        <is>
          <t>https://amazon.com/dp/B094Z7PBLS</t>
        </is>
      </c>
      <c r="L48" s="114">
        <f>HYPERLINK(Table5181[[#This Row],[Column1]])</f>
        <v/>
      </c>
    </row>
    <row r="49" ht="30" customFormat="1" customHeight="1" s="40">
      <c r="A49" s="35" t="inlineStr">
        <is>
          <t>Vgate iCar Pro Bluetooth 4.0 (BLE) OBD2 Fault Code Reader OBDII Code Scanner Car Check Engine Light for iOS/Android</t>
        </is>
      </c>
      <c r="B49" s="35" t="inlineStr">
        <is>
          <t>B06XGB4873</t>
        </is>
      </c>
      <c r="C49" s="35" t="inlineStr">
        <is>
          <t>Dongle</t>
        </is>
      </c>
      <c r="D49" s="359" t="n">
        <v>31.98785039941902</v>
      </c>
      <c r="E49" s="66" t="n">
        <v>545436.7684615385</v>
      </c>
      <c r="F49" s="66" t="n">
        <v>44047.27</v>
      </c>
      <c r="G49" s="68" t="n">
        <v>15867</v>
      </c>
      <c r="H49" s="70" t="n">
        <v>1377</v>
      </c>
      <c r="I49" s="68" t="n">
        <v>7098</v>
      </c>
      <c r="J49" s="69" t="n">
        <v>4.6</v>
      </c>
      <c r="K49" s="69" t="inlineStr">
        <is>
          <t>https://amazon.com/dp/B06XGB4873</t>
        </is>
      </c>
      <c r="L49" s="114">
        <f>HYPERLINK(Table5181[[#This Row],[Column1]])</f>
        <v/>
      </c>
    </row>
    <row r="50" ht="45" customFormat="1" customHeight="1" s="40">
      <c r="A50" s="35" t="inlineStr">
        <is>
          <t>Vgate vLinker MC+ Bluetooth OBD2 Car Diagnostic Scan Tool for iOS, Android, Windows</t>
        </is>
      </c>
      <c r="B50" s="35" t="inlineStr">
        <is>
          <t>B088LW211V</t>
        </is>
      </c>
      <c r="C50" s="35" t="inlineStr">
        <is>
          <t>Dongle</t>
        </is>
      </c>
      <c r="D50" s="359" t="n">
        <v>59.90506787330317</v>
      </c>
      <c r="E50" s="66" t="n">
        <v>364830.95</v>
      </c>
      <c r="F50" s="66" t="n">
        <v>39717.06</v>
      </c>
      <c r="G50" s="68" t="n">
        <v>6184</v>
      </c>
      <c r="H50" s="70" t="n">
        <v>663</v>
      </c>
      <c r="I50" s="68" t="n">
        <v>1371</v>
      </c>
      <c r="J50" s="69" t="n">
        <v>4.4</v>
      </c>
      <c r="K50" s="69" t="inlineStr">
        <is>
          <t>https://amazon.com/dp/B088LW211V</t>
        </is>
      </c>
      <c r="L50" s="114">
        <f>HYPERLINK(Table5181[[#This Row],[Column1]])</f>
        <v/>
      </c>
    </row>
    <row r="51" ht="30" customFormat="1" customHeight="1" s="40">
      <c r="A51" s="35" t="inlineStr">
        <is>
          <t>Vgate vLinker FS USB OBD2 to USB Car Diagnostic Tool Code Reader for FORScan OBD2 Adapter</t>
        </is>
      </c>
      <c r="B51" s="35" t="inlineStr">
        <is>
          <t>B0C3B11S7F</t>
        </is>
      </c>
      <c r="C51" s="35" t="inlineStr">
        <is>
          <t>Cable/Adapter</t>
        </is>
      </c>
      <c r="D51" s="359" t="n">
        <v>35.01642857142857</v>
      </c>
      <c r="E51" s="66" t="n">
        <v>119803.38</v>
      </c>
      <c r="F51" s="66" t="n">
        <v>20099.43</v>
      </c>
      <c r="G51" s="68" t="n">
        <v>3668</v>
      </c>
      <c r="H51" s="70" t="n">
        <v>574</v>
      </c>
      <c r="I51" s="68" t="n">
        <v>242</v>
      </c>
      <c r="J51" s="69" t="n">
        <v>4.5</v>
      </c>
      <c r="K51" s="69" t="inlineStr">
        <is>
          <t>https://amazon.com/dp/B0C3B11S7F</t>
        </is>
      </c>
      <c r="L51" s="114">
        <f>HYPERLINK(Table5181[[#This Row],[Column1]])</f>
        <v/>
      </c>
    </row>
    <row r="52" ht="30" customFormat="1" customHeight="1" s="40">
      <c r="A52" s="35" t="inlineStr">
        <is>
          <t>Vgate vLinker FS Bluetooth OBD2 Diagnostic Scan Tool, OBDII Car Code Reader for iOS, Android &amp; Windows</t>
        </is>
      </c>
      <c r="B52" s="35" t="inlineStr">
        <is>
          <t>B0BZTXV6MZ</t>
        </is>
      </c>
      <c r="C52" s="35" t="inlineStr">
        <is>
          <t>Dongle</t>
        </is>
      </c>
      <c r="D52" s="359" t="n">
        <v>60.05211904761904</v>
      </c>
      <c r="E52" s="66" t="n">
        <v>252620.51</v>
      </c>
      <c r="F52" s="66" t="n">
        <v>25221.89</v>
      </c>
      <c r="G52" s="68" t="n">
        <v>4267</v>
      </c>
      <c r="H52" s="70" t="n">
        <v>420</v>
      </c>
      <c r="I52" s="68" t="n">
        <v>307</v>
      </c>
      <c r="J52" s="69" t="n">
        <v>4.5</v>
      </c>
      <c r="K52" s="69" t="inlineStr">
        <is>
          <t>https://amazon.com/dp/B0BZTXV6MZ</t>
        </is>
      </c>
      <c r="L52" s="114">
        <f>HYPERLINK(Table5181[[#This Row],[Column1]])</f>
        <v/>
      </c>
    </row>
    <row r="53" ht="30" customFormat="1" customHeight="1" s="40">
      <c r="A53" s="35" t="inlineStr">
        <is>
          <t>Vgate vLinker FS OBD2 USB Adapter for FORS-can HS/MS-CAN Auto Switch</t>
        </is>
      </c>
      <c r="B53" s="35" t="inlineStr">
        <is>
          <t>B0952P4MLP</t>
        </is>
      </c>
      <c r="C53" s="35" t="inlineStr">
        <is>
          <t>Cable/Adapter</t>
        </is>
      </c>
      <c r="D53" s="359" t="n">
        <v>34.98154302670623</v>
      </c>
      <c r="E53" s="66" t="n">
        <v>82784.68076923076</v>
      </c>
      <c r="F53" s="66" t="n">
        <v>11788.78</v>
      </c>
      <c r="G53" s="68" t="n">
        <v>2188</v>
      </c>
      <c r="H53" s="70" t="n">
        <v>337</v>
      </c>
      <c r="I53" s="68" t="n">
        <v>1445</v>
      </c>
      <c r="J53" s="69" t="n">
        <v>4.8</v>
      </c>
      <c r="K53" s="69" t="inlineStr">
        <is>
          <t>https://amazon.com/dp/B0952P4MLP</t>
        </is>
      </c>
      <c r="L53" s="114">
        <f>HYPERLINK(Table5181[[#This Row],[Column1]])</f>
        <v/>
      </c>
    </row>
    <row r="54" ht="30" customFormat="1" customHeight="1" s="40">
      <c r="A54" s="35" t="inlineStr">
        <is>
          <t>Vgate iCar Pro 2S Bluetooth 5.2 OBD2 Car Scan Tool for iPhone, Android, and Windows</t>
        </is>
      </c>
      <c r="B54" s="35" t="inlineStr">
        <is>
          <t>B0CYZRMCK9</t>
        </is>
      </c>
      <c r="C54" s="35" t="inlineStr">
        <is>
          <t>Dongle</t>
        </is>
      </c>
      <c r="D54" s="359" t="n">
        <v>33.9839755351682</v>
      </c>
      <c r="E54" s="66" t="n">
        <v>114951.96</v>
      </c>
      <c r="F54" s="66" t="n">
        <v>11112.76</v>
      </c>
      <c r="G54" s="68" t="n">
        <v>3415</v>
      </c>
      <c r="H54" s="70" t="n">
        <v>327</v>
      </c>
      <c r="I54" s="68" t="n">
        <v>314</v>
      </c>
      <c r="J54" s="69" t="n">
        <v>4.5</v>
      </c>
      <c r="K54" s="69" t="inlineStr">
        <is>
          <t>https://amazon.com/dp/B0CYZRMCK9</t>
        </is>
      </c>
      <c r="L54" s="114">
        <f>HYPERLINK(Table5181[[#This Row],[Column1]])</f>
        <v/>
      </c>
    </row>
    <row r="55" ht="30" customFormat="1" customHeight="1" s="40">
      <c r="A55" s="35" t="inlineStr">
        <is>
          <t>Vgate vLinker MC+ (BT3.0/BLE4.0) OBD2 Scanner Code Reader Diagnostic Scan Tool for Android &amp; iOS &amp; Windows, Black</t>
        </is>
      </c>
      <c r="B55" s="35" t="inlineStr">
        <is>
          <t>B0C2GT4KR3</t>
        </is>
      </c>
      <c r="C55" s="35" t="inlineStr">
        <is>
          <t>Dongle</t>
        </is>
      </c>
      <c r="D55" s="359" t="n">
        <v>57.92440251572327</v>
      </c>
      <c r="E55" s="66" t="n">
        <v>194034.65</v>
      </c>
      <c r="F55" s="66" t="n">
        <v>18419.96</v>
      </c>
      <c r="G55" s="68" t="n">
        <v>2868</v>
      </c>
      <c r="H55" s="70" t="n">
        <v>318</v>
      </c>
      <c r="I55" s="68" t="n">
        <v>189</v>
      </c>
      <c r="J55" s="69" t="n">
        <v>4.5</v>
      </c>
      <c r="K55" s="69" t="inlineStr">
        <is>
          <t>https://amazon.com/dp/B0C2GT4KR3</t>
        </is>
      </c>
      <c r="L55" s="114">
        <f>HYPERLINK(Table5181[[#This Row],[Column1]])</f>
        <v/>
      </c>
    </row>
    <row r="56" ht="30" customFormat="1" customHeight="1" s="40">
      <c r="A56" s="35" t="inlineStr">
        <is>
          <t>Vgate iCar Pro(BT3.0/ BLE4.0) OBD2 Scanner Bluetooth Code Reader Diagnostic Scan Tool for Android &amp; iOS &amp; Windows Compatible with ELM327 Adapter</t>
        </is>
      </c>
      <c r="B56" s="35" t="inlineStr">
        <is>
          <t>B0C244484X</t>
        </is>
      </c>
      <c r="C56" s="35" t="inlineStr">
        <is>
          <t>Dongle</t>
        </is>
      </c>
      <c r="D56" s="359" t="n">
        <v>31.95444816053512</v>
      </c>
      <c r="E56" s="66" t="n">
        <v>102090.16</v>
      </c>
      <c r="F56" s="66" t="n">
        <v>9554.379999999999</v>
      </c>
      <c r="G56" s="68" t="n">
        <v>3204</v>
      </c>
      <c r="H56" s="70" t="n">
        <v>299</v>
      </c>
      <c r="I56" s="68" t="n">
        <v>379</v>
      </c>
      <c r="J56" s="69" t="n">
        <v>4.5</v>
      </c>
      <c r="K56" s="69" t="inlineStr">
        <is>
          <t>https://amazon.com/dp/B0C244484X</t>
        </is>
      </c>
      <c r="L56" s="114">
        <f>HYPERLINK(Table5181[[#This Row],[Column1]])</f>
        <v/>
      </c>
    </row>
    <row r="57" ht="45" customFormat="1" customHeight="1" s="40">
      <c r="A57" s="35" t="inlineStr">
        <is>
          <t>Vgate vLinker BM+ OBD2 Bluetooth Scanner for BMW/Mini BimmerCode, Car Code Reader for iOS, Android, and Windows</t>
        </is>
      </c>
      <c r="B57" s="35" t="inlineStr">
        <is>
          <t>B08BR4KY1G</t>
        </is>
      </c>
      <c r="C57" s="35" t="inlineStr">
        <is>
          <t>Dongle</t>
        </is>
      </c>
      <c r="D57" s="359" t="n">
        <v>44.04008510638298</v>
      </c>
      <c r="E57" s="66" t="n">
        <v>97607.48999999999</v>
      </c>
      <c r="F57" s="66" t="n">
        <v>10349.42</v>
      </c>
      <c r="G57" s="68" t="n">
        <v>2236</v>
      </c>
      <c r="H57" s="70" t="n">
        <v>235</v>
      </c>
      <c r="I57" s="68" t="n">
        <v>262</v>
      </c>
      <c r="J57" s="69" t="n">
        <v>4.4</v>
      </c>
      <c r="K57" s="69" t="inlineStr">
        <is>
          <t>https://amazon.com/dp/B08BR4KY1G</t>
        </is>
      </c>
      <c r="L57" s="114">
        <f>HYPERLINK(Table5181[[#This Row],[Column1]])</f>
        <v/>
      </c>
    </row>
    <row r="58" ht="45" customHeight="1" s="314">
      <c r="A58" s="35" t="inlineStr">
        <is>
          <t>Vgate 16 pin OBD2 OBDII Diagnostic Extender Splitter Extension Cable Male to Dual Female Y Cable 12 inches</t>
        </is>
      </c>
      <c r="B58" s="35" t="inlineStr">
        <is>
          <t>B015649DHA</t>
        </is>
      </c>
      <c r="C58" s="35" t="inlineStr">
        <is>
          <t>Cable/Adapter</t>
        </is>
      </c>
      <c r="D58" s="359" t="n">
        <v>11.95202380952381</v>
      </c>
      <c r="E58" s="66" t="n">
        <v>22548.57</v>
      </c>
      <c r="F58" s="66" t="n">
        <v>2007.94</v>
      </c>
      <c r="G58" s="68" t="n">
        <v>1890</v>
      </c>
      <c r="H58" s="70" t="n">
        <v>168</v>
      </c>
      <c r="I58" s="68" t="n">
        <v>972</v>
      </c>
      <c r="J58" s="69" t="n">
        <v>4.5</v>
      </c>
      <c r="K58" s="69" t="inlineStr">
        <is>
          <t>https://amazon.com/dp/B015649DHA</t>
        </is>
      </c>
      <c r="L58" s="114">
        <f>HYPERLINK(Table5181[[#This Row],[Column1]])</f>
        <v/>
      </c>
    </row>
    <row r="59" ht="30" customHeight="1" s="314">
      <c r="A59" s="35" t="inlineStr">
        <is>
          <t>Vgate vLinker BM Plus Bluetooth BLE OBD2 Scanner for BMW/Mini, Works with iPhone &amp; Android Unlock Car Hidden Features in BimmerCode, OBD II Diagnostic Tool</t>
        </is>
      </c>
      <c r="B59" s="35" t="inlineStr">
        <is>
          <t>B08H4PKT9P</t>
        </is>
      </c>
      <c r="C59" s="35" t="inlineStr">
        <is>
          <t>Dongle</t>
        </is>
      </c>
      <c r="D59" s="359" t="n">
        <v>46.9615</v>
      </c>
      <c r="E59" s="66" t="n">
        <v>86747.90000000001</v>
      </c>
      <c r="F59" s="66" t="n">
        <v>7513.84</v>
      </c>
      <c r="G59" s="68" t="n">
        <v>1874</v>
      </c>
      <c r="H59" s="70" t="n">
        <v>160</v>
      </c>
      <c r="I59" s="68" t="n">
        <v>512</v>
      </c>
      <c r="J59" s="69" t="n">
        <v>4.4</v>
      </c>
      <c r="K59" s="69" t="inlineStr">
        <is>
          <t>https://amazon.com/dp/B08H4PKT9P</t>
        </is>
      </c>
      <c r="L59" s="114">
        <f>HYPERLINK(Table5181[[#This Row],[Column1]])</f>
        <v/>
      </c>
    </row>
    <row r="60" ht="30" customHeight="1" s="314">
      <c r="A60" s="35" t="inlineStr">
        <is>
          <t>Vgate vLinker MS Bluetooth OBD2 Car Scan Tool for iPhone/iOS, Android &amp; Windows, Supports Multiple CAN Protocols (GMLAN, MS CAN, CH CAN, LS CAN)</t>
        </is>
      </c>
      <c r="B60" s="35" t="inlineStr">
        <is>
          <t>B0D6YQX4R8</t>
        </is>
      </c>
      <c r="C60" s="35" t="inlineStr">
        <is>
          <t>Dongle</t>
        </is>
      </c>
      <c r="D60" s="359" t="n">
        <v>70.0358904109589</v>
      </c>
      <c r="E60" s="66" t="n">
        <v>105804.28</v>
      </c>
      <c r="F60" s="66" t="n">
        <v>10225.24</v>
      </c>
      <c r="G60" s="68" t="n">
        <v>1533</v>
      </c>
      <c r="H60" s="70" t="n">
        <v>146</v>
      </c>
      <c r="I60" s="68" t="n">
        <v>166</v>
      </c>
      <c r="J60" s="69" t="n">
        <v>4.5</v>
      </c>
      <c r="K60" s="69" t="inlineStr">
        <is>
          <t>https://amazon.com/dp/B0D6YQX4R8</t>
        </is>
      </c>
      <c r="L60" s="114">
        <f>HYPERLINK(Table5181[[#This Row],[Column1]])</f>
        <v/>
      </c>
    </row>
    <row r="61" ht="45" customHeight="1" s="314">
      <c r="A61" s="35" t="inlineStr">
        <is>
          <t>Vgate iCar Pro Wi-Fi OBD2 Scanner Scan Tools OBDII Car Diagnostic Tool Code Reader Fault Check Engine Light for iOS/Android</t>
        </is>
      </c>
      <c r="B61" s="35" t="inlineStr">
        <is>
          <t>B06XGB4QL7</t>
        </is>
      </c>
      <c r="C61" s="35" t="inlineStr">
        <is>
          <t>Dongle</t>
        </is>
      </c>
      <c r="D61" s="359" t="n">
        <v>29.8225</v>
      </c>
      <c r="E61" s="66" t="n">
        <v>40556.194946</v>
      </c>
      <c r="F61" s="66" t="n">
        <v>2505.09</v>
      </c>
      <c r="G61" s="68" t="n">
        <v>1383</v>
      </c>
      <c r="H61" s="70" t="n">
        <v>84</v>
      </c>
      <c r="I61" s="68" t="n">
        <v>669</v>
      </c>
      <c r="J61" s="69" t="n">
        <v>4.3</v>
      </c>
      <c r="K61" s="69" t="inlineStr">
        <is>
          <t>https://amazon.com/dp/B06XGB4QL7</t>
        </is>
      </c>
      <c r="L61" s="114">
        <f>HYPERLINK(Table5181[[#This Row],[Column1]])</f>
        <v/>
      </c>
    </row>
    <row r="62" ht="30" customHeight="1" s="314">
      <c r="A62" s="35" t="inlineStr">
        <is>
          <t>Vgate vLinker FD+ OBD2 Bluetooth Adapter – Diagnostic Code Reader for iOS, Android &amp; Windows (Supports MS-CAN, ELM327)</t>
        </is>
      </c>
      <c r="B62" s="35" t="inlineStr">
        <is>
          <t>B08FSNVZVK</t>
        </is>
      </c>
      <c r="C62" s="35" t="inlineStr">
        <is>
          <t>Dongle</t>
        </is>
      </c>
      <c r="D62" s="359" t="n">
        <v>45.14271604938271</v>
      </c>
      <c r="E62" s="66" t="n">
        <v>76837.313194</v>
      </c>
      <c r="F62" s="66" t="n">
        <v>3656.56</v>
      </c>
      <c r="G62" s="68" t="n">
        <v>1739</v>
      </c>
      <c r="H62" s="70" t="n">
        <v>81</v>
      </c>
      <c r="I62" s="68" t="n">
        <v>630</v>
      </c>
      <c r="J62" s="69" t="n">
        <v>4.6</v>
      </c>
      <c r="K62" s="69" t="inlineStr">
        <is>
          <t>https://amazon.com/dp/B08FSNVZVK</t>
        </is>
      </c>
      <c r="L62" s="114">
        <f>HYPERLINK(Table5181[[#This Row],[Column1]])</f>
        <v/>
      </c>
    </row>
    <row r="63" ht="30" customHeight="1" s="314">
      <c r="A63" s="35" t="inlineStr">
        <is>
          <t>Vgate vLinker FS Bluetooth FORS-can 0BD2 Adapter for-d Fixd Car Diagnostic Tool OBD2 Scanner Bluetooth MS-CAN Work for iOS, Android &amp; Windows, Black</t>
        </is>
      </c>
      <c r="B63" s="35" t="inlineStr">
        <is>
          <t>B0CP4NZCZM</t>
        </is>
      </c>
      <c r="C63" s="35" t="inlineStr">
        <is>
          <t>Dongle</t>
        </is>
      </c>
      <c r="D63" s="359" t="n">
        <v>58.65551020408163</v>
      </c>
      <c r="E63" s="66" t="n">
        <v>43875.75999999999</v>
      </c>
      <c r="F63" s="66" t="n">
        <v>2874.12</v>
      </c>
      <c r="G63" s="68" t="n">
        <v>756</v>
      </c>
      <c r="H63" s="70" t="n">
        <v>49</v>
      </c>
      <c r="I63" s="68" t="n">
        <v>85</v>
      </c>
      <c r="J63" s="69" t="n">
        <v>4.7</v>
      </c>
      <c r="K63" s="69" t="inlineStr">
        <is>
          <t>https://amazon.com/dp/B0CP4NZCZM</t>
        </is>
      </c>
      <c r="L63" s="114">
        <f>HYPERLINK(Table5181[[#This Row],[Column1]])</f>
        <v/>
      </c>
    </row>
    <row r="64" ht="30" customHeight="1" s="314">
      <c r="A64" s="35" t="inlineStr">
        <is>
          <t>Vgate vLinker BM OBD2 Bluetooth Code Reader, OBDII Scan Tool for Android &amp; Windows - Made for BimmerCode</t>
        </is>
      </c>
      <c r="B64" s="35" t="inlineStr">
        <is>
          <t>B08BRF2SMM</t>
        </is>
      </c>
      <c r="C64" s="35" t="inlineStr">
        <is>
          <t>Dongle</t>
        </is>
      </c>
      <c r="D64" s="359" t="n">
        <v>38.43642857142857</v>
      </c>
      <c r="E64" s="66" t="n">
        <v>13233.31</v>
      </c>
      <c r="F64" s="66" t="n">
        <v>1076.22</v>
      </c>
      <c r="G64" s="68" t="n">
        <v>352</v>
      </c>
      <c r="H64" s="70" t="n">
        <v>28</v>
      </c>
      <c r="I64" s="68" t="n">
        <v>36</v>
      </c>
      <c r="J64" s="69" t="n">
        <v>4</v>
      </c>
      <c r="K64" s="69" t="inlineStr">
        <is>
          <t>https://amazon.com/dp/B08BRF2SMM</t>
        </is>
      </c>
      <c r="L64" s="114">
        <f>HYPERLINK(Table5181[[#This Row],[Column1]])</f>
        <v/>
      </c>
    </row>
    <row r="65" ht="30" customHeight="1" s="314">
      <c r="A65" s="35" t="inlineStr">
        <is>
          <t>vgate vLinker FD Plus OBD2 Adapter Bluetooth BLE Scanner for FORScan, Work with iPhone, Android, and Windows</t>
        </is>
      </c>
      <c r="B65" s="35" t="inlineStr">
        <is>
          <t>B08LDBYTFP</t>
        </is>
      </c>
      <c r="C65" s="35" t="inlineStr">
        <is>
          <t>Dongle</t>
        </is>
      </c>
      <c r="D65" s="359" t="n">
        <v>49.01458333333333</v>
      </c>
      <c r="E65" s="66" t="n">
        <v>25577.57307692308</v>
      </c>
      <c r="F65" s="66" t="n">
        <v>1176.35</v>
      </c>
      <c r="G65" s="68" t="n">
        <v>479</v>
      </c>
      <c r="H65" s="70" t="n">
        <v>24</v>
      </c>
      <c r="I65" s="68" t="n">
        <v>157</v>
      </c>
      <c r="J65" s="69" t="n">
        <v>4.2</v>
      </c>
      <c r="K65" s="69" t="inlineStr">
        <is>
          <t>https://amazon.com/dp/B08LDBYTFP</t>
        </is>
      </c>
      <c r="L65" s="114">
        <f>HYPERLINK(Table5181[[#This Row],[Column1]])</f>
        <v/>
      </c>
    </row>
    <row r="66" ht="30" customHeight="1" s="314">
      <c r="A66" s="35" t="inlineStr">
        <is>
          <t>Vgate iCar2 OBD2 Scanner Scan Tools Interface Wi-Fi Adapter Check Engine Light Car Diagnostic Tool for iOS &amp; Android Auto Sleep (Blue)</t>
        </is>
      </c>
      <c r="B66" s="35" t="inlineStr">
        <is>
          <t>B07ZYTZ7LJ</t>
        </is>
      </c>
      <c r="C66" s="35" t="inlineStr">
        <is>
          <t>Dongle</t>
        </is>
      </c>
      <c r="D66" s="359" t="n">
        <v>23.81833333333333</v>
      </c>
      <c r="E66" s="66" t="n">
        <v>7924.12</v>
      </c>
      <c r="F66" s="66" t="n">
        <v>571.64</v>
      </c>
      <c r="G66" s="68" t="n">
        <v>337</v>
      </c>
      <c r="H66" s="70" t="n">
        <v>24</v>
      </c>
      <c r="I66" s="68" t="n">
        <v>118</v>
      </c>
      <c r="J66" s="69" t="n">
        <v>4.4</v>
      </c>
      <c r="K66" s="69" t="inlineStr">
        <is>
          <t>https://amazon.com/dp/B07ZYTZ7LJ</t>
        </is>
      </c>
      <c r="L66" s="114">
        <f>HYPERLINK(Table5181[[#This Row],[Column1]])</f>
        <v/>
      </c>
    </row>
    <row r="67" ht="30" customHeight="1" s="314">
      <c r="A67" s="35" t="inlineStr">
        <is>
          <t>Vgate vLinker MC Bluetooth OBD2 Diagnostic Scanner for Android &amp; Windows</t>
        </is>
      </c>
      <c r="B67" s="35" t="inlineStr">
        <is>
          <t>B08694LQR1</t>
        </is>
      </c>
      <c r="C67" s="35" t="inlineStr">
        <is>
          <t>Dongle</t>
        </is>
      </c>
      <c r="D67" s="359" t="n">
        <v>45.97421052631579</v>
      </c>
      <c r="E67" s="66" t="n">
        <v>15380.77384615385</v>
      </c>
      <c r="F67" s="66" t="n">
        <v>873.51</v>
      </c>
      <c r="G67" s="68" t="n">
        <v>313</v>
      </c>
      <c r="H67" s="70" t="n">
        <v>19</v>
      </c>
      <c r="I67" s="68" t="n">
        <v>1371</v>
      </c>
      <c r="J67" s="69" t="n">
        <v>4.4</v>
      </c>
      <c r="K67" s="69" t="inlineStr">
        <is>
          <t>https://amazon.com/dp/B08694LQR1</t>
        </is>
      </c>
      <c r="L67" s="114">
        <f>HYPERLINK(Table5181[[#This Row],[Column1]])</f>
        <v/>
      </c>
    </row>
    <row r="68" ht="30" customHeight="1" s="314">
      <c r="A68" s="35" t="inlineStr">
        <is>
          <t>Vgate iCar2 Wi-Fi Adapter OBD2 Scanner Scan Tools Check Engine Light Car Diagnostic Tool for iOS &amp; Android, Auto Sleep (Black)</t>
        </is>
      </c>
      <c r="B68" s="35" t="inlineStr">
        <is>
          <t>B0B6BBPH3J</t>
        </is>
      </c>
      <c r="C68" s="35" t="inlineStr">
        <is>
          <t>Dongle</t>
        </is>
      </c>
      <c r="D68" s="359" t="n">
        <v>24.29666666666667</v>
      </c>
      <c r="E68" s="66" t="n">
        <v>4082.15</v>
      </c>
      <c r="F68" s="66" t="n">
        <v>437.34</v>
      </c>
      <c r="G68" s="68" t="n">
        <v>170</v>
      </c>
      <c r="H68" s="70" t="n">
        <v>18</v>
      </c>
      <c r="I68" s="68" t="n">
        <v>118</v>
      </c>
      <c r="J68" s="69" t="n">
        <v>4.4</v>
      </c>
      <c r="K68" s="69" t="inlineStr">
        <is>
          <t>https://amazon.com/dp/B0B6BBPH3J</t>
        </is>
      </c>
      <c r="L68" s="114">
        <f>HYPERLINK(Table5181[[#This Row],[Column1]])</f>
        <v/>
      </c>
    </row>
    <row r="69" ht="30" customHeight="1" s="314">
      <c r="A69" s="35" t="inlineStr">
        <is>
          <t>Vgate 16 Pin OBD2 OBDII Diagnostic Extender Splitter Extension Cable Male to Dual Female Y Cable, 19 inches</t>
        </is>
      </c>
      <c r="B69" s="35" t="inlineStr">
        <is>
          <t>B07M7CS1V4</t>
        </is>
      </c>
      <c r="C69" s="35" t="inlineStr">
        <is>
          <t>Cable/Adapter</t>
        </is>
      </c>
      <c r="D69" s="359" t="n">
        <v>12.79470588235294</v>
      </c>
      <c r="E69" s="66" t="n">
        <v>2610.76</v>
      </c>
      <c r="F69" s="66" t="n">
        <v>217.51</v>
      </c>
      <c r="G69" s="68" t="n">
        <v>209</v>
      </c>
      <c r="H69" s="70" t="n">
        <v>17</v>
      </c>
      <c r="I69" s="68" t="n">
        <v>972</v>
      </c>
      <c r="J69" s="69" t="n">
        <v>4.5</v>
      </c>
      <c r="K69" s="69" t="inlineStr">
        <is>
          <t>https://amazon.com/dp/B07M7CS1V4</t>
        </is>
      </c>
      <c r="L69" s="114">
        <f>HYPERLINK(Table5181[[#This Row],[Column1]])</f>
        <v/>
      </c>
    </row>
    <row r="70" ht="30" customHeight="1" s="314">
      <c r="A70" s="35" t="inlineStr">
        <is>
          <t>Vgate vLinker FD OBD2 Bluetooth Car Code Reader, OBD2 Diagnostic Scanner for Android &amp; Windows</t>
        </is>
      </c>
      <c r="B70" s="35" t="inlineStr">
        <is>
          <t>B08FSXYXLG</t>
        </is>
      </c>
      <c r="C70" s="35" t="inlineStr">
        <is>
          <t>Dongle</t>
        </is>
      </c>
      <c r="D70" s="359" t="n">
        <v>34.59470588235294</v>
      </c>
      <c r="E70" s="66" t="n">
        <v>15307.08</v>
      </c>
      <c r="F70" s="66" t="n">
        <v>588.11</v>
      </c>
      <c r="G70" s="68" t="n">
        <v>442</v>
      </c>
      <c r="H70" s="70" t="n">
        <v>17</v>
      </c>
      <c r="I70" s="68" t="n">
        <v>630</v>
      </c>
      <c r="J70" s="69" t="n">
        <v>4.5</v>
      </c>
      <c r="K70" s="69" t="inlineStr">
        <is>
          <t>https://amazon.com/dp/B08FSXYXLG</t>
        </is>
      </c>
      <c r="L70" s="114">
        <f>HYPERLINK(Table5181[[#This Row],[Column1]])</f>
        <v/>
      </c>
    </row>
    <row r="71" ht="30" customHeight="1" s="314">
      <c r="A71" s="35" t="inlineStr">
        <is>
          <t>Vgate vLinker FD+ (BT3.0/ BLE4.0) OBD2 Scanner for FORScan Fixed Diagnostic Tool Car Code Reader for Android &amp; iOS &amp; Windows</t>
        </is>
      </c>
      <c r="B71" s="35" t="inlineStr">
        <is>
          <t>B0C39TL9R6</t>
        </is>
      </c>
      <c r="C71" s="35" t="inlineStr">
        <is>
          <t>Dongle</t>
        </is>
      </c>
      <c r="D71" s="359" t="n">
        <v>42.67230769230769</v>
      </c>
      <c r="E71" s="66" t="n">
        <v>10699.0225</v>
      </c>
      <c r="F71" s="66" t="n">
        <v>554.74</v>
      </c>
      <c r="G71" s="68" t="n">
        <v>250</v>
      </c>
      <c r="H71" s="70" t="n">
        <v>13</v>
      </c>
      <c r="I71" s="68" t="n">
        <v>37</v>
      </c>
      <c r="J71" s="69" t="n">
        <v>4.3</v>
      </c>
      <c r="K71" s="69" t="inlineStr">
        <is>
          <t>https://amazon.com/dp/B0C39TL9R6</t>
        </is>
      </c>
      <c r="L71" s="114">
        <f>HYPERLINK(Table5181[[#This Row],[Column1]])</f>
        <v/>
      </c>
    </row>
    <row r="72" ht="30" customHeight="1" s="314">
      <c r="A72" s="35" t="inlineStr">
        <is>
          <t>Vgate iCar Pro Bluetooth 3.0 OBD2 Scanner | Android Only – Not for iOS – Check Engine Light</t>
        </is>
      </c>
      <c r="B72" s="35" t="inlineStr">
        <is>
          <t>B06XGBKG8X</t>
        </is>
      </c>
      <c r="C72" s="35" t="inlineStr">
        <is>
          <t>Dongle</t>
        </is>
      </c>
      <c r="D72" s="359" t="n">
        <v>26.40307692307692</v>
      </c>
      <c r="E72" s="66" t="n">
        <v>13845.18</v>
      </c>
      <c r="F72" s="66" t="n">
        <v>343.24</v>
      </c>
      <c r="G72" s="68" t="n">
        <v>537</v>
      </c>
      <c r="H72" s="70" t="n">
        <v>13</v>
      </c>
      <c r="I72" s="68" t="n">
        <v>859</v>
      </c>
      <c r="J72" s="69" t="n">
        <v>4.2</v>
      </c>
      <c r="K72" s="69" t="inlineStr">
        <is>
          <t>https://amazon.com/dp/B06XGBKG8X</t>
        </is>
      </c>
      <c r="L72" s="114">
        <f>HYPERLINK(Table5181[[#This Row],[Column1]])</f>
        <v/>
      </c>
    </row>
    <row r="73" ht="30" customHeight="1" s="314">
      <c r="A73" s="35" t="inlineStr">
        <is>
          <t>Vgate iCar Pro BT3.0 OBD2 Scanner Bluetooth Code Reader Diagnostic Scan Tool for Android &amp; Windows Compatible with ELM327 Adapter</t>
        </is>
      </c>
      <c r="B73" s="35" t="inlineStr">
        <is>
          <t>B0C244W4H5</t>
        </is>
      </c>
      <c r="C73" s="35" t="inlineStr">
        <is>
          <t>Dongle</t>
        </is>
      </c>
      <c r="D73" s="359" t="n">
        <v>24.85923076923077</v>
      </c>
      <c r="E73" s="66" t="n">
        <v>3318.020769230769</v>
      </c>
      <c r="F73" s="66" t="n">
        <v>323.17</v>
      </c>
      <c r="G73" s="68" t="n">
        <v>124</v>
      </c>
      <c r="H73" s="70" t="n">
        <v>13</v>
      </c>
      <c r="I73" s="68" t="n">
        <v>379</v>
      </c>
      <c r="J73" s="69" t="n">
        <v>4.5</v>
      </c>
      <c r="K73" s="69" t="inlineStr">
        <is>
          <t>https://amazon.com/dp/B0C244W4H5</t>
        </is>
      </c>
      <c r="L73" s="114">
        <f>HYPERLINK(Table5181[[#This Row],[Column1]])</f>
        <v/>
      </c>
    </row>
    <row r="74" ht="30" customHeight="1" s="314">
      <c r="A74" s="35" t="inlineStr">
        <is>
          <t>Vgate OBD2 Bluetooth Scanner vLinker BM Bimmercode Diagnostic Tool for BMW/Mini, Work with Android and Windows only</t>
        </is>
      </c>
      <c r="B74" s="35" t="inlineStr">
        <is>
          <t>B08LDBSWWL</t>
        </is>
      </c>
      <c r="C74" s="35" t="inlineStr">
        <is>
          <t>Dongle</t>
        </is>
      </c>
      <c r="D74" s="359" t="n">
        <v>37.92818181818182</v>
      </c>
      <c r="E74" s="66" t="n">
        <v>7242.949999999999</v>
      </c>
      <c r="F74" s="66" t="n">
        <v>417.21</v>
      </c>
      <c r="G74" s="68" t="n">
        <v>184</v>
      </c>
      <c r="H74" s="70" t="n">
        <v>11</v>
      </c>
      <c r="I74" s="68" t="n">
        <v>88</v>
      </c>
      <c r="J74" s="69" t="n">
        <v>4.3</v>
      </c>
      <c r="K74" s="69" t="inlineStr">
        <is>
          <t>https://amazon.com/dp/B08LDBSWWL</t>
        </is>
      </c>
      <c r="L74" s="114">
        <f>HYPERLINK(Table5181[[#This Row],[Column1]])</f>
        <v/>
      </c>
    </row>
    <row r="75" ht="30" customHeight="1" s="314">
      <c r="A75" s="35" t="inlineStr">
        <is>
          <t>Vgate vLinker FD Bluetooth3.0 OBD2 Scanner for FORScan Fixed Diagnostic Tool Car Code Reader for Android &amp; Windows</t>
        </is>
      </c>
      <c r="B75" s="35" t="inlineStr">
        <is>
          <t>B0C39Y7CZM</t>
        </is>
      </c>
      <c r="C75" s="35" t="inlineStr">
        <is>
          <t>Dongle</t>
        </is>
      </c>
      <c r="D75" s="359" t="n">
        <v>31.58222222222222</v>
      </c>
      <c r="E75" s="66" t="n">
        <v>4713.200000000001</v>
      </c>
      <c r="F75" s="66" t="n">
        <v>284.24</v>
      </c>
      <c r="G75" s="68" t="n">
        <v>152</v>
      </c>
      <c r="H75" s="70" t="n">
        <v>9</v>
      </c>
      <c r="I75" s="68" t="n">
        <v>37</v>
      </c>
      <c r="J75" s="69" t="n">
        <v>4.3</v>
      </c>
      <c r="K75" s="69" t="inlineStr">
        <is>
          <t>https://amazon.com/dp/B0C39Y7CZM</t>
        </is>
      </c>
      <c r="L75" s="114">
        <f>HYPERLINK(Table5181[[#This Row],[Column1]])</f>
        <v/>
      </c>
    </row>
    <row r="76" ht="30" customHeight="1" s="314">
      <c r="A76" s="35" t="inlineStr">
        <is>
          <t>Vgate vLinker MC Bluetooth 3.0 OBD2 Scanner Code Reader Diagnostic Scan Tool for Android &amp; Windows, Black</t>
        </is>
      </c>
      <c r="B76" s="35" t="inlineStr">
        <is>
          <t>B0C2GLCDQQ</t>
        </is>
      </c>
      <c r="C76" s="35" t="inlineStr">
        <is>
          <t>Dongle</t>
        </is>
      </c>
      <c r="D76" s="359" t="n">
        <v>46.30111111111111</v>
      </c>
      <c r="E76" s="66" t="n">
        <v>4302.000000000001</v>
      </c>
      <c r="F76" s="66" t="n">
        <v>416.71</v>
      </c>
      <c r="G76" s="68" t="n">
        <v>97</v>
      </c>
      <c r="H76" s="70" t="n">
        <v>9</v>
      </c>
      <c r="I76" s="68" t="n">
        <v>189</v>
      </c>
      <c r="J76" s="69" t="n">
        <v>4.5</v>
      </c>
      <c r="K76" s="69" t="inlineStr">
        <is>
          <t>https://amazon.com/dp/B0C2GLCDQQ</t>
        </is>
      </c>
      <c r="L76" s="114">
        <f>HYPERLINK(Table5181[[#This Row],[Column1]])</f>
        <v/>
      </c>
    </row>
    <row r="77" ht="30" customHeight="1" s="314">
      <c r="A77" s="35" t="inlineStr">
        <is>
          <t>Vgate iCar Pro 2S Bluetooth OBD2 Scanner Fixd Car Diagnostic Tool Code Reader for Android &amp; iOS &amp; Windows, Black</t>
        </is>
      </c>
      <c r="B77" s="35" t="inlineStr">
        <is>
          <t>B0D81QLQ92</t>
        </is>
      </c>
      <c r="C77" s="35" t="inlineStr">
        <is>
          <t>Dongle</t>
        </is>
      </c>
      <c r="D77" s="359" t="n">
        <v>31.24555555555555</v>
      </c>
      <c r="E77" s="66" t="n">
        <v>6635</v>
      </c>
      <c r="F77" s="66" t="n">
        <v>281.21</v>
      </c>
      <c r="G77" s="68" t="n">
        <v>205</v>
      </c>
      <c r="H77" s="70" t="n">
        <v>9</v>
      </c>
      <c r="I77" s="68" t="n">
        <v>65</v>
      </c>
      <c r="J77" s="69" t="n">
        <v>4.5</v>
      </c>
      <c r="K77" s="69" t="inlineStr">
        <is>
          <t>https://amazon.com/dp/B0D81QLQ92</t>
        </is>
      </c>
      <c r="L77" s="114">
        <f>HYPERLINK(Table5181[[#This Row],[Column1]])</f>
        <v/>
      </c>
    </row>
    <row r="78" ht="17" customHeight="1" s="314">
      <c r="A78" s="35" t="inlineStr">
        <is>
          <t>Vgate iCar 3 WiFi OBD2 Scanner Scan Tools Interface Adapter Car Diagnostics Tool for iOS iPhone iPad and Android, Auto Sleep(White)</t>
        </is>
      </c>
      <c r="B78" s="35" t="inlineStr">
        <is>
          <t>B01J7IMBFC</t>
        </is>
      </c>
      <c r="C78" s="35" t="inlineStr">
        <is>
          <t>Dongle</t>
        </is>
      </c>
      <c r="D78" s="359" t="n">
        <v>25.29444444444444</v>
      </c>
      <c r="E78" s="66" t="n">
        <v>4410.139999999999</v>
      </c>
      <c r="F78" s="66" t="n">
        <v>227.65</v>
      </c>
      <c r="G78" s="68" t="n">
        <v>173</v>
      </c>
      <c r="H78" s="70" t="n">
        <v>9</v>
      </c>
      <c r="I78" s="68" t="n">
        <v>141</v>
      </c>
      <c r="J78" s="69" t="n">
        <v>4</v>
      </c>
      <c r="K78" s="69" t="inlineStr">
        <is>
          <t>https://amazon.com/dp/B01J7IMBFC</t>
        </is>
      </c>
      <c r="L78" s="114">
        <f>HYPERLINK(Table5181[[#This Row],[Column1]])</f>
        <v/>
      </c>
    </row>
    <row r="79">
      <c r="A79" s="35" t="inlineStr">
        <is>
          <t>Vgate vLinker MS Bluetooth OBD2 Scanner Fixd Car Diagnostic Tool Code Reader CH-CAN and LS-CAN Work for iOS &amp; Android &amp; Windows, Black</t>
        </is>
      </c>
      <c r="B79" s="35" t="inlineStr">
        <is>
          <t>B0DB89CSF5</t>
        </is>
      </c>
      <c r="C79" s="35" t="inlineStr">
        <is>
          <t>Dongle</t>
        </is>
      </c>
      <c r="D79" s="359" t="n">
        <v>65.43428571428572</v>
      </c>
      <c r="E79" s="66" t="n">
        <v>9784.889999999999</v>
      </c>
      <c r="F79" s="66" t="n">
        <v>458.04</v>
      </c>
      <c r="G79" s="68" t="n">
        <v>149</v>
      </c>
      <c r="H79" s="70" t="n">
        <v>7</v>
      </c>
      <c r="I79" s="68" t="n">
        <v>58</v>
      </c>
      <c r="J79" s="69" t="n">
        <v>4.8</v>
      </c>
      <c r="K79" s="69" t="inlineStr">
        <is>
          <t>https://amazon.com/dp/B0DB89CSF5</t>
        </is>
      </c>
      <c r="L79" s="114">
        <f>HYPERLINK(Table5181[[#This Row],[Column1]])</f>
        <v/>
      </c>
    </row>
    <row r="80">
      <c r="A80" s="35" t="inlineStr">
        <is>
          <t>Vgate vLinker BM3.0 Bluetooth OBD2 Scanner Diagnostic Tool Bimmercode, Code Reader for BMW, Supports Android &amp; Windows</t>
        </is>
      </c>
      <c r="B80" s="35" t="inlineStr">
        <is>
          <t>B0GS1J18DH</t>
        </is>
      </c>
      <c r="C80" s="35" t="inlineStr">
        <is>
          <t>Dongle</t>
        </is>
      </c>
      <c r="D80" s="359" t="n">
        <v>26.55</v>
      </c>
      <c r="E80" s="66" t="n">
        <v>320.6423076923077</v>
      </c>
      <c r="F80" s="66" t="n">
        <v>26.55</v>
      </c>
      <c r="G80" s="68" t="n">
        <v>1</v>
      </c>
      <c r="H80" s="70" t="n">
        <v>1</v>
      </c>
      <c r="I80" s="68" t="n"/>
      <c r="J80" s="69" t="n"/>
      <c r="K80" s="69" t="inlineStr">
        <is>
          <t>https://amazon.com/dp/B0GS1J18DH</t>
        </is>
      </c>
      <c r="L80" s="114">
        <f>HYPERLINK(TABLE80)</f>
        <v/>
      </c>
    </row>
    <row r="81">
      <c r="A81" s="35" t="inlineStr">
        <is>
          <t>Vgate vLinker BM+ Bluetooth LE OBD2 Scanner Diagnostic Tool Bimmercode, Code Reader for BMW, Supports iOS &amp; Android &amp; Windows</t>
        </is>
      </c>
      <c r="B81" s="35" t="inlineStr">
        <is>
          <t>B0GS4CFL5R</t>
        </is>
      </c>
      <c r="C81" s="35" t="inlineStr">
        <is>
          <t>Dongle</t>
        </is>
      </c>
      <c r="D81" s="359" t="n">
        <v>39.99</v>
      </c>
      <c r="E81" s="66" t="n">
        <v>0</v>
      </c>
      <c r="F81" s="66" t="n">
        <v>0</v>
      </c>
      <c r="G81" s="68" t="n">
        <v>0</v>
      </c>
      <c r="H81" s="70" t="n">
        <v>0</v>
      </c>
      <c r="I81" s="68" t="n"/>
      <c r="J81" s="69" t="n"/>
      <c r="K81" s="69" t="inlineStr">
        <is>
          <t>https://amazon.com/dp/B0GS4CFL5R</t>
        </is>
      </c>
      <c r="L81" s="114">
        <f>HYPERLINK(TABLE81)</f>
        <v/>
      </c>
    </row>
    <row r="82">
      <c r="A82" s="41" t="inlineStr">
        <is>
          <t>Total</t>
        </is>
      </c>
      <c r="B82" s="41" t="n"/>
      <c r="C82" s="365" t="n"/>
      <c r="D82" s="122" t="n"/>
      <c r="E82" s="122" t="n"/>
      <c r="F82" s="122" t="n"/>
      <c r="G82" s="123">
        <f>SUM(G48:G81)</f>
        <v/>
      </c>
      <c r="H82" s="123">
        <f>SUM(H48:H81)</f>
        <v/>
      </c>
      <c r="I82" s="123" t="n"/>
      <c r="J82" s="128" t="n"/>
      <c r="K82" s="41" t="n"/>
      <c r="L82" s="40" t="n"/>
    </row>
  </sheetData>
  <mergeCells count="3">
    <mergeCell ref="A1:L5"/>
    <mergeCell ref="A44:L44"/>
    <mergeCell ref="A7:L7"/>
  </mergeCells>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codeName="Sheet21">
    <outlinePr summaryBelow="1" summaryRight="1"/>
    <pageSetUpPr/>
  </sheetPr>
  <dimension ref="A1:L154"/>
  <sheetViews>
    <sheetView workbookViewId="0">
      <selection activeCell="G6" sqref="G6"/>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9.5" customWidth="1" style="308" min="11" max="11"/>
    <col width="35.6640625" customWidth="1" style="308" min="12" max="12"/>
    <col width="12.6640625" customWidth="1" style="308" min="13" max="16384"/>
  </cols>
  <sheetData>
    <row r="1" ht="15.75" customHeight="1" s="314">
      <c r="A1" s="306" t="inlineStr">
        <is>
          <t>XTOOL Monthly Summary</t>
        </is>
      </c>
    </row>
    <row r="2" ht="15.75" customHeight="1" s="314"/>
    <row r="3" ht="15.75" customHeight="1" s="314"/>
    <row r="4" ht="15.75" customHeight="1" s="314"/>
    <row r="5" ht="15.75" customHeight="1" s="314"/>
    <row r="6">
      <c r="B6" s="60" t="n"/>
      <c r="C6" s="366" t="n"/>
      <c r="E6" s="60" t="n"/>
      <c r="F6" s="62" t="n"/>
      <c r="G6" s="62" t="n"/>
      <c r="H6" s="62" t="n"/>
      <c r="I6" s="63" t="n"/>
      <c r="J6" s="60"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OBD2 Scanner Diagnostic Tool XTOOL Anyscan A30M V2.0, 2026 Wireless Bidirectional Scan Tool with Free Updates, 26 Resets, All System for Android &amp; iPhone, Crank Sensor Relearn, EPB, Throttle Relearn</t>
        </is>
      </c>
      <c r="B9" s="35" t="inlineStr">
        <is>
          <t>B09KT9XNML</t>
        </is>
      </c>
      <c r="C9" s="35" t="inlineStr">
        <is>
          <t>Dongle</t>
        </is>
      </c>
      <c r="D9" s="359" t="n">
        <v>151.2937490377213</v>
      </c>
      <c r="E9" s="66" t="n">
        <v>2029114.51</v>
      </c>
      <c r="F9" s="67" t="n">
        <v>196530.58</v>
      </c>
      <c r="G9" s="68" t="n">
        <v>13968</v>
      </c>
      <c r="H9" s="68" t="n">
        <v>1299</v>
      </c>
      <c r="I9" s="68" t="n">
        <v>1409</v>
      </c>
      <c r="J9" s="69" t="n">
        <v>4.3</v>
      </c>
      <c r="K9" s="69" t="inlineStr">
        <is>
          <t>https://amazon.com/dp/B09KT9XNML</t>
        </is>
      </c>
      <c r="L9" s="114">
        <f>HYPERLINK(Table543384[[#This Row],[Column1]])</f>
        <v/>
      </c>
    </row>
    <row r="10" ht="45" customHeight="1" s="314">
      <c r="A10" s="35" t="inlineStr">
        <is>
          <t>XTOOL D7 Bidirectional Scan Tool: 2026 Ai-Assisted OBD2 Scanner Diagnostic Tool with 36+ Resets, Full System Car Scanner with EPB, Injector Test, Throttle, Crank Sensor Relearn, FCA, CANFD &amp; DoIP</t>
        </is>
      </c>
      <c r="B10" s="35" t="inlineStr">
        <is>
          <t>B098LF38DS</t>
        </is>
      </c>
      <c r="C10" s="35" t="inlineStr">
        <is>
          <t>Tablet</t>
        </is>
      </c>
      <c r="D10" s="359" t="n">
        <v>402.4123234624146</v>
      </c>
      <c r="E10" s="66" t="n">
        <v>2668698.07</v>
      </c>
      <c r="F10" s="67" t="n">
        <v>176659.01</v>
      </c>
      <c r="G10" s="68" t="n">
        <v>6932</v>
      </c>
      <c r="H10" s="68" t="n">
        <v>439</v>
      </c>
      <c r="I10" s="68" t="n">
        <v>1648</v>
      </c>
      <c r="J10" s="69" t="n">
        <v>4.4</v>
      </c>
      <c r="K10" s="69" t="inlineStr">
        <is>
          <t>https://amazon.com/dp/B098LF38DS</t>
        </is>
      </c>
      <c r="L10" s="114">
        <f>HYPERLINK(Table543384[[#This Row],[Column1]])</f>
        <v/>
      </c>
    </row>
    <row r="11" ht="60" customHeight="1" s="314">
      <c r="A11" s="35" t="inlineStr">
        <is>
          <t>XTOOL D5S OBD2 Scanner with Touchscreen, Code Reader for Cars &amp; Trucks with 16 Resets, Crank Sensor Relearn, Throttle Relearn, EPB, FCA, CAN FD for GM, Engine ABS SRS Transmission Car Diagnostic Tool</t>
        </is>
      </c>
      <c r="B11" s="35" t="inlineStr">
        <is>
          <t>B0DFCMT416</t>
        </is>
      </c>
      <c r="C11" s="35" t="inlineStr">
        <is>
          <t>Tablet</t>
        </is>
      </c>
      <c r="D11" s="359" t="n">
        <v>169.8681318681319</v>
      </c>
      <c r="E11" s="66" t="n">
        <v>1238984.071538462</v>
      </c>
      <c r="F11" s="67" t="n">
        <v>108206</v>
      </c>
      <c r="G11" s="68" t="n">
        <v>6517</v>
      </c>
      <c r="H11" s="68" t="n">
        <v>637</v>
      </c>
      <c r="I11" s="68" t="n">
        <v>418</v>
      </c>
      <c r="J11" s="69" t="n">
        <v>4.2</v>
      </c>
      <c r="K11" s="69" t="inlineStr">
        <is>
          <t>https://amazon.com/dp/B0DFCMT416</t>
        </is>
      </c>
      <c r="L11" s="114">
        <f>HYPERLINK(Table543384[[#This Row],[Column1]])</f>
        <v/>
      </c>
    </row>
    <row r="12" ht="45" customHeight="1" s="314">
      <c r="A12" s="35" t="inlineStr">
        <is>
          <t>XTOOL D7S Bidirectional Scan Tool, 2026 AI-Assisted OBD2 Scanner Diagnostic Tool with FCA AutoAuth, All System Car Scanner, 39+ Resets, ECU C0ding, PMI, Upgrade of D7, Crankshaft Relearn, CAN FD/DoIP</t>
        </is>
      </c>
      <c r="B12" s="35" t="inlineStr">
        <is>
          <t>B0BTBQ1NR4</t>
        </is>
      </c>
      <c r="C12" s="35" t="inlineStr">
        <is>
          <t>Tablet</t>
        </is>
      </c>
      <c r="D12" s="359" t="n">
        <v>400.6637969924813</v>
      </c>
      <c r="E12" s="66" t="n">
        <v>830600.9</v>
      </c>
      <c r="F12" s="67" t="n">
        <v>106576.57</v>
      </c>
      <c r="G12" s="68" t="n">
        <v>2031</v>
      </c>
      <c r="H12" s="68" t="n">
        <v>266</v>
      </c>
      <c r="I12" s="68" t="n">
        <v>311</v>
      </c>
      <c r="J12" s="69" t="n">
        <v>4.4</v>
      </c>
      <c r="K12" s="69" t="inlineStr">
        <is>
          <t>https://amazon.com/dp/B0BTBQ1NR4</t>
        </is>
      </c>
      <c r="L12" s="114">
        <f>HYPERLINK(Table543384[[#This Row],[Column1]])</f>
        <v/>
      </c>
    </row>
    <row r="13" ht="45" customHeight="1" s="314">
      <c r="A13" s="35" t="inlineStr">
        <is>
          <t>XTOOL D8W Wireless Bidirectional Scan Tool, AI-Assisted OBD2 Scanner with Topology, 3-Year Updates, ECU C0ding, PMI, 42+ Resets, Full Diagnostic Scanner for Car, Crankshaft Relearn, FCA/CAN FD/DoIP</t>
        </is>
      </c>
      <c r="B13" s="35" t="inlineStr">
        <is>
          <t>B09N8VTBVH</t>
        </is>
      </c>
      <c r="C13" s="35" t="inlineStr">
        <is>
          <t>Tablet</t>
        </is>
      </c>
      <c r="D13" s="359" t="n">
        <v>584.2609340659341</v>
      </c>
      <c r="E13" s="66" t="n">
        <v>1359475.543846154</v>
      </c>
      <c r="F13" s="67" t="n">
        <v>106335.49</v>
      </c>
      <c r="G13" s="68" t="n">
        <v>1832</v>
      </c>
      <c r="H13" s="68" t="n">
        <v>182</v>
      </c>
      <c r="I13" s="68" t="n">
        <v>519</v>
      </c>
      <c r="J13" s="69" t="n">
        <v>4.4</v>
      </c>
      <c r="K13" s="69" t="inlineStr">
        <is>
          <t>https://amazon.com/dp/B09N8VTBVH</t>
        </is>
      </c>
      <c r="L13" s="114">
        <f>HYPERLINK(Table543384[[#This Row],[Column1]])</f>
        <v/>
      </c>
    </row>
    <row r="14" ht="45" customHeight="1" s="314">
      <c r="A14" s="35" t="inlineStr">
        <is>
          <t>XTOOL D8S AI-Assisted Bidirectional OBD2 Scanner with Topology Mapping: 2026 Upgrade of XTOOL D8, Scan Tool with 42+ Reset, Full System Automotive Scanner Diagnostic Tool, PMI for Ford, FCA/CANFD/DoIP</t>
        </is>
      </c>
      <c r="B14" s="35" t="inlineStr">
        <is>
          <t>B098N7QMGC</t>
        </is>
      </c>
      <c r="C14" s="35" t="inlineStr">
        <is>
          <t>Tablet</t>
        </is>
      </c>
      <c r="D14" s="359" t="n">
        <v>596.4560666666667</v>
      </c>
      <c r="E14" s="66" t="n">
        <v>1205763.67</v>
      </c>
      <c r="F14" s="67" t="n">
        <v>89468.41</v>
      </c>
      <c r="G14" s="68" t="n">
        <v>1977</v>
      </c>
      <c r="H14" s="68" t="n">
        <v>150</v>
      </c>
      <c r="I14" s="68" t="n">
        <v>1035</v>
      </c>
      <c r="J14" s="69" t="n">
        <v>4.4</v>
      </c>
      <c r="K14" s="69" t="inlineStr">
        <is>
          <t>https://amazon.com/dp/B098N7QMGC</t>
        </is>
      </c>
      <c r="L14" s="114">
        <f>HYPERLINK(Table543384[[#This Row],[Column1]])</f>
        <v/>
      </c>
    </row>
    <row r="15" ht="60" customHeight="1" s="314">
      <c r="A15" s="35" t="inlineStr">
        <is>
          <t>XTOOL D6S OBD2 Scanner Diagnostic Tool, 2026 Car Scanner with 30 Resets, All System Scan Tool with FCA &amp; CAN FD, ABS Bleed, Gearbox Match, Crank Sensor Relearn, Lifetime Update, Upgraded of D5S</t>
        </is>
      </c>
      <c r="B15" s="35" t="inlineStr">
        <is>
          <t>B0DNQD1Q1V</t>
        </is>
      </c>
      <c r="C15" s="35" t="inlineStr">
        <is>
          <t>Tablet</t>
        </is>
      </c>
      <c r="D15" s="359" t="n">
        <v>283.70775</v>
      </c>
      <c r="E15" s="66" t="n">
        <v>659139.4707692307</v>
      </c>
      <c r="F15" s="67" t="n">
        <v>56741.55</v>
      </c>
      <c r="G15" s="68" t="n">
        <v>2146</v>
      </c>
      <c r="H15" s="68" t="n">
        <v>200</v>
      </c>
      <c r="I15" s="68" t="n">
        <v>107</v>
      </c>
      <c r="J15" s="69" t="n">
        <v>4.4</v>
      </c>
      <c r="K15" s="69" t="inlineStr">
        <is>
          <t>https://amazon.com/dp/B0DNQD1Q1V</t>
        </is>
      </c>
      <c r="L15" s="114">
        <f>HYPERLINK(Table543384[[#This Row],[Column1]])</f>
        <v/>
      </c>
    </row>
    <row r="16" ht="45" customHeight="1" s="314">
      <c r="A16" s="35" t="inlineStr">
        <is>
          <t>XTOOL Anyscan A30M OBD2 Scanner Kit, 2026 Wireless Bidirectional Scan Tool with Free Updates, 26 Resets, Live Data, All System ABS Bleeding Diagnostic Tool for iOS &amp; Android, CANFD &amp; FCA AutoAuth</t>
        </is>
      </c>
      <c r="B16" s="35" t="inlineStr">
        <is>
          <t>B0FLJSZQHN</t>
        </is>
      </c>
      <c r="C16" s="35" t="inlineStr">
        <is>
          <t>Tablet</t>
        </is>
      </c>
      <c r="D16" s="359" t="n">
        <v>185.5240540540541</v>
      </c>
      <c r="E16" s="66" t="n">
        <v>590673.4300000001</v>
      </c>
      <c r="F16" s="67" t="n">
        <v>54915.12</v>
      </c>
      <c r="G16" s="68" t="n">
        <v>712</v>
      </c>
      <c r="H16" s="68" t="n">
        <v>296</v>
      </c>
      <c r="I16" s="68" t="n">
        <v>29</v>
      </c>
      <c r="J16" s="69" t="n">
        <v>4.7</v>
      </c>
      <c r="K16" s="69" t="inlineStr">
        <is>
          <t>https://amazon.com/dp/B0FLJSZQHN</t>
        </is>
      </c>
      <c r="L16" s="114">
        <f>HYPERLINK(Table543384[[#This Row],[Column1]])</f>
        <v/>
      </c>
    </row>
    <row r="17" ht="45" customHeight="1" s="314">
      <c r="A17" s="35" t="inlineStr">
        <is>
          <t>XTOOL Anyscan A30D OBD2 Scanner Diagnostic Tool - Bidirectional Scan Tool Wireless - Lifetime Updates &amp; 19 Resets Crank Sensor EPB Throttle Relearn - Full System Car Code Reader for iPhone &amp; Android</t>
        </is>
      </c>
      <c r="B17" s="35" t="inlineStr">
        <is>
          <t>B098NC47SX</t>
        </is>
      </c>
      <c r="C17" s="35" t="inlineStr">
        <is>
          <t>Dongle</t>
        </is>
      </c>
      <c r="D17" s="359" t="n">
        <v>98.74470479704796</v>
      </c>
      <c r="E17" s="66" t="n">
        <v>410855.3700000001</v>
      </c>
      <c r="F17" s="67" t="n">
        <v>53519.63</v>
      </c>
      <c r="G17" s="68" t="n">
        <v>3919</v>
      </c>
      <c r="H17" s="68" t="n">
        <v>542</v>
      </c>
      <c r="I17" s="68" t="n">
        <v>310</v>
      </c>
      <c r="J17" s="69" t="n">
        <v>4.1</v>
      </c>
      <c r="K17" s="69" t="inlineStr">
        <is>
          <t>https://amazon.com/dp/B098NC47SX</t>
        </is>
      </c>
      <c r="L17" s="114">
        <f>HYPERLINK(Table543384[[#This Row],[Column1]])</f>
        <v/>
      </c>
    </row>
    <row r="18" ht="45" customHeight="1" s="314">
      <c r="A18" s="35" t="inlineStr">
        <is>
          <t>XTOOL Scanner D8S, AI-Assisted Bidirectional OBD2 Scanner, 8" Full System Bidirectional Scan Tool, ECU C0ding, Topology Mapping, 42+ Resets Automotive Diagnostic Scanner, FCA, CAN FD&amp;DoIP</t>
        </is>
      </c>
      <c r="B18" s="35" t="inlineStr">
        <is>
          <t>B097R8Q122</t>
        </is>
      </c>
      <c r="C18" s="35" t="inlineStr">
        <is>
          <t>Tablet</t>
        </is>
      </c>
      <c r="D18" s="359" t="n">
        <v>580.1169318181818</v>
      </c>
      <c r="E18" s="66" t="n">
        <v>940245.67</v>
      </c>
      <c r="F18" s="67" t="n">
        <v>51050.29</v>
      </c>
      <c r="G18" s="68" t="n">
        <v>1611</v>
      </c>
      <c r="H18" s="68" t="n">
        <v>88</v>
      </c>
      <c r="I18" s="68" t="n">
        <v>549</v>
      </c>
      <c r="J18" s="69" t="n">
        <v>4.4</v>
      </c>
      <c r="K18" s="69" t="inlineStr">
        <is>
          <t>https://amazon.com/dp/B097R8Q122</t>
        </is>
      </c>
      <c r="L18" s="114">
        <f>HYPERLINK(Table543384[[#This Row],[Column1]])</f>
        <v/>
      </c>
    </row>
    <row r="19" ht="45" customHeight="1" s="314">
      <c r="A19" s="35" t="inlineStr">
        <is>
          <t>XTOOL D5 Car Code Reader and Reset Tool, Engine ABS SRS Transmission Car Diagnostic Tool with EPB Service, ABS Bleed, Throttle Relearn, Clear Check Engine Light Code Reader with 10 Resets, Free Update</t>
        </is>
      </c>
      <c r="B19" s="35" t="inlineStr">
        <is>
          <t>B0DFCJHPR5</t>
        </is>
      </c>
      <c r="C19" s="35" t="inlineStr">
        <is>
          <t>Tablet</t>
        </is>
      </c>
      <c r="D19" s="359" t="n">
        <v>133.6657519788918</v>
      </c>
      <c r="E19" s="66" t="n">
        <v>429729.9792307693</v>
      </c>
      <c r="F19" s="67" t="n">
        <v>50659.32</v>
      </c>
      <c r="G19" s="68" t="n">
        <v>2779</v>
      </c>
      <c r="H19" s="68" t="n">
        <v>379</v>
      </c>
      <c r="I19" s="68" t="n">
        <v>145</v>
      </c>
      <c r="J19" s="69" t="n">
        <v>4.1</v>
      </c>
      <c r="K19" s="69" t="inlineStr">
        <is>
          <t>https://amazon.com/dp/B0DFCJHPR5</t>
        </is>
      </c>
      <c r="L19" s="114">
        <f>HYPERLINK(Table543384[[#This Row],[Column1]])</f>
        <v/>
      </c>
    </row>
    <row r="20" ht="45" customHeight="1" s="314">
      <c r="A20" s="35" t="inlineStr">
        <is>
          <t>XTOOL IP919 PRO 2.0V 10''OE Level Scan Tool, Topology Mapping OBD2 Scanner with Bidirectional Test, 51+ Reset, Upgrade of D9S PRO, Automotive Scanner for Car, ADAS Diagnostic Scanner, FCA/CAN FD/DoIP</t>
        </is>
      </c>
      <c r="B20" s="35" t="inlineStr">
        <is>
          <t>B0DBLQXQ6W</t>
        </is>
      </c>
      <c r="C20" s="35" t="inlineStr">
        <is>
          <t>Tablet</t>
        </is>
      </c>
      <c r="D20" s="359" t="n">
        <v>1474.73875</v>
      </c>
      <c r="E20" s="66" t="n">
        <v>797173.383846154</v>
      </c>
      <c r="F20" s="67" t="n">
        <v>47191.64</v>
      </c>
      <c r="G20" s="68" t="n">
        <v>489</v>
      </c>
      <c r="H20" s="68" t="n">
        <v>32</v>
      </c>
      <c r="I20" s="68" t="n">
        <v>72</v>
      </c>
      <c r="J20" s="69" t="n">
        <v>4.4</v>
      </c>
      <c r="K20" s="69" t="inlineStr">
        <is>
          <t>https://amazon.com/dp/B0DBLQXQ6W</t>
        </is>
      </c>
      <c r="L20" s="114">
        <f>HYPERLINK(Table543384[[#This Row],[Column1]])</f>
        <v/>
      </c>
    </row>
    <row r="21" ht="45" customHeight="1" s="314">
      <c r="A21" s="35" t="inlineStr">
        <is>
          <t>XTOOL D7W Wireless OBD2 Scanner Diagnostic Tool 2026 AI-Assisted Bidirectional Scan Tool Upgraded of D7/D7S/D7BT, ECU C0ding, 39+ Resets, CAN FD &amp; DoIP, All System Scanner for Car, 3-Yr Update</t>
        </is>
      </c>
      <c r="B21" s="35" t="inlineStr">
        <is>
          <t>B0D9PFD382</t>
        </is>
      </c>
      <c r="C21" s="35" t="inlineStr">
        <is>
          <t>Tablet</t>
        </is>
      </c>
      <c r="D21" s="359" t="n">
        <v>451.175376344086</v>
      </c>
      <c r="E21" s="66" t="n">
        <v>261949.38</v>
      </c>
      <c r="F21" s="67" t="n">
        <v>41959.31</v>
      </c>
      <c r="G21" s="68" t="n">
        <v>569</v>
      </c>
      <c r="H21" s="68" t="n">
        <v>93</v>
      </c>
      <c r="I21" s="68" t="n">
        <v>54</v>
      </c>
      <c r="J21" s="69" t="n">
        <v>4.4</v>
      </c>
      <c r="K21" s="69" t="inlineStr">
        <is>
          <t>https://amazon.com/dp/B0D9PFD382</t>
        </is>
      </c>
      <c r="L21" s="114">
        <f>HYPERLINK(Table543384[[#This Row],[Column1]])</f>
        <v/>
      </c>
    </row>
    <row r="22" ht="45" customHeight="1" s="314">
      <c r="A22" s="35" t="inlineStr">
        <is>
          <t>XTOOL D6 OBD2 Scanner Diagnostic Tool with Lifetime Free Updates: 2026 Full System Scan Tool with 15 Resets, Crank Sensor/Throttle Relearn, EPB, Oil Reset, ABS Bleed, FCA &amp; CAN FD, Upgrade of D5S</t>
        </is>
      </c>
      <c r="B22" s="35" t="inlineStr">
        <is>
          <t>B0FP51N9MQ</t>
        </is>
      </c>
      <c r="C22" s="35" t="inlineStr">
        <is>
          <t>Tablet</t>
        </is>
      </c>
      <c r="D22" s="359" t="n">
        <v>188.1964935064935</v>
      </c>
      <c r="E22" s="66" t="n">
        <v>305089.5123076923</v>
      </c>
      <c r="F22" s="67" t="n">
        <v>28982.26</v>
      </c>
      <c r="G22" s="68" t="n">
        <v>687</v>
      </c>
      <c r="H22" s="68" t="n">
        <v>154</v>
      </c>
      <c r="I22" s="68" t="n">
        <v>42</v>
      </c>
      <c r="J22" s="69" t="n">
        <v>4.5</v>
      </c>
      <c r="K22" s="69" t="inlineStr">
        <is>
          <t>https://amazon.com/dp/B0FP51N9MQ</t>
        </is>
      </c>
      <c r="L22" s="114">
        <f>HYPERLINK(Table543384[[#This Row],[Column1]])</f>
        <v/>
      </c>
    </row>
    <row r="23" ht="45" customHeight="1" s="314">
      <c r="A23" s="35" t="inlineStr">
        <is>
          <t>XTOOL D7S OBD2 Scanner Diagnostic Tool 2026 AI-Assisted Bidirectional Scan Tool Ver. of D7 with ECU C0ding, Active Test, FCA, All-System 39+ Resets, EPB, Crankshaft Relearn, DoIP/CAN FD, 3-Yr Update</t>
        </is>
      </c>
      <c r="B23" s="35" t="inlineStr">
        <is>
          <t>B098L8FWGN</t>
        </is>
      </c>
      <c r="C23" s="35" t="inlineStr">
        <is>
          <t>Tablet</t>
        </is>
      </c>
      <c r="D23" s="359" t="n">
        <v>395.3752054794521</v>
      </c>
      <c r="E23" s="66" t="n">
        <v>556694.1</v>
      </c>
      <c r="F23" s="67" t="n">
        <v>28862.39</v>
      </c>
      <c r="G23" s="68" t="n">
        <v>1342</v>
      </c>
      <c r="H23" s="68" t="n">
        <v>73</v>
      </c>
      <c r="I23" s="68" t="n">
        <v>539</v>
      </c>
      <c r="J23" s="69" t="n">
        <v>4.3</v>
      </c>
      <c r="K23" s="69" t="inlineStr">
        <is>
          <t>https://amazon.com/dp/B098L8FWGN</t>
        </is>
      </c>
      <c r="L23" s="114">
        <f>HYPERLINK(Table543384[[#This Row],[Column1]])</f>
        <v/>
      </c>
    </row>
    <row r="24" ht="45" customHeight="1" s="314">
      <c r="A24" s="35" t="inlineStr">
        <is>
          <t>XTOOL IP616 V2.0 Bidirectional Scan Tool with Lifetime Free Updates, AI-Assisted Full System OBD2 Scanner Diagnostic Tool with 34+ Reset Services, Active Test, CAN FD &amp; DoIP, FCA AutoAuth, Android 10</t>
        </is>
      </c>
      <c r="B24" s="35" t="inlineStr">
        <is>
          <t>B0B8H2C4WH</t>
        </is>
      </c>
      <c r="C24" s="35" t="inlineStr">
        <is>
          <t>Tablet</t>
        </is>
      </c>
      <c r="D24" s="359" t="n">
        <v>324.2433333333333</v>
      </c>
      <c r="E24" s="66" t="n">
        <v>189475.2853846154</v>
      </c>
      <c r="F24" s="67" t="n">
        <v>24318.25</v>
      </c>
      <c r="G24" s="68" t="n">
        <v>473</v>
      </c>
      <c r="H24" s="68" t="n">
        <v>75</v>
      </c>
      <c r="I24" s="68" t="n">
        <v>200</v>
      </c>
      <c r="J24" s="69" t="n">
        <v>4.2</v>
      </c>
      <c r="K24" s="69" t="inlineStr">
        <is>
          <t>https://amazon.com/dp/B0B8H2C4WH</t>
        </is>
      </c>
      <c r="L24" s="114">
        <f>HYPERLINK(Table543384[[#This Row],[Column1]])</f>
        <v/>
      </c>
    </row>
    <row r="25" ht="45" customHeight="1" s="314">
      <c r="A25" s="35" t="inlineStr">
        <is>
          <t>XTOOL D7W OBD2 Scanner Diagnostic Tool: 2026 Wireless Ver. of D7/D7S/D7BT, AI-Assisted Bidirectional Scan Tool with Full System Diagnostic, PMI, ECU Coding, 39+ Resets, CAN FD/DoIP, Scanner for Car</t>
        </is>
      </c>
      <c r="B25" s="35" t="inlineStr">
        <is>
          <t>B099K7SSTQ</t>
        </is>
      </c>
      <c r="C25" s="35" t="inlineStr">
        <is>
          <t>Tablet</t>
        </is>
      </c>
      <c r="D25" s="359" t="n">
        <v>500.2091489361703</v>
      </c>
      <c r="E25" s="66" t="n">
        <v>538088.3100000001</v>
      </c>
      <c r="F25" s="67" t="n">
        <v>23509.83</v>
      </c>
      <c r="G25" s="68" t="n">
        <v>1155</v>
      </c>
      <c r="H25" s="68" t="n">
        <v>47</v>
      </c>
      <c r="I25" s="68" t="n">
        <v>515</v>
      </c>
      <c r="J25" s="69" t="n">
        <v>4.3</v>
      </c>
      <c r="K25" s="69" t="inlineStr">
        <is>
          <t>https://amazon.com/dp/B099K7SSTQ</t>
        </is>
      </c>
      <c r="L25" s="114">
        <f>HYPERLINK(Table543384[[#This Row],[Column1]])</f>
        <v/>
      </c>
    </row>
    <row r="26" ht="45" customHeight="1" s="314">
      <c r="A26" s="35" t="inlineStr">
        <is>
          <t>XTOOL D9S PRO Scan Tool with ECU Programming/Coding: 2026 AI-Assisted Wireless Automotive Diagnostic Scanner with Bidirectional, Topology Map, 45+ Services, FCA/DoIP/CAN FD, Full System, 3-Year Update</t>
        </is>
      </c>
      <c r="B26" s="35" t="inlineStr">
        <is>
          <t>B0BGL2YY8J</t>
        </is>
      </c>
      <c r="C26" s="35" t="inlineStr">
        <is>
          <t>Tablet</t>
        </is>
      </c>
      <c r="D26" s="359" t="n">
        <v>1354.843529411765</v>
      </c>
      <c r="E26" s="66" t="n">
        <v>433645.1200000001</v>
      </c>
      <c r="F26" s="67" t="n">
        <v>23032.34</v>
      </c>
      <c r="G26" s="68" t="n">
        <v>331</v>
      </c>
      <c r="H26" s="68" t="n">
        <v>17</v>
      </c>
      <c r="I26" s="68" t="n">
        <v>124</v>
      </c>
      <c r="J26" s="69" t="n">
        <v>4.3</v>
      </c>
      <c r="K26" s="69" t="inlineStr">
        <is>
          <t>https://amazon.com/dp/B0BGL2YY8J</t>
        </is>
      </c>
      <c r="L26" s="114">
        <f>HYPERLINK(Table543384[[#This Row],[Column1]])</f>
        <v/>
      </c>
    </row>
    <row r="27" ht="45" customHeight="1" s="314">
      <c r="A27" s="35" t="inlineStr">
        <is>
          <t>XTOOL D8W Wireless OBD2 Scanner Diagnostic Tool 2026 AI-Assisted Bidirectional Scan Tool with Topology Mapping, ECU C0ding, 42+ Resets, CAN FD &amp; DoIP, All System Scanner for Car, 3-Yr Update</t>
        </is>
      </c>
      <c r="B27" s="35" t="inlineStr">
        <is>
          <t>B09N8LKGCY</t>
        </is>
      </c>
      <c r="C27" s="35" t="inlineStr">
        <is>
          <t>Tablet</t>
        </is>
      </c>
      <c r="D27" s="359" t="n">
        <v>615.3888888888889</v>
      </c>
      <c r="E27" s="66" t="n">
        <v>449129.91</v>
      </c>
      <c r="F27" s="67" t="n">
        <v>22154</v>
      </c>
      <c r="G27" s="68" t="n">
        <v>721</v>
      </c>
      <c r="H27" s="68" t="n">
        <v>36</v>
      </c>
      <c r="I27" s="68" t="n">
        <v>359</v>
      </c>
      <c r="J27" s="69" t="n">
        <v>4.2</v>
      </c>
      <c r="K27" s="69" t="inlineStr">
        <is>
          <t>https://amazon.com/dp/B09N8LKGCY</t>
        </is>
      </c>
      <c r="L27" s="114">
        <f>HYPERLINK(Table543384[[#This Row],[Column1]])</f>
        <v/>
      </c>
    </row>
    <row r="28" ht="45" customHeight="1" s="314">
      <c r="A28" s="35" t="inlineStr">
        <is>
          <t>XTOOL IP500 for Toyota OBD2 Scanner, Full Systems Bi-Directional Scan Tool for Toyota/Lexus/Scion with Multi-in-One Live Data Graph, All Reset Services-(Injector Coding/EPB/ABS), Lifetime Free Update</t>
        </is>
      </c>
      <c r="B28" s="35" t="inlineStr">
        <is>
          <t>B0DG2GTGD5</t>
        </is>
      </c>
      <c r="C28" s="35" t="inlineStr">
        <is>
          <t>Tablet</t>
        </is>
      </c>
      <c r="D28" s="359" t="n">
        <v>189.3855652173913</v>
      </c>
      <c r="E28" s="66" t="n">
        <v>116468.03</v>
      </c>
      <c r="F28" s="67" t="n">
        <v>21779.34</v>
      </c>
      <c r="G28" s="68" t="n">
        <v>672</v>
      </c>
      <c r="H28" s="68" t="n">
        <v>115</v>
      </c>
      <c r="I28" s="68" t="n">
        <v>47</v>
      </c>
      <c r="J28" s="69" t="n">
        <v>4.2</v>
      </c>
      <c r="K28" s="69" t="inlineStr">
        <is>
          <t>https://amazon.com/dp/B0DG2GTGD5</t>
        </is>
      </c>
      <c r="L28" s="114">
        <f>HYPERLINK(Table543384[[#This Row],[Column1]])</f>
        <v/>
      </c>
    </row>
    <row r="29" ht="45" customHeight="1" s="314">
      <c r="A29" s="35" t="inlineStr">
        <is>
          <t>XTOOL IP500 for GM OBD2 Scanner, Bidirectional Scan Tool with Full Systems Diagnostic for Buick/Chevy/Cadillac/GMC, Diagnostic Scanner with All Services-Oil/ABS Bleed/Crank Relearn, Lifetime Update</t>
        </is>
      </c>
      <c r="B29" s="35" t="inlineStr">
        <is>
          <t>B0DKTH45K2</t>
        </is>
      </c>
      <c r="C29" s="35" t="inlineStr">
        <is>
          <t>Tablet</t>
        </is>
      </c>
      <c r="D29" s="359" t="n">
        <v>180.9245614035088</v>
      </c>
      <c r="E29" s="66" t="n">
        <v>310902.66</v>
      </c>
      <c r="F29" s="67" t="n">
        <v>20625.4</v>
      </c>
      <c r="G29" s="68" t="n">
        <v>1752</v>
      </c>
      <c r="H29" s="68" t="n">
        <v>114</v>
      </c>
      <c r="I29" s="68" t="n">
        <v>88</v>
      </c>
      <c r="J29" s="69" t="n">
        <v>4</v>
      </c>
      <c r="K29" s="69" t="inlineStr">
        <is>
          <t>https://amazon.com/dp/B0DKTH45K2</t>
        </is>
      </c>
      <c r="L29" s="114">
        <f>HYPERLINK(Table543384[[#This Row],[Column1]])</f>
        <v/>
      </c>
    </row>
    <row r="30" ht="60" customHeight="1" s="314">
      <c r="A30" s="35" t="inlineStr">
        <is>
          <t>XTOOL D9 MAX AI-Assisted Automotive Diagnostic Scanner, J2534 Reprogramming Tool, Wireless Bidirectional Scan Tool, OBD2 Scanner with Topology Mapping, 45+ Relearns, ECU Coding, FCA/DoIP/CAN FD</t>
        </is>
      </c>
      <c r="B30" s="35" t="inlineStr">
        <is>
          <t>B0FMRVF9N7</t>
        </is>
      </c>
      <c r="C30" s="35" t="inlineStr">
        <is>
          <t>Tablet</t>
        </is>
      </c>
      <c r="D30" s="359" t="n">
        <v>1660.060833333333</v>
      </c>
      <c r="E30" s="66" t="n">
        <v>170439.213076923</v>
      </c>
      <c r="F30" s="67" t="n">
        <v>19920.73</v>
      </c>
      <c r="G30" s="68" t="n">
        <v>26</v>
      </c>
      <c r="H30" s="68" t="n">
        <v>12</v>
      </c>
      <c r="I30" s="68" t="n">
        <v>2</v>
      </c>
      <c r="J30" s="69" t="n">
        <v>5</v>
      </c>
      <c r="K30" s="69" t="inlineStr">
        <is>
          <t>https://amazon.com/dp/B0FMRVF9N7</t>
        </is>
      </c>
      <c r="L30" s="114">
        <f>HYPERLINK(Table543384[[#This Row],[Column1]])</f>
        <v/>
      </c>
    </row>
    <row r="31" ht="45" customHeight="1" s="314">
      <c r="A31" s="35" t="inlineStr">
        <is>
          <t>XTOOL IP500 for Jeep OBD2 Scanner, Full Systems Bi-Directional Scan Tool for Jeep/Dodge/Chrysler, with FCA AutoAuth, OBD2 Scanner Diagnostic Tool with All Reset -(Injector/EPB/ABS/BMS),Lifetime Update</t>
        </is>
      </c>
      <c r="B31" s="35" t="inlineStr">
        <is>
          <t>B0DG2FKQ5W</t>
        </is>
      </c>
      <c r="C31" s="35" t="inlineStr">
        <is>
          <t>Tablet</t>
        </is>
      </c>
      <c r="D31" s="359" t="n">
        <v>189.4546666666667</v>
      </c>
      <c r="E31" s="66" t="n">
        <v>131247.92</v>
      </c>
      <c r="F31" s="67" t="n">
        <v>19892.74</v>
      </c>
      <c r="G31" s="68" t="n">
        <v>756</v>
      </c>
      <c r="H31" s="68" t="n">
        <v>105</v>
      </c>
      <c r="I31" s="68" t="n">
        <v>40</v>
      </c>
      <c r="J31" s="69" t="n">
        <v>3.8</v>
      </c>
      <c r="K31" s="69" t="inlineStr">
        <is>
          <t>https://amazon.com/dp/B0DG2FKQ5W</t>
        </is>
      </c>
      <c r="L31" s="114">
        <f>HYPERLINK(Table543384[[#This Row],[Column1]])</f>
        <v/>
      </c>
    </row>
    <row r="32" ht="45" customHeight="1" s="314">
      <c r="A32" s="35" t="inlineStr">
        <is>
          <t>XTOOL X100 MAX AI-Assisted Bidirectional Scan Tool with ECU Pr0gramming &amp; C0ding, Wireless Automotive Diagnostic Tool with Topology Map and [KC501 Adapter], 42+ Resets, FCA/CAN FD/DoIP, 2-Year Updates</t>
        </is>
      </c>
      <c r="B32" s="35" t="inlineStr">
        <is>
          <t>B0FJXVCGSS</t>
        </is>
      </c>
      <c r="C32" s="35" t="inlineStr">
        <is>
          <t>Tablet</t>
        </is>
      </c>
      <c r="D32" s="359" t="n">
        <v>1199.123571428571</v>
      </c>
      <c r="E32" s="66" t="n">
        <v>144905.7307692308</v>
      </c>
      <c r="F32" s="67" t="n">
        <v>16787.73</v>
      </c>
      <c r="G32" s="68" t="n">
        <v>50</v>
      </c>
      <c r="H32" s="68" t="n">
        <v>14</v>
      </c>
      <c r="I32" s="68" t="n">
        <v>1</v>
      </c>
      <c r="J32" s="69" t="n">
        <v>5</v>
      </c>
      <c r="K32" s="69" t="inlineStr">
        <is>
          <t>https://amazon.com/dp/B0FJXVCGSS</t>
        </is>
      </c>
      <c r="L32" s="114">
        <f>HYPERLINK(Table543384[[#This Row],[Column1]])</f>
        <v/>
      </c>
    </row>
    <row r="33" ht="45" customHeight="1" s="314">
      <c r="A33" s="35" t="inlineStr">
        <is>
          <t>XTOOL IP919 MAX OBD2 Scanner with J2534 Pr0gramming Scan Tool, Topology Map, 51+Resets, ECU C0ding, Upgrade of IP919 PRO, AutoAuth for FCA, CAN FD/DoIP, All System Bidirectional Scanner, 3-y Update</t>
        </is>
      </c>
      <c r="B33" s="35" t="inlineStr">
        <is>
          <t>B09PYMMH86</t>
        </is>
      </c>
      <c r="C33" s="35" t="inlineStr">
        <is>
          <t>Tablet</t>
        </is>
      </c>
      <c r="D33" s="359" t="n">
        <v>1854.542222222222</v>
      </c>
      <c r="E33" s="66" t="n">
        <v>224769.3646153846</v>
      </c>
      <c r="F33" s="67" t="n">
        <v>16690.88</v>
      </c>
      <c r="G33" s="68" t="n">
        <v>82</v>
      </c>
      <c r="H33" s="68" t="n">
        <v>9</v>
      </c>
      <c r="I33" s="68" t="n">
        <v>15</v>
      </c>
      <c r="J33" s="69" t="n">
        <v>3.6</v>
      </c>
      <c r="K33" s="69" t="inlineStr">
        <is>
          <t>https://amazon.com/dp/B09PYMMH86</t>
        </is>
      </c>
      <c r="L33" s="114">
        <f>HYPERLINK(Table543384[[#This Row],[Column1]])</f>
        <v/>
      </c>
    </row>
    <row r="34" ht="45" customHeight="1" s="314">
      <c r="A34" s="35" t="inlineStr">
        <is>
          <t>XTOOL Scanner D9S PRO, AI-Assisted, ECU Pr0gramming/C0ding Scan Tool with Bidirectional Control, Topology Map, with 45+ Resets, OE-Level Full System, PMI, FCA/CAN FD/DoIP, 3-Yr Update</t>
        </is>
      </c>
      <c r="B34" s="35" t="inlineStr">
        <is>
          <t>B0BNHG61Q3</t>
        </is>
      </c>
      <c r="C34" s="35" t="inlineStr">
        <is>
          <t>Tablet</t>
        </is>
      </c>
      <c r="D34" s="359" t="n">
        <v>1386.8475</v>
      </c>
      <c r="E34" s="66" t="n">
        <v>216598.51</v>
      </c>
      <c r="F34" s="67" t="n">
        <v>16642.17</v>
      </c>
      <c r="G34" s="68" t="n">
        <v>161</v>
      </c>
      <c r="H34" s="68" t="n">
        <v>12</v>
      </c>
      <c r="I34" s="68" t="n">
        <v>63</v>
      </c>
      <c r="J34" s="69" t="n">
        <v>4</v>
      </c>
      <c r="K34" s="69" t="inlineStr">
        <is>
          <t>https://amazon.com/dp/B0BNHG61Q3</t>
        </is>
      </c>
      <c r="L34" s="114">
        <f>HYPERLINK(Table543384[[#This Row],[Column1]])</f>
        <v/>
      </c>
    </row>
    <row r="35" ht="60" customHeight="1" s="314">
      <c r="A35" s="35" t="inlineStr">
        <is>
          <t>XTOOL IP500 2.0 for BMW OBD2 Scanner, Full Systems Bidirectional Scan Tool with ECU C0ding, Battery Registration Tool for BMW/MiNi/RR, All Services-(Injector C0ding/BMS/ABS), Lifetime Free Update</t>
        </is>
      </c>
      <c r="B35" s="35" t="inlineStr">
        <is>
          <t>B0DG2H3XP4</t>
        </is>
      </c>
      <c r="C35" s="35" t="inlineStr">
        <is>
          <t>Tablet</t>
        </is>
      </c>
      <c r="D35" s="359" t="n">
        <v>159.6906172839506</v>
      </c>
      <c r="E35" s="66" t="n">
        <v>162083.06</v>
      </c>
      <c r="F35" s="67" t="n">
        <v>12934.94</v>
      </c>
      <c r="G35" s="68" t="n">
        <v>1049</v>
      </c>
      <c r="H35" s="68" t="n">
        <v>81</v>
      </c>
      <c r="I35" s="68" t="n">
        <v>64</v>
      </c>
      <c r="J35" s="69" t="n">
        <v>4.4</v>
      </c>
      <c r="K35" s="69" t="inlineStr">
        <is>
          <t>https://amazon.com/dp/B0DG2H3XP4</t>
        </is>
      </c>
      <c r="L35" s="114">
        <f>HYPERLINK(Table543384[[#This Row],[Column1]])</f>
        <v/>
      </c>
    </row>
    <row r="36" ht="45" customHeight="1" s="314">
      <c r="A36" s="35" t="inlineStr">
        <is>
          <t>XTOOL Scanner D9S 2.0, AI-Assisted Bidirectional Scan Tool with ECU C0ding, Wireless Automotive Diagnostic Tool with Topology Map, PMI, 45+ Resets, FCA/CAN FD/DoIP, 3-Year Update</t>
        </is>
      </c>
      <c r="B36" s="35" t="inlineStr">
        <is>
          <t>B09LYZ26PX</t>
        </is>
      </c>
      <c r="C36" s="35" t="inlineStr">
        <is>
          <t>Tablet</t>
        </is>
      </c>
      <c r="D36" s="359" t="n">
        <v>1064.854</v>
      </c>
      <c r="E36" s="66" t="n">
        <v>251295.15</v>
      </c>
      <c r="F36" s="67" t="n">
        <v>10648.54</v>
      </c>
      <c r="G36" s="68" t="n">
        <v>254</v>
      </c>
      <c r="H36" s="68" t="n">
        <v>10</v>
      </c>
      <c r="I36" s="68" t="n">
        <v>104</v>
      </c>
      <c r="J36" s="69" t="n">
        <v>4.5</v>
      </c>
      <c r="K36" s="69" t="inlineStr">
        <is>
          <t>https://amazon.com/dp/B09LYZ26PX</t>
        </is>
      </c>
      <c r="L36" s="114">
        <f>HYPERLINK(Table543384[[#This Row],[Column1]])</f>
        <v/>
      </c>
    </row>
    <row r="37" ht="60" customHeight="1" s="314">
      <c r="A37" s="35" t="inlineStr">
        <is>
          <t>XTOOL Advancer AD20 Pro AI-Assisted Wireless OBD2 Scanner Diagnostic Tool, Car Code Reader for iPhone&amp;Android, All System Scan Tool with Free Updates -Check Engine, Oil Reset, Performance/Battery Test</t>
        </is>
      </c>
      <c r="B37" s="35" t="inlineStr">
        <is>
          <t>B0BRKQRS2P</t>
        </is>
      </c>
      <c r="C37" s="35" t="inlineStr">
        <is>
          <t>Dongle</t>
        </is>
      </c>
      <c r="D37" s="359" t="n">
        <v>43.43967346938775</v>
      </c>
      <c r="E37" s="66" t="n">
        <v>167027.85</v>
      </c>
      <c r="F37" s="67" t="n">
        <v>10642.72</v>
      </c>
      <c r="G37" s="68" t="n">
        <v>3595</v>
      </c>
      <c r="H37" s="68" t="n">
        <v>245</v>
      </c>
      <c r="I37" s="68" t="n">
        <v>687</v>
      </c>
      <c r="J37" s="69" t="n">
        <v>4.3</v>
      </c>
      <c r="K37" s="69" t="inlineStr">
        <is>
          <t>https://amazon.com/dp/B0BRKQRS2P</t>
        </is>
      </c>
      <c r="L37" s="114">
        <f>HYPERLINK(Table543384[[#This Row],[Column1]])</f>
        <v/>
      </c>
    </row>
    <row r="38" ht="45" customHeight="1" s="314">
      <c r="A38" s="35" t="inlineStr">
        <is>
          <t>XTOOL IP900BT OBD2 Scanner Diagnostic Tool, ECU C0ding Automative Scanner, AI-Assisted Wireless Scan Tool with 41+ Reset, 4000+ Bidirectional Scanner for Car, CAN FD/DoIP/FCA, 3-Y Update</t>
        </is>
      </c>
      <c r="B38" s="35" t="inlineStr">
        <is>
          <t>B09KZZT818</t>
        </is>
      </c>
      <c r="C38" s="35" t="inlineStr">
        <is>
          <t>Tablet</t>
        </is>
      </c>
      <c r="D38" s="359" t="n">
        <v>586.1</v>
      </c>
      <c r="E38" s="66" t="n">
        <v>107768.1084615384</v>
      </c>
      <c r="F38" s="67" t="n">
        <v>8791.5</v>
      </c>
      <c r="G38" s="68" t="n">
        <v>31</v>
      </c>
      <c r="H38" s="68" t="n">
        <v>15</v>
      </c>
      <c r="I38" s="68" t="n">
        <v>141</v>
      </c>
      <c r="J38" s="69" t="n">
        <v>4.3</v>
      </c>
      <c r="K38" s="69" t="inlineStr">
        <is>
          <t>https://amazon.com/dp/B09KZZT818</t>
        </is>
      </c>
      <c r="L38" s="114">
        <f>HYPERLINK(Table543384[[#This Row],[Column1]])</f>
        <v/>
      </c>
    </row>
    <row r="39" ht="45" customHeight="1" s="314">
      <c r="A39" s="35" t="inlineStr">
        <is>
          <t>XTOOL D9S Topology Mapping OBD2 Scanner, Wireless ECU Coding &amp; Bidirectional Automotive Diagnostic Scan Tool, PMI for Ford, AI-Assisted, 45+ Resets, 8 PIDs Live Data, FCA, Full System, 3-Year Updates</t>
        </is>
      </c>
      <c r="B39" s="35" t="inlineStr">
        <is>
          <t>B0BHYRQ5WZ</t>
        </is>
      </c>
      <c r="C39" s="35" t="inlineStr">
        <is>
          <t>Tablet</t>
        </is>
      </c>
      <c r="D39" s="359" t="n">
        <v>971.688888888889</v>
      </c>
      <c r="E39" s="66" t="n">
        <v>155753.4</v>
      </c>
      <c r="F39" s="67" t="n">
        <v>8745.200000000001</v>
      </c>
      <c r="G39" s="68" t="n">
        <v>147</v>
      </c>
      <c r="H39" s="68" t="n">
        <v>9</v>
      </c>
      <c r="I39" s="68" t="n">
        <v>88</v>
      </c>
      <c r="J39" s="69" t="n">
        <v>4.3</v>
      </c>
      <c r="K39" s="69" t="inlineStr">
        <is>
          <t>https://amazon.com/dp/B0BHYRQ5WZ</t>
        </is>
      </c>
      <c r="L39" s="114">
        <f>HYPERLINK(Table543384[[#This Row],[Column1]])</f>
        <v/>
      </c>
    </row>
    <row r="40" ht="45" customHeight="1" s="314">
      <c r="A40" s="35" t="inlineStr">
        <is>
          <t>XTOOL IP919 AI-Assisted Diagnostic Scanner for Car, 2026 Ver.Bidirectional Scan Tool with Topology Map, ECU C0ding,8-Core Processor, 51+ Resets, All System OBD2 Scanner, 3-Y Free Update</t>
        </is>
      </c>
      <c r="B40" s="35" t="inlineStr">
        <is>
          <t>B0DBLMWKWW</t>
        </is>
      </c>
      <c r="C40" s="35" t="inlineStr">
        <is>
          <t>Tablet</t>
        </is>
      </c>
      <c r="D40" s="359" t="n">
        <v>1356.41</v>
      </c>
      <c r="E40" s="66" t="n">
        <v>91569.65999999997</v>
      </c>
      <c r="F40" s="67" t="n">
        <v>8138.46</v>
      </c>
      <c r="G40" s="68" t="n">
        <v>71</v>
      </c>
      <c r="H40" s="68" t="n">
        <v>6</v>
      </c>
      <c r="I40" s="68" t="n">
        <v>22</v>
      </c>
      <c r="J40" s="69" t="n">
        <v>4.2</v>
      </c>
      <c r="K40" s="69" t="inlineStr">
        <is>
          <t>https://amazon.com/dp/B0DBLMWKWW</t>
        </is>
      </c>
      <c r="L40" s="114">
        <f>HYPERLINK(Table543384[[#This Row],[Column1]])</f>
        <v/>
      </c>
    </row>
    <row r="41" ht="45" customHeight="1" s="314">
      <c r="A41" s="35" t="inlineStr">
        <is>
          <t>XTOOL X100 PAD3 AI-Assisted Scan Tool &amp; Pr0grammer Tool with [KC100+EEPROM Adapter Kit], All System Bidirectional OBD2 Scanner with FCA AutoAuth, 38+ Resets, ECU C0ding, CAN FD &amp; DOIP, 2 Years Update</t>
        </is>
      </c>
      <c r="B41" s="35" t="inlineStr">
        <is>
          <t>B0FJS2RKX9</t>
        </is>
      </c>
      <c r="C41" s="35" t="inlineStr">
        <is>
          <t>Tablet</t>
        </is>
      </c>
      <c r="D41" s="359" t="n">
        <v>763.4122222222222</v>
      </c>
      <c r="E41" s="66" t="n">
        <v>81381.61923076924</v>
      </c>
      <c r="F41" s="67" t="n">
        <v>6870.71</v>
      </c>
      <c r="G41" s="68" t="n">
        <v>54</v>
      </c>
      <c r="H41" s="68" t="n">
        <v>9</v>
      </c>
      <c r="I41" s="68" t="n">
        <v>3</v>
      </c>
      <c r="J41" s="69" t="n">
        <v>5</v>
      </c>
      <c r="K41" s="69" t="inlineStr">
        <is>
          <t>https://amazon.com/dp/B0FJS2RKX9</t>
        </is>
      </c>
      <c r="L41" s="114">
        <f>HYPERLINK(Table543384[[#This Row],[Column1]])</f>
        <v/>
      </c>
    </row>
    <row r="42" ht="45" customHeight="1" s="314">
      <c r="A42" s="35" t="inlineStr">
        <is>
          <t>XTOOL IP919 MAX, 2025 Bidirectional scan Tool with J2534 pr0gram ming, Upgrade of IP919 PRO, ECU Pr0gram ming Tool with Topology Map, 51+Resets, ECU C0ding, AutoAuth for FCA, CAN FD/DoIP, 3-y Update</t>
        </is>
      </c>
      <c r="B42" s="35" t="inlineStr">
        <is>
          <t>B0F23MSH56</t>
        </is>
      </c>
      <c r="C42" s="35" t="inlineStr">
        <is>
          <t>Tablet</t>
        </is>
      </c>
      <c r="D42" s="359" t="n">
        <v>2119.683333333333</v>
      </c>
      <c r="E42" s="66" t="n">
        <v>67740.03615384616</v>
      </c>
      <c r="F42" s="67" t="n">
        <v>6359.05</v>
      </c>
      <c r="G42" s="68" t="n">
        <v>13</v>
      </c>
      <c r="H42" s="68" t="n">
        <v>3</v>
      </c>
      <c r="I42" s="68" t="n">
        <v>1</v>
      </c>
      <c r="J42" s="69" t="n">
        <v>5</v>
      </c>
      <c r="K42" s="69" t="inlineStr">
        <is>
          <t>https://amazon.com/dp/B0F23MSH56</t>
        </is>
      </c>
      <c r="L42" s="114">
        <f>HYPERLINK(Table543384[[#This Row],[Column1]])</f>
        <v/>
      </c>
    </row>
    <row r="43" ht="45" customHeight="1" s="314">
      <c r="A43" s="35" t="inlineStr">
        <is>
          <t>XTOOL D7 Bidirectional Scan Tool, 2026 Ai-Assisted Full System OBD2 Scanner Diagnostic Tool for Car with ECU C0ding, Active Tests, FCA, CANFD/DoIP, 36+ Resets, Crank Sensor Relearn, 3 Years Updates</t>
        </is>
      </c>
      <c r="B43" s="35" t="inlineStr">
        <is>
          <t>B0BR81J15L</t>
        </is>
      </c>
      <c r="C43" s="35" t="inlineStr">
        <is>
          <t>Tablet</t>
        </is>
      </c>
      <c r="D43" s="359" t="n">
        <v>413.8808333333333</v>
      </c>
      <c r="E43" s="66" t="n">
        <v>92679.53615384616</v>
      </c>
      <c r="F43" s="67" t="n">
        <v>4966.57</v>
      </c>
      <c r="G43" s="68" t="n">
        <v>213</v>
      </c>
      <c r="H43" s="68" t="n">
        <v>12</v>
      </c>
      <c r="I43" s="68" t="n">
        <v>138</v>
      </c>
      <c r="J43" s="69" t="n">
        <v>4.3</v>
      </c>
      <c r="K43" s="69" t="inlineStr">
        <is>
          <t>https://amazon.com/dp/B0BR81J15L</t>
        </is>
      </c>
      <c r="L43" s="114">
        <f>HYPERLINK(Table543384[[#This Row],[Column1]])</f>
        <v/>
      </c>
    </row>
    <row r="44" ht="45" customHeight="1" s="314">
      <c r="A44" s="35" t="inlineStr">
        <is>
          <t>XTOOL IP900 Bidirectional Scan Tool 2026 Upgraded AI Assisted, OBD2 Scanner Diagnostic Tool, ECU C0ding, 41+ Resets, FCA, CAN FD&amp;DoIP, Pre &amp; Post Scan, All System Scanner for Car, 3-Year Update</t>
        </is>
      </c>
      <c r="B44" s="35" t="inlineStr">
        <is>
          <t>B0BQ3G6W9B</t>
        </is>
      </c>
      <c r="C44" s="35" t="inlineStr">
        <is>
          <t>Tablet</t>
        </is>
      </c>
      <c r="D44" s="359" t="n">
        <v>521.6311111111112</v>
      </c>
      <c r="E44" s="66" t="n">
        <v>82580.55076923077</v>
      </c>
      <c r="F44" s="67" t="n">
        <v>4694.68</v>
      </c>
      <c r="G44" s="68" t="n">
        <v>148</v>
      </c>
      <c r="H44" s="68" t="n">
        <v>9</v>
      </c>
      <c r="I44" s="68" t="n">
        <v>81</v>
      </c>
      <c r="J44" s="69" t="n">
        <v>4.3</v>
      </c>
      <c r="K44" s="69" t="inlineStr">
        <is>
          <t>https://amazon.com/dp/B0BQ3G6W9B</t>
        </is>
      </c>
      <c r="L44" s="114">
        <f>HYPERLINK(Table543384[[#This Row],[Column1]])</f>
        <v/>
      </c>
    </row>
    <row r="45" ht="45" customHeight="1" s="314">
      <c r="A45" s="35" t="inlineStr">
        <is>
          <t>XTOOL IP819 V2.0 Bidirectional Scan Tool, AI Assisted Car Scanner Diagnostic Tool with 39+ Resets, Full System, FCA, CAN FD/DOIP, EPB/ABS/Throttle/Crank Sensor Relearn, 3-Year Free Updates</t>
        </is>
      </c>
      <c r="B45" s="35" t="inlineStr">
        <is>
          <t>B0B8GZ1M6K</t>
        </is>
      </c>
      <c r="C45" s="35" t="inlineStr">
        <is>
          <t>Tablet</t>
        </is>
      </c>
      <c r="D45" s="359" t="n">
        <v>438.7266666666667</v>
      </c>
      <c r="E45" s="66" t="n">
        <v>145761.39</v>
      </c>
      <c r="F45" s="67" t="n">
        <v>3948.54</v>
      </c>
      <c r="G45" s="68" t="n">
        <v>343</v>
      </c>
      <c r="H45" s="68" t="n">
        <v>9</v>
      </c>
      <c r="I45" s="68" t="n">
        <v>91</v>
      </c>
      <c r="J45" s="69" t="n">
        <v>4.2</v>
      </c>
      <c r="K45" s="69" t="inlineStr">
        <is>
          <t>https://amazon.com/dp/B0B8GZ1M6K</t>
        </is>
      </c>
      <c r="L45" s="114">
        <f>HYPERLINK(Table543384[[#This Row],[Column1]])</f>
        <v/>
      </c>
    </row>
    <row r="46" ht="45" customHeight="1" s="314">
      <c r="A46" s="35" t="inlineStr">
        <is>
          <t>XTOOL D9 MAX AI-Assisted Professional Automotive Scan Tool, J2534 Reprogramming Tool, Bidirectional OBD2 Scanner with Topology Mapping, 45+ Relearns, ECU Coding, ADAS Calibration, FCA/DoIP/CAN FD</t>
        </is>
      </c>
      <c r="B46" s="35" t="inlineStr">
        <is>
          <t>B0DXPXS3BM</t>
        </is>
      </c>
      <c r="C46" s="35" t="inlineStr">
        <is>
          <t>Tablet</t>
        </is>
      </c>
      <c r="D46" s="359" t="n">
        <v>1699</v>
      </c>
      <c r="E46" s="66" t="n">
        <v>54236.84692307691</v>
      </c>
      <c r="F46" s="67" t="n">
        <v>3398</v>
      </c>
      <c r="G46" s="68" t="n">
        <v>22</v>
      </c>
      <c r="H46" s="68" t="n">
        <v>2</v>
      </c>
      <c r="I46" s="68" t="n">
        <v>1</v>
      </c>
      <c r="J46" s="69" t="n">
        <v>5</v>
      </c>
      <c r="K46" s="69" t="inlineStr">
        <is>
          <t>https://amazon.com/dp/B0DXPXS3BM</t>
        </is>
      </c>
      <c r="L46" s="114">
        <f>HYPERLINK(Table543384[[#This Row],[Column1]])</f>
        <v/>
      </c>
    </row>
    <row r="47" ht="45" customHeight="1" s="314">
      <c r="A47" s="35" t="inlineStr">
        <is>
          <t>XTOOL TP380 TPMS Programming Tool &amp; OBD2 Scanner: 2026 2-in-1 Car Diagnostic Tool, TPMS Relearn/Reset, 5 System Diagnosis, 13+ Service Functions(Oil/BMS/ABS), Lifetime Free Updates, No Subscription</t>
        </is>
      </c>
      <c r="B47" s="35" t="inlineStr">
        <is>
          <t>B0GLGBH3MZ</t>
        </is>
      </c>
      <c r="C47" s="35" t="inlineStr">
        <is>
          <t>Tablet</t>
        </is>
      </c>
      <c r="D47" s="359" t="n">
        <v>248.92</v>
      </c>
      <c r="E47" s="66" t="n">
        <v>36074.2523076923</v>
      </c>
      <c r="F47" s="67" t="n">
        <v>2987.04</v>
      </c>
      <c r="G47" s="68" t="n">
        <v>12</v>
      </c>
      <c r="H47" s="68" t="n">
        <v>12</v>
      </c>
      <c r="I47" s="68" t="n"/>
      <c r="J47" s="69" t="n"/>
      <c r="K47" s="69" t="inlineStr">
        <is>
          <t>https://amazon.com/dp/B0GLGBH3MZ</t>
        </is>
      </c>
      <c r="L47" s="114">
        <f>HYPERLINK(Table543384[[#This Row],[Column1]])</f>
        <v/>
      </c>
    </row>
    <row r="48" ht="45" customHeight="1" s="314">
      <c r="A48" s="35" t="inlineStr">
        <is>
          <t>XTOOL D7X OBD2 Scanner Diagnostic Tool, 3-Year Updates, Ai-Assisted Bidirectional Scan Tool with 36+Resets, 4000+Active Test, Full System Car Scanner for ABS, Throttle, ECU Coding, FCA,CAN FD</t>
        </is>
      </c>
      <c r="B48" s="35" t="inlineStr">
        <is>
          <t>B0F3C9MF88</t>
        </is>
      </c>
      <c r="C48" s="35" t="inlineStr">
        <is>
          <t>Tablet</t>
        </is>
      </c>
      <c r="D48" s="359" t="n">
        <v>391.1066666666666</v>
      </c>
      <c r="E48" s="66" t="n">
        <v>51247.42769230769</v>
      </c>
      <c r="F48" s="67" t="n">
        <v>2346.64</v>
      </c>
      <c r="G48" s="68" t="n">
        <v>113</v>
      </c>
      <c r="H48" s="68" t="n">
        <v>6</v>
      </c>
      <c r="I48" s="68" t="n">
        <v>3</v>
      </c>
      <c r="J48" s="69" t="n">
        <v>3.7</v>
      </c>
      <c r="K48" s="69" t="inlineStr">
        <is>
          <t>https://amazon.com/dp/B0F3C9MF88</t>
        </is>
      </c>
      <c r="L48" s="114">
        <f>HYPERLINK(Table543384[[#This Row],[Column1]])</f>
        <v/>
      </c>
    </row>
    <row r="49" ht="45" customHeight="1" s="314">
      <c r="A49" s="35" t="inlineStr">
        <is>
          <t>XTOOL KC100, Work with X100 PADS/IK618/X100 PAD3/X100 MAX, D8S/D8W, D9S/D9S PRO, Work Together with XTOOL Automotive Scan Tool</t>
        </is>
      </c>
      <c r="B49" s="35" t="inlineStr">
        <is>
          <t>B0FVSJR6DY</t>
        </is>
      </c>
      <c r="C49" s="35" t="inlineStr">
        <is>
          <t>Key</t>
        </is>
      </c>
      <c r="D49" s="359" t="n">
        <v>282.25</v>
      </c>
      <c r="E49" s="66" t="n">
        <v>24583.82692307692</v>
      </c>
      <c r="F49" s="67" t="n">
        <v>2258</v>
      </c>
      <c r="G49" s="68" t="n">
        <v>13</v>
      </c>
      <c r="H49" s="68" t="n">
        <v>8</v>
      </c>
      <c r="I49" s="68" t="n"/>
      <c r="J49" s="69" t="n"/>
      <c r="K49" s="69" t="inlineStr">
        <is>
          <t>https://amazon.com/dp/B0FVSJR6DY</t>
        </is>
      </c>
      <c r="L49" s="114">
        <f>HYPERLINK(Table543384[[#This Row],[Column1]])</f>
        <v/>
      </c>
    </row>
    <row r="50" ht="45" customHeight="1" s="314">
      <c r="A50" s="35" t="inlineStr">
        <is>
          <t>OBD2 Scanner Diagnostic Tool XTOOL IP508S: Code Reader for Cars &amp; Trucks with 15 Resets, Crank Sensor Relearn, ABS Bleed, CAN FD for GM, Engine, ABS, SRS, Transmission Car Diagnostic Tool, Android 10</t>
        </is>
      </c>
      <c r="B50" s="35" t="inlineStr">
        <is>
          <t>B0BL3125HB</t>
        </is>
      </c>
      <c r="C50" s="35" t="inlineStr">
        <is>
          <t>Tablet</t>
        </is>
      </c>
      <c r="D50" s="359" t="n">
        <v>205.646</v>
      </c>
      <c r="E50" s="66" t="n">
        <v>55863.71999999999</v>
      </c>
      <c r="F50" s="67" t="n">
        <v>2056.46</v>
      </c>
      <c r="G50" s="68" t="n">
        <v>274</v>
      </c>
      <c r="H50" s="68" t="n">
        <v>10</v>
      </c>
      <c r="I50" s="68" t="n">
        <v>147</v>
      </c>
      <c r="J50" s="69" t="n">
        <v>4.2</v>
      </c>
      <c r="K50" s="69" t="inlineStr">
        <is>
          <t>https://amazon.com/dp/B0BL3125HB</t>
        </is>
      </c>
      <c r="L50" s="114">
        <f>HYPERLINK(Table543384[[#This Row],[Column1]])</f>
        <v/>
      </c>
    </row>
    <row r="51" ht="45" customHeight="1" s="314">
      <c r="A51" s="35" t="inlineStr">
        <is>
          <t>OBD2 Scanner Diagnostic Tool XTOOL D6: All System Scanner for Car with Free Updates, 15 Resets, Throttle Body Relearn, ABS Bleed, FCA AutoAuth &amp; CAN FD, 2026 Upgrade Ver. of XTOOL D5/D5S</t>
        </is>
      </c>
      <c r="B51" s="35" t="inlineStr">
        <is>
          <t>B0DFCLSKMB</t>
        </is>
      </c>
      <c r="C51" s="35" t="inlineStr">
        <is>
          <t>Tablet</t>
        </is>
      </c>
      <c r="D51" s="359" t="n">
        <v>247.1975</v>
      </c>
      <c r="E51" s="66" t="n">
        <v>42755.26</v>
      </c>
      <c r="F51" s="67" t="n">
        <v>1977.58</v>
      </c>
      <c r="G51" s="68" t="n">
        <v>183</v>
      </c>
      <c r="H51" s="68" t="n">
        <v>8</v>
      </c>
      <c r="I51" s="68" t="n">
        <v>28</v>
      </c>
      <c r="J51" s="69" t="n">
        <v>4.3</v>
      </c>
      <c r="K51" s="69" t="inlineStr">
        <is>
          <t>https://amazon.com/dp/B0DFCLSKMB</t>
        </is>
      </c>
      <c r="L51" s="114">
        <f>HYPERLINK(Table543384[[#This Row],[Column1]])</f>
        <v/>
      </c>
    </row>
    <row r="52" ht="45" customHeight="1" s="314">
      <c r="A52" s="35" t="inlineStr">
        <is>
          <t>XTOOL AI-Assisted OBD2 Scanner Diagnostic Tool X100 Pads, Upgrade of X100 PAD, All Systems Scan Tool with 32+ Resets, Car Scanner with FCA AutoAuth, CKP Relearn, CANFD/DoIP, for Home Mechanic &amp; DIYer</t>
        </is>
      </c>
      <c r="B52" s="35" t="inlineStr">
        <is>
          <t>B0G5XYCD5M</t>
        </is>
      </c>
      <c r="C52" s="35" t="inlineStr">
        <is>
          <t>Tablet</t>
        </is>
      </c>
      <c r="D52" s="359" t="n">
        <v>391.456</v>
      </c>
      <c r="E52" s="66" t="n">
        <v>23186.91</v>
      </c>
      <c r="F52" s="67" t="n">
        <v>1957.28</v>
      </c>
      <c r="G52" s="68" t="n">
        <v>13</v>
      </c>
      <c r="H52" s="68" t="n">
        <v>5</v>
      </c>
      <c r="I52" s="68" t="n">
        <v>3</v>
      </c>
      <c r="J52" s="69" t="n">
        <v>3</v>
      </c>
      <c r="K52" s="69" t="inlineStr">
        <is>
          <t>https://amazon.com/dp/B0G5XYCD5M</t>
        </is>
      </c>
      <c r="L52" s="114">
        <f>HYPERLINK(Table543384[[#This Row],[Column1]])</f>
        <v/>
      </c>
    </row>
    <row r="53" ht="30" customHeight="1" s="314">
      <c r="A53" s="35" t="inlineStr">
        <is>
          <t>XTOOL Carrying Case for OBD2 Scanner Diagnostic Tool, Waterproof Car Scanner Tool Protective Bag Compatible with D5, D5S, D6, D6S, D7, D7S, TP150, IP508S, IP608, IP616, IP819, Size 11''x 7''x 4''</t>
        </is>
      </c>
      <c r="B53" s="35" t="inlineStr">
        <is>
          <t>B0BNQF6JZK</t>
        </is>
      </c>
      <c r="C53" s="35" t="inlineStr">
        <is>
          <t>Other</t>
        </is>
      </c>
      <c r="D53" s="359" t="n">
        <v>25.08356164383562</v>
      </c>
      <c r="E53" s="66" t="n">
        <v>20461.21615384616</v>
      </c>
      <c r="F53" s="67" t="n">
        <v>1831.1</v>
      </c>
      <c r="G53" s="68" t="n">
        <v>736</v>
      </c>
      <c r="H53" s="68" t="n">
        <v>73</v>
      </c>
      <c r="I53" s="68" t="n">
        <v>65</v>
      </c>
      <c r="J53" s="69" t="n">
        <v>4.9</v>
      </c>
      <c r="K53" s="69" t="inlineStr">
        <is>
          <t>https://amazon.com/dp/B0BNQF6JZK</t>
        </is>
      </c>
      <c r="L53" s="114">
        <f>HYPERLINK(Table543384[[#This Row],[Column1]])</f>
        <v/>
      </c>
    </row>
    <row r="54" ht="45" customHeight="1" s="314">
      <c r="A54" s="35" t="inlineStr">
        <is>
          <t>XTOOL KC501, Work with D8S/D8W, X100 PAD3/X100 PAD3 SE, IK618, X100 MAX/X100 MAX2, D9S/D9S PRO XTOOL Diagnostic Tool</t>
        </is>
      </c>
      <c r="B54" s="35" t="inlineStr">
        <is>
          <t>B0FVSTWRRQ</t>
        </is>
      </c>
      <c r="C54" s="35" t="inlineStr">
        <is>
          <t>Tablet</t>
        </is>
      </c>
      <c r="D54" s="359" t="n">
        <v>604.28</v>
      </c>
      <c r="E54" s="66" t="n">
        <v>20508.21692307693</v>
      </c>
      <c r="F54" s="67" t="n">
        <v>1812.84</v>
      </c>
      <c r="G54" s="68" t="n">
        <v>9</v>
      </c>
      <c r="H54" s="68" t="n">
        <v>3</v>
      </c>
      <c r="I54" s="68" t="n">
        <v>1</v>
      </c>
      <c r="J54" s="69" t="n">
        <v>5</v>
      </c>
      <c r="K54" s="69" t="inlineStr">
        <is>
          <t>https://amazon.com/dp/B0FVSTWRRQ</t>
        </is>
      </c>
      <c r="L54" s="114">
        <f>HYPERLINK(Table543384[[#This Row],[Column1]])</f>
        <v/>
      </c>
    </row>
    <row r="55" ht="45" customHeight="1" s="314">
      <c r="A55" s="35" t="inlineStr">
        <is>
          <t>XTOOL IP819TP Bidirectional OBD2 Scanner with TPMS Relearn &amp; Activation, Wireless Scan Tool with Full TPMS Diagnostic, 36+ Resets, Tire Size Reset, ECU C0ding, TPMS Pr0gramming for TS100 Sensors</t>
        </is>
      </c>
      <c r="B55" s="35" t="inlineStr">
        <is>
          <t>B0FPCLDDS1</t>
        </is>
      </c>
      <c r="C55" s="35" t="inlineStr">
        <is>
          <t>Tablet</t>
        </is>
      </c>
      <c r="D55" s="359" t="n">
        <v>443.54</v>
      </c>
      <c r="E55" s="66" t="n">
        <v>22154.51538461538</v>
      </c>
      <c r="F55" s="67" t="n">
        <v>1774.16</v>
      </c>
      <c r="G55" s="68" t="n">
        <v>16</v>
      </c>
      <c r="H55" s="68" t="n">
        <v>4</v>
      </c>
      <c r="I55" s="68" t="n"/>
      <c r="J55" s="69" t="n"/>
      <c r="K55" s="69" t="inlineStr">
        <is>
          <t>https://amazon.com/dp/B0FPCLDDS1</t>
        </is>
      </c>
      <c r="L55" s="114">
        <f>HYPERLINK(Table543384[[#This Row],[Column1]])</f>
        <v/>
      </c>
    </row>
    <row r="56" ht="45" customHeight="1" s="314">
      <c r="A56" s="35" t="inlineStr">
        <is>
          <t>XTOOL IP900S Bidirectional Scan Tool with Online &amp; Offline Coding, AI-Assisted Full System OBD2 Scanner with Topology Mapping, 41+ Services, CAN FD DoIP FCA Autoauth, Pre &amp; Post Scan, 3-Year Updates</t>
        </is>
      </c>
      <c r="B56" s="35" t="inlineStr">
        <is>
          <t>B0DBLBPZ23</t>
        </is>
      </c>
      <c r="C56" s="35" t="inlineStr">
        <is>
          <t>Tablet</t>
        </is>
      </c>
      <c r="D56" s="359" t="n">
        <v>740.41</v>
      </c>
      <c r="E56" s="66" t="n">
        <v>74476.40000000001</v>
      </c>
      <c r="F56" s="67" t="n">
        <v>1480.82</v>
      </c>
      <c r="G56" s="68" t="n">
        <v>94</v>
      </c>
      <c r="H56" s="68" t="n">
        <v>2</v>
      </c>
      <c r="I56" s="68" t="n">
        <v>24</v>
      </c>
      <c r="J56" s="69" t="n">
        <v>4.5</v>
      </c>
      <c r="K56" s="69" t="inlineStr">
        <is>
          <t>https://amazon.com/dp/B0DBLBPZ23</t>
        </is>
      </c>
      <c r="L56" s="114">
        <f>HYPERLINK(Table543384[[#This Row],[Column1]])</f>
        <v/>
      </c>
    </row>
    <row r="57" ht="45" customHeight="1" s="314">
      <c r="A57" s="35" t="inlineStr">
        <is>
          <t>XTOOL IP608 Full System OBD2 Scanner Diagnostic Tool, Code Reader for Cars and Trucks with 30+ Services - EPB/SAS/BMS/Throttle Relearn/ABS Bleeding, CAN FD, Lifetime Free Update</t>
        </is>
      </c>
      <c r="B57" s="35" t="inlineStr">
        <is>
          <t>B0BW3595H6</t>
        </is>
      </c>
      <c r="C57" s="35" t="inlineStr">
        <is>
          <t>Tablet</t>
        </is>
      </c>
      <c r="D57" s="359" t="n">
        <v>323.0275</v>
      </c>
      <c r="E57" s="66" t="n">
        <v>15908.93</v>
      </c>
      <c r="F57" s="67" t="n">
        <v>1292.11</v>
      </c>
      <c r="G57" s="68" t="n">
        <v>53</v>
      </c>
      <c r="H57" s="68" t="n">
        <v>4</v>
      </c>
      <c r="I57" s="68" t="n">
        <v>96</v>
      </c>
      <c r="J57" s="69" t="n">
        <v>4.4</v>
      </c>
      <c r="K57" s="69" t="inlineStr">
        <is>
          <t>https://amazon.com/dp/B0BW3595H6</t>
        </is>
      </c>
      <c r="L57" s="114">
        <f>HYPERLINK(Table543384[[#This Row],[Column1]])</f>
        <v/>
      </c>
    </row>
    <row r="58" ht="30" customHeight="1" s="314">
      <c r="A58" s="35" t="inlineStr">
        <is>
          <t>XTOOL X100 PAD3 SE AI-Assisted Bidirectional OBD2 Scanner, All System Scan Tool with 38+ Reset, Car Scanner Diagnostic Tool with FCA AutoAuth, ECU C0ding, Crank Sensor Relearn, CANFD/DOIP, 2-Yr Update</t>
        </is>
      </c>
      <c r="B58" s="35" t="inlineStr">
        <is>
          <t>B0FVL5MNLF</t>
        </is>
      </c>
      <c r="C58" s="35" t="inlineStr">
        <is>
          <t>Tablet</t>
        </is>
      </c>
      <c r="D58" s="359" t="n">
        <v>572.78</v>
      </c>
      <c r="E58" s="66" t="n">
        <v>12020.51</v>
      </c>
      <c r="F58" s="67" t="n">
        <v>1145.56</v>
      </c>
      <c r="G58" s="68" t="n">
        <v>4</v>
      </c>
      <c r="H58" s="68" t="n">
        <v>2</v>
      </c>
      <c r="I58" s="68" t="n"/>
      <c r="J58" s="69" t="n"/>
      <c r="K58" s="69" t="inlineStr">
        <is>
          <t>https://amazon.com/dp/B0FVL5MNLF</t>
        </is>
      </c>
      <c r="L58" s="114">
        <f>HYPERLINK(Table543384[[#This Row],[Column1]])</f>
        <v/>
      </c>
    </row>
    <row r="59" ht="45" customHeight="1" s="314">
      <c r="A59" s="35" t="inlineStr">
        <is>
          <t>XTOOL Original OBD2 12+8 Adapter for Chrysler, OBD II Universal Security Gateway Bypass Connector for FCA SGW Car, Work with XTOOL D7/ D7S/D7W /D8/D8S/D8W/IP616/IP819/IK618/X100 Pad Scanner</t>
        </is>
      </c>
      <c r="B59" s="35" t="inlineStr">
        <is>
          <t>B0BYS1314P</t>
        </is>
      </c>
      <c r="C59" s="35" t="inlineStr">
        <is>
          <t>Cable/Adapter</t>
        </is>
      </c>
      <c r="D59" s="359" t="n">
        <v>19.99107142857143</v>
      </c>
      <c r="E59" s="66" t="n">
        <v>9597.529999999999</v>
      </c>
      <c r="F59" s="67" t="n">
        <v>1119.5</v>
      </c>
      <c r="G59" s="68" t="n">
        <v>422</v>
      </c>
      <c r="H59" s="68" t="n">
        <v>56</v>
      </c>
      <c r="I59" s="68" t="n">
        <v>52</v>
      </c>
      <c r="J59" s="69" t="n">
        <v>4.6</v>
      </c>
      <c r="K59" s="69" t="inlineStr">
        <is>
          <t>https://amazon.com/dp/B0BYS1314P</t>
        </is>
      </c>
      <c r="L59" s="114">
        <f>HYPERLINK(Table543384[[#This Row],[Column1]])</f>
        <v/>
      </c>
    </row>
    <row r="60" ht="45" customHeight="1" s="314">
      <c r="A60" s="35" t="inlineStr">
        <is>
          <t>XTS500 J2534 Vehicle Communication Interface, Support J2534/D-PDU/CAN-FD/DolP, Enhanced J2534 Diganostic Tool, ECU C0ding, Work with OE Software for 18+ Vehicles Brands, NO OE Software Included</t>
        </is>
      </c>
      <c r="B60" s="35" t="inlineStr">
        <is>
          <t>B0G1BDBKV1</t>
        </is>
      </c>
      <c r="C60" s="35" t="inlineStr">
        <is>
          <t>VCI</t>
        </is>
      </c>
      <c r="D60" s="359" t="n">
        <v>255.025</v>
      </c>
      <c r="E60" s="66" t="n">
        <v>13094.21615384615</v>
      </c>
      <c r="F60" s="67" t="n">
        <v>1020.1</v>
      </c>
      <c r="G60" s="68" t="n">
        <v>19</v>
      </c>
      <c r="H60" s="68" t="n">
        <v>4</v>
      </c>
      <c r="I60" s="68" t="n">
        <v>2</v>
      </c>
      <c r="J60" s="69" t="n">
        <v>5</v>
      </c>
      <c r="K60" s="69" t="inlineStr">
        <is>
          <t>https://amazon.com/dp/B0G1BDBKV1</t>
        </is>
      </c>
      <c r="L60" s="114">
        <f>HYPERLINK(Table543384[[#This Row],[Column1]])</f>
        <v/>
      </c>
    </row>
    <row r="61" ht="45" customHeight="1" s="314">
      <c r="A61" s="35" t="inlineStr">
        <is>
          <t>XTOOL Original OBD2 12+8 Adapter Cable for Chrysler, OBD II Universal Security Gateway Bypass Cable for FCA SGW Vheicles, Fit for All scanners D5S IP919PRO D7 D6S D7S D7W D8S D8W IP616</t>
        </is>
      </c>
      <c r="B61" s="35" t="inlineStr">
        <is>
          <t>B0FLQDNLCJ</t>
        </is>
      </c>
      <c r="C61" s="35" t="inlineStr">
        <is>
          <t>Cable/Adapter</t>
        </is>
      </c>
      <c r="D61" s="359" t="n">
        <v>20.0272</v>
      </c>
      <c r="E61" s="66" t="n">
        <v>11229.24307692308</v>
      </c>
      <c r="F61" s="67" t="n">
        <v>1001.36</v>
      </c>
      <c r="G61" s="68" t="n">
        <v>99</v>
      </c>
      <c r="H61" s="68" t="n">
        <v>50</v>
      </c>
      <c r="I61" s="68" t="n">
        <v>3</v>
      </c>
      <c r="J61" s="69" t="n">
        <v>4.6</v>
      </c>
      <c r="K61" s="69" t="inlineStr">
        <is>
          <t>https://amazon.com/dp/B0FLQDNLCJ</t>
        </is>
      </c>
      <c r="L61" s="114">
        <f>HYPERLINK(Table543384[[#This Row],[Column1]])</f>
        <v/>
      </c>
    </row>
    <row r="62" ht="45" customHeight="1" s="314">
      <c r="A62" s="35" t="inlineStr">
        <is>
          <t>XTOOL OBD2 Main Test Cable - VGA to OBD2-16, Universal Scanner Replacement for IP508, IP508S, IP608, IP616, IP819, D7, D7S</t>
        </is>
      </c>
      <c r="B62" s="35" t="inlineStr">
        <is>
          <t>B0BVRH9ZF7</t>
        </is>
      </c>
      <c r="C62" s="35" t="inlineStr">
        <is>
          <t>Cable/Adapter</t>
        </is>
      </c>
      <c r="D62" s="359" t="n">
        <v>40.25956521739131</v>
      </c>
      <c r="E62" s="66" t="n">
        <v>12859.30153846154</v>
      </c>
      <c r="F62" s="67" t="n">
        <v>925.97</v>
      </c>
      <c r="G62" s="68" t="n">
        <v>301</v>
      </c>
      <c r="H62" s="68" t="n">
        <v>23</v>
      </c>
      <c r="I62" s="68" t="n">
        <v>27</v>
      </c>
      <c r="J62" s="69" t="n">
        <v>4.2</v>
      </c>
      <c r="K62" s="69" t="inlineStr">
        <is>
          <t>https://amazon.com/dp/B0BVRH9ZF7</t>
        </is>
      </c>
      <c r="L62" s="114">
        <f>HYPERLINK(Table543384[[#This Row],[Column1]])</f>
        <v/>
      </c>
    </row>
    <row r="63" ht="45" customHeight="1" s="314">
      <c r="A63" s="35" t="inlineStr">
        <is>
          <t>XTOOL Advancer AD20 Bluetooth OBD2 Scanner Diagnostic Tool, Lifetime Update, Check Engine Code Reader for iPhone/Android, Scanner for Car, Mode 6, Live Data, Freeze Frame, Performance/Voltage Test</t>
        </is>
      </c>
      <c r="B63" s="35" t="inlineStr">
        <is>
          <t>B0BRKR247Y</t>
        </is>
      </c>
      <c r="C63" s="35" t="inlineStr">
        <is>
          <t>Dongle</t>
        </is>
      </c>
      <c r="D63" s="359" t="n">
        <v>23.61076923076923</v>
      </c>
      <c r="E63" s="66" t="n">
        <v>34057.22</v>
      </c>
      <c r="F63" s="67" t="n">
        <v>920.8200000000001</v>
      </c>
      <c r="G63" s="68" t="n">
        <v>1537</v>
      </c>
      <c r="H63" s="68" t="n">
        <v>39</v>
      </c>
      <c r="I63" s="68" t="n">
        <v>793</v>
      </c>
      <c r="J63" s="69" t="n">
        <v>4.2</v>
      </c>
      <c r="K63" s="69" t="inlineStr">
        <is>
          <t>https://amazon.com/dp/B0BRKR247Y</t>
        </is>
      </c>
      <c r="L63" s="114">
        <f>HYPERLINK(Table543384[[#This Row],[Column1]])</f>
        <v/>
      </c>
    </row>
    <row r="64" ht="30" customHeight="1" s="314">
      <c r="A64" s="35" t="inlineStr">
        <is>
          <t>OBD2 Scanner Diagnostic Tool XTOOL IP608, All System Scan Tool with 30+ Resets, ABS Bleeding, Oil, EPB, SAS, BMS, Throttle,TPMS Reset, Transmission, Injector Coding, CAN FD, Lifetime Update</t>
        </is>
      </c>
      <c r="B64" s="35" t="inlineStr">
        <is>
          <t>B0CQP9S314</t>
        </is>
      </c>
      <c r="C64" s="35" t="inlineStr">
        <is>
          <t>Tablet</t>
        </is>
      </c>
      <c r="D64" s="359" t="n">
        <v>364.535</v>
      </c>
      <c r="E64" s="66" t="n">
        <v>10958.21</v>
      </c>
      <c r="F64" s="67" t="n">
        <v>729.0700000000001</v>
      </c>
      <c r="G64" s="68" t="n">
        <v>49</v>
      </c>
      <c r="H64" s="68" t="n">
        <v>2</v>
      </c>
      <c r="I64" s="68" t="n">
        <v>26</v>
      </c>
      <c r="J64" s="69" t="n">
        <v>3.8</v>
      </c>
      <c r="K64" s="69" t="inlineStr">
        <is>
          <t>https://amazon.com/dp/B0CQP9S314</t>
        </is>
      </c>
      <c r="L64" s="114">
        <f>HYPERLINK(Table543384[[#This Row],[Column1]])</f>
        <v/>
      </c>
    </row>
    <row r="65" ht="45" customHeight="1" s="314">
      <c r="A65" s="35" t="inlineStr">
        <is>
          <t>XTOOL TP500 OBD2 Scanner with TPMS Programming Tool, Full System Car Scanner Diagnostic Tool with TPMS Service, 17 Resets, FCA/CANFD/DoIP, Lifetime Free Update, Crank Sensor/Throttle Relearn Scan Tool</t>
        </is>
      </c>
      <c r="B65" s="35" t="inlineStr">
        <is>
          <t>B0GLMKDKMJ</t>
        </is>
      </c>
      <c r="C65" s="35" t="inlineStr">
        <is>
          <t>Tablet</t>
        </is>
      </c>
      <c r="D65" s="359" t="n">
        <v>318.975</v>
      </c>
      <c r="E65" s="66" t="n">
        <v>7704.473076923077</v>
      </c>
      <c r="F65" s="67" t="n">
        <v>637.95</v>
      </c>
      <c r="G65" s="68" t="n">
        <v>2</v>
      </c>
      <c r="H65" s="68" t="n">
        <v>2</v>
      </c>
      <c r="I65" s="68" t="n"/>
      <c r="J65" s="69" t="n"/>
      <c r="K65" s="69" t="inlineStr">
        <is>
          <t>https://amazon.com/dp/B0GLMKDKMJ</t>
        </is>
      </c>
      <c r="L65" s="114">
        <f>HYPERLINK(Table543384[[#This Row],[Column1]])</f>
        <v/>
      </c>
    </row>
    <row r="66" ht="45" customHeight="1" s="314">
      <c r="A66" s="35" t="inlineStr">
        <is>
          <t>XTOOL XTOOL12+8 Cable Adapter for FCA Chrysler, Work X100 PAD PLUS/PADS/IP616/IP819/IK618/D7/D7S/D7W/D8/D8S/D8BT/D8W/D9/D9S/D9 PRO/D9S PRO/X100 PAD3/MAX</t>
        </is>
      </c>
      <c r="B66" s="35" t="inlineStr">
        <is>
          <t>B0B4D76NWB</t>
        </is>
      </c>
      <c r="C66" s="35" t="inlineStr">
        <is>
          <t>Cable/Adapter</t>
        </is>
      </c>
      <c r="D66" s="359" t="n">
        <v>19.67709677419355</v>
      </c>
      <c r="E66" s="66" t="n">
        <v>17850.87</v>
      </c>
      <c r="F66" s="67" t="n">
        <v>609.99</v>
      </c>
      <c r="G66" s="68" t="n">
        <v>820</v>
      </c>
      <c r="H66" s="68" t="n">
        <v>31</v>
      </c>
      <c r="I66" s="68" t="n">
        <v>142</v>
      </c>
      <c r="J66" s="69" t="n">
        <v>4.7</v>
      </c>
      <c r="K66" s="69" t="inlineStr">
        <is>
          <t>https://amazon.com/dp/B0B4D76NWB</t>
        </is>
      </c>
      <c r="L66" s="114">
        <f>HYPERLINK(Table543384[[#This Row],[Column1]])</f>
        <v/>
      </c>
    </row>
    <row r="67" ht="45" customHeight="1" s="314">
      <c r="A67" s="35" t="inlineStr">
        <is>
          <t>XTOOL OBD2 Extension Cable, 1.64ft 16 Pin Male to Female Cable, Universal Extension Cord A30/A30D/A30M, D7, D8, D8BT, D9, D9 Pro, IP616, IP819, IP508, IP508S, IP608 Diagnostic Scanner</t>
        </is>
      </c>
      <c r="B67" s="35" t="inlineStr">
        <is>
          <t>B09YTTH4LD</t>
        </is>
      </c>
      <c r="C67" s="35" t="inlineStr">
        <is>
          <t>Cable/Adapter</t>
        </is>
      </c>
      <c r="D67" s="359" t="n">
        <v>11.06666666666667</v>
      </c>
      <c r="E67" s="66" t="n">
        <v>8559.744615384616</v>
      </c>
      <c r="F67" s="67" t="n">
        <v>564.4</v>
      </c>
      <c r="G67" s="68" t="n">
        <v>730</v>
      </c>
      <c r="H67" s="68" t="n">
        <v>51</v>
      </c>
      <c r="I67" s="68" t="n">
        <v>110</v>
      </c>
      <c r="J67" s="69" t="n">
        <v>4.7</v>
      </c>
      <c r="K67" s="69" t="inlineStr">
        <is>
          <t>https://amazon.com/dp/B09YTTH4LD</t>
        </is>
      </c>
      <c r="L67" s="114">
        <f>HYPERLINK(Table543384[[#This Row],[Column1]])</f>
        <v/>
      </c>
    </row>
    <row r="68" ht="30" customHeight="1" s="314">
      <c r="A68" s="35" t="inlineStr">
        <is>
          <t>OBD2 Scanner XTOOL IP508, 9 Services, Scan Tool for ABS Bleed, EPB, BMS, Oil Reset, Throttle Relearn, ABS SRS Transmission Car Diagnostic Tool, Check Engine Code Reader, No Subscription Fee</t>
        </is>
      </c>
      <c r="B68" s="35" t="inlineStr">
        <is>
          <t>B0BL7GH4WX</t>
        </is>
      </c>
      <c r="C68" s="35" t="inlineStr">
        <is>
          <t>Tablet</t>
        </is>
      </c>
      <c r="D68" s="359" t="n">
        <v>187.0833333333333</v>
      </c>
      <c r="E68" s="66" t="n">
        <v>12275.93</v>
      </c>
      <c r="F68" s="67" t="n">
        <v>561.25</v>
      </c>
      <c r="G68" s="68" t="n">
        <v>82</v>
      </c>
      <c r="H68" s="68" t="n">
        <v>3</v>
      </c>
      <c r="I68" s="68" t="n">
        <v>145</v>
      </c>
      <c r="J68" s="69" t="n">
        <v>4.4</v>
      </c>
      <c r="K68" s="69" t="inlineStr">
        <is>
          <t>https://amazon.com/dp/B0BL7GH4WX</t>
        </is>
      </c>
      <c r="L68" s="114">
        <f>HYPERLINK(Table543384[[#This Row],[Column1]])</f>
        <v/>
      </c>
    </row>
    <row r="69" ht="45" customHeight="1" s="314">
      <c r="A69" s="35" t="inlineStr">
        <is>
          <t>XTOOL X100 Pads AI-Assisted Scan Tool &amp; Programmer Tool, Upgrade of X100 PAD, 2026 OBD2 Scanner with 32+ Reset, All System Car Scanner, FCA AutoAuth, Crank Sensor Relearn, DoIP/CAN FD, 2-Year Update</t>
        </is>
      </c>
      <c r="B69" s="35" t="inlineStr">
        <is>
          <t>B0FXB1QJ2K</t>
        </is>
      </c>
      <c r="C69" s="35" t="inlineStr">
        <is>
          <t>Tablet</t>
        </is>
      </c>
      <c r="D69" s="359" t="n">
        <v>479</v>
      </c>
      <c r="E69" s="66" t="n">
        <v>22477.53692307693</v>
      </c>
      <c r="F69" s="67" t="n">
        <v>479</v>
      </c>
      <c r="G69" s="68" t="n">
        <v>46</v>
      </c>
      <c r="H69" s="68" t="n">
        <v>1</v>
      </c>
      <c r="I69" s="68" t="n">
        <v>2</v>
      </c>
      <c r="J69" s="69" t="n">
        <v>5</v>
      </c>
      <c r="K69" s="69" t="inlineStr">
        <is>
          <t>https://amazon.com/dp/B0FXB1QJ2K</t>
        </is>
      </c>
      <c r="L69" s="114">
        <f>HYPERLINK(Table543384[[#This Row],[Column1]])</f>
        <v/>
      </c>
    </row>
    <row r="70" ht="45" customHeight="1" s="314">
      <c r="A70" s="35" t="inlineStr">
        <is>
          <t>XTOOL Protective Case for OBD2 Scanner Diagnostic Tool, Waterproof Car Scan Tool Carrying Case Compatible with IP500, IP608, IP616, IP819, Size 11''x 7''x 4''</t>
        </is>
      </c>
      <c r="B70" s="35" t="inlineStr">
        <is>
          <t>B0G5254YDC</t>
        </is>
      </c>
      <c r="C70" s="35" t="inlineStr">
        <is>
          <t>Tablet</t>
        </is>
      </c>
      <c r="D70" s="359" t="n">
        <v>24.5625</v>
      </c>
      <c r="E70" s="66" t="n">
        <v>1198.043076923077</v>
      </c>
      <c r="F70" s="67" t="n">
        <v>98.25</v>
      </c>
      <c r="G70" s="68" t="n">
        <v>11</v>
      </c>
      <c r="H70" s="68" t="n">
        <v>4</v>
      </c>
      <c r="I70" s="68" t="n"/>
      <c r="J70" s="69" t="n"/>
      <c r="K70" s="69" t="inlineStr">
        <is>
          <t>https://amazon.com/dp/B0G5254YDC</t>
        </is>
      </c>
      <c r="L70" s="114">
        <f>HYPERLINK(Table543384[[#This Row],[Column1]])</f>
        <v/>
      </c>
    </row>
    <row r="71" ht="45" customHeight="1" s="314">
      <c r="A71" s="35" t="inlineStr">
        <is>
          <t>XTOOL OBD2 Extension Cable 16 Pin OBDII Male to Female 1.64ft, Universal Replacement Cable Diagnostic Scanner, for Anyscan A30/A30D/A30M and More</t>
        </is>
      </c>
      <c r="B71" s="35" t="inlineStr">
        <is>
          <t>B0B4D84M2V</t>
        </is>
      </c>
      <c r="C71" s="35" t="inlineStr">
        <is>
          <t>Cable/Adapter</t>
        </is>
      </c>
      <c r="D71" s="359" t="n">
        <v>9.963749999999999</v>
      </c>
      <c r="E71" s="66" t="n">
        <v>716.896923076923</v>
      </c>
      <c r="F71" s="67" t="n">
        <v>79.70999999999999</v>
      </c>
      <c r="G71" s="68" t="n">
        <v>58</v>
      </c>
      <c r="H71" s="68" t="n">
        <v>8</v>
      </c>
      <c r="I71" s="68" t="n">
        <v>4</v>
      </c>
      <c r="J71" s="69" t="n">
        <v>5</v>
      </c>
      <c r="K71" s="69" t="inlineStr">
        <is>
          <t>https://amazon.com/dp/B0B4D84M2V</t>
        </is>
      </c>
      <c r="L71" s="114">
        <f>HYPERLINK(Table543384[[#This Row],[Column1]])</f>
        <v/>
      </c>
    </row>
    <row r="72" ht="30" customHeight="1" s="314">
      <c r="A72" s="35" t="inlineStr">
        <is>
          <t>XTOOL DB15 OBDII Replacement Cable, Male to Female OBD2 Cable, Compatible for D8S, X100 Pads, IK618, X100 PAD3</t>
        </is>
      </c>
      <c r="B72" s="35" t="inlineStr">
        <is>
          <t>B0CHYPV8WS</t>
        </is>
      </c>
      <c r="C72" s="35" t="inlineStr">
        <is>
          <t>Cable/Adapter</t>
        </is>
      </c>
      <c r="D72" s="359" t="n">
        <v>22.21</v>
      </c>
      <c r="E72" s="66" t="n">
        <v>4653.573076923078</v>
      </c>
      <c r="F72" s="67" t="n">
        <v>44.42</v>
      </c>
      <c r="G72" s="68" t="n">
        <v>180</v>
      </c>
      <c r="H72" s="68" t="n">
        <v>2</v>
      </c>
      <c r="I72" s="68" t="n">
        <v>10</v>
      </c>
      <c r="J72" s="69" t="n">
        <v>3.8</v>
      </c>
      <c r="K72" s="69" t="inlineStr">
        <is>
          <t>https://amazon.com/dp/B0CHYPV8WS</t>
        </is>
      </c>
      <c r="L72" s="114">
        <f>HYPERLINK(Table543384[[#This Row],[Column1]])</f>
        <v/>
      </c>
    </row>
    <row r="73" ht="45" customHeight="1" s="314">
      <c r="A73" s="35" t="inlineStr">
        <is>
          <t>XTOOL IK618 AI-Assisted Bidirectional Scan Tool with KC100 Adapter, Full System OBD2 Scanner Diagnostic Tool with 31+ Resets, FCA AutoAuth, ECU C0ding, Crank Sensor Relearn, CAN FD &amp; DoIP, 2-Yr Update</t>
        </is>
      </c>
      <c r="B73" s="35" t="inlineStr">
        <is>
          <t>B0FVL1WZKB</t>
        </is>
      </c>
      <c r="C73" s="35" t="inlineStr">
        <is>
          <t>Tablet</t>
        </is>
      </c>
      <c r="D73" s="359" t="n">
        <v>639</v>
      </c>
      <c r="E73" s="66" t="n">
        <v>2214.11</v>
      </c>
      <c r="F73" s="67" t="n">
        <v>0</v>
      </c>
      <c r="G73" s="68" t="n">
        <v>3</v>
      </c>
      <c r="H73" s="68" t="n">
        <v>0</v>
      </c>
      <c r="I73" s="68" t="n"/>
      <c r="J73" s="69" t="n"/>
      <c r="K73" s="69" t="inlineStr">
        <is>
          <t>https://amazon.com/dp/B0FVL1WZKB</t>
        </is>
      </c>
      <c r="L73" s="114">
        <f>HYPERLINK(Table543384[[#This Row],[Column1]])</f>
        <v/>
      </c>
    </row>
    <row r="74" ht="45" customHeight="1" s="314">
      <c r="A74" s="35" t="inlineStr">
        <is>
          <t>XTOOL EEPROM Adapter, Work with IP616/IP819, D7/D7S/D7W, D8S/D8W, D9S/D9S PRO, X100 PADS/X100 PAD3/X100 MAX</t>
        </is>
      </c>
      <c r="B74" s="35" t="inlineStr">
        <is>
          <t>B0FVM2DTNG</t>
        </is>
      </c>
      <c r="C74" s="35" t="inlineStr">
        <is>
          <t>Key</t>
        </is>
      </c>
      <c r="D74" s="359" t="n">
        <v>49.98</v>
      </c>
      <c r="E74" s="66" t="n">
        <v>0</v>
      </c>
      <c r="F74" s="67" t="n">
        <v>0</v>
      </c>
      <c r="G74" s="68" t="n">
        <v>0</v>
      </c>
      <c r="H74" s="68" t="n">
        <v>0</v>
      </c>
      <c r="I74" s="68" t="n"/>
      <c r="J74" s="69" t="n"/>
      <c r="K74" s="69" t="inlineStr">
        <is>
          <t>https://amazon.com/dp/B0FVM2DTNG</t>
        </is>
      </c>
      <c r="L74" s="114">
        <f>HYPERLINK(Table543384[[#This Row],[Column1]])</f>
        <v/>
      </c>
    </row>
    <row r="75" ht="45" customHeight="1" s="314">
      <c r="A75" s="35" t="inlineStr">
        <is>
          <t>XTOOL X100 MAX2 AI-Assisted Professional Scan Tool, J2534 Repr0gramming Tool, Wireless Bidirectional OBD2 Scanner with ECU Pr0gramming &amp; C0ding, Topology Mapping, 42 Reset, FCA/CANFD/DoIP, 2-Yr Update</t>
        </is>
      </c>
      <c r="B75" s="35" t="inlineStr">
        <is>
          <t>B0FVL9FXQD</t>
        </is>
      </c>
      <c r="C75" s="35" t="inlineStr">
        <is>
          <t>Tablet</t>
        </is>
      </c>
      <c r="D75" s="359" t="n">
        <v>3176.5</v>
      </c>
      <c r="E75" s="66" t="n">
        <v>5875.49</v>
      </c>
      <c r="F75" s="67" t="n">
        <v>0</v>
      </c>
      <c r="G75" s="68" t="n">
        <v>2</v>
      </c>
      <c r="H75" s="68" t="n">
        <v>0</v>
      </c>
      <c r="I75" s="68" t="n"/>
      <c r="J75" s="69" t="n"/>
      <c r="K75" s="69" t="inlineStr">
        <is>
          <t>https://amazon.com/dp/B0FVL9FXQD</t>
        </is>
      </c>
      <c r="L75" s="114">
        <f>HYPERLINK(Table543384[[#This Row],[Column1]])</f>
        <v/>
      </c>
    </row>
    <row r="76" ht="45" customHeight="1" s="314">
      <c r="A76" s="35" t="inlineStr">
        <is>
          <t>XTOOL InPlus IP616 V2.0 OBD2 Scanner Diagnostic Tool, Lifetime Update Scan Tool, 34+ Services, ECU Configuration, CAN FD &amp; DoIP, All Systems Scanner for Car, Crank Sensor Relearn, ABS Bleed, Auto VIN</t>
        </is>
      </c>
      <c r="B76" s="35" t="inlineStr">
        <is>
          <t>B0B7DBF4FD</t>
        </is>
      </c>
      <c r="C76" s="35" t="inlineStr">
        <is>
          <t>Tablet</t>
        </is>
      </c>
      <c r="D76" s="359" t="n">
        <v>295.2</v>
      </c>
      <c r="E76" s="66" t="n">
        <v>45403.97000000001</v>
      </c>
      <c r="F76" s="67" t="n">
        <v>0</v>
      </c>
      <c r="G76" s="68" t="n">
        <v>130</v>
      </c>
      <c r="H76" s="68" t="n">
        <v>0</v>
      </c>
      <c r="I76" s="68" t="n">
        <v>186</v>
      </c>
      <c r="J76" s="69" t="n">
        <v>4.3</v>
      </c>
      <c r="K76" s="69" t="inlineStr">
        <is>
          <t>https://amazon.com/dp/B0B7DBF4FD</t>
        </is>
      </c>
      <c r="L76" s="114">
        <f>HYPERLINK(Table543384[[#This Row],[Column1]])</f>
        <v/>
      </c>
    </row>
    <row r="77" ht="30" customHeight="1" s="314">
      <c r="A77" s="35" t="inlineStr">
        <is>
          <t>XTOOL D9EV Automotive Scanner, EV Scan Tool, High Voltage System/Battery Pack Analysis for Tesla/Electric Vehicle, Topology Map, ECU C0ding/PMI, Bidirectional OBD2 Scanner, 46+ Resets, 3-Year Update</t>
        </is>
      </c>
      <c r="B77" s="35" t="inlineStr">
        <is>
          <t>B0CB8B6QB6</t>
        </is>
      </c>
      <c r="C77" s="35" t="inlineStr">
        <is>
          <t>Tablet</t>
        </is>
      </c>
      <c r="D77" s="359" t="n">
        <v>2399</v>
      </c>
      <c r="E77" s="66" t="n">
        <v>11063.44</v>
      </c>
      <c r="F77" s="67" t="n">
        <v>0</v>
      </c>
      <c r="G77" s="68" t="n">
        <v>5</v>
      </c>
      <c r="H77" s="68" t="n">
        <v>0</v>
      </c>
      <c r="I77" s="68" t="n">
        <v>1</v>
      </c>
      <c r="J77" s="69" t="n">
        <v>5</v>
      </c>
      <c r="K77" s="69" t="inlineStr">
        <is>
          <t>https://amazon.com/dp/B0CB8B6QB6</t>
        </is>
      </c>
      <c r="L77" s="114">
        <f>HYPERLINK(Table543384[[#This Row],[Column1]])</f>
        <v/>
      </c>
    </row>
    <row r="78" ht="45" customHeight="1" s="314">
      <c r="A78" s="35" t="n"/>
      <c r="B78" s="35" t="n"/>
      <c r="C78" s="35" t="n"/>
      <c r="D78" s="359" t="n"/>
      <c r="E78" s="66" t="n"/>
      <c r="F78" s="67" t="n"/>
      <c r="G78" s="68" t="n"/>
      <c r="H78" s="68" t="n"/>
      <c r="I78" s="68" t="n"/>
      <c r="J78" s="69" t="n"/>
      <c r="K78" s="69" t="n"/>
      <c r="L78" s="114">
        <f>HYPERLINK(Table543384[[#This Row],[Column1]])</f>
        <v/>
      </c>
    </row>
    <row r="79" ht="17" customHeight="1" s="314">
      <c r="A79" s="41" t="inlineStr">
        <is>
          <t>Total</t>
        </is>
      </c>
      <c r="B79" s="41" t="n"/>
      <c r="C79" s="365" t="n"/>
      <c r="D79" s="365" t="n"/>
      <c r="E79" s="122">
        <f>SUM(E9:E78)</f>
        <v/>
      </c>
      <c r="F79" s="122">
        <f>SUM(F9:F78)</f>
        <v/>
      </c>
      <c r="G79" s="123" t="n"/>
      <c r="H79" s="123" t="n"/>
      <c r="I79" s="123" t="n"/>
      <c r="J79" s="128" t="n"/>
      <c r="K79" s="41" t="n"/>
      <c r="L79" s="40" t="n"/>
    </row>
    <row r="80" ht="16" customHeight="1" s="314">
      <c r="A80" s="35" t="n"/>
      <c r="B80" s="35" t="n"/>
      <c r="C80" s="359" t="n"/>
      <c r="D80" s="66" t="n"/>
      <c r="E80" s="66" t="n"/>
      <c r="F80" s="68" t="n"/>
      <c r="G80" s="68" t="n"/>
      <c r="H80" s="68" t="n"/>
      <c r="I80" s="69" t="n"/>
      <c r="J80" s="35" t="n"/>
    </row>
    <row r="81">
      <c r="A81" s="35" t="n"/>
      <c r="B81" s="35" t="n"/>
      <c r="C81" s="359" t="n"/>
      <c r="D81" s="66" t="n"/>
      <c r="E81" s="66" t="n"/>
      <c r="F81" s="68" t="n"/>
      <c r="G81" s="68" t="n"/>
      <c r="H81" s="68" t="n"/>
      <c r="I81" s="69" t="n"/>
      <c r="J81" s="35" t="n"/>
    </row>
    <row r="82">
      <c r="A82" s="307" t="inlineStr">
        <is>
          <t>Rank by Units</t>
        </is>
      </c>
    </row>
    <row r="83" ht="17" customHeight="1" s="314">
      <c r="A83" s="46" t="inlineStr">
        <is>
          <t>Product Name</t>
        </is>
      </c>
      <c r="B83" s="47" t="inlineStr">
        <is>
          <t>ASIN</t>
        </is>
      </c>
      <c r="C83" s="47" t="inlineStr">
        <is>
          <t>Type</t>
        </is>
      </c>
      <c r="D83" s="345" t="inlineStr">
        <is>
          <t>Avg Price</t>
        </is>
      </c>
      <c r="E83" s="49" t="inlineStr">
        <is>
          <t>Estimated 12mo Revenue</t>
        </is>
      </c>
      <c r="F83" s="47" t="inlineStr">
        <is>
          <t>Monthly Rev</t>
        </is>
      </c>
      <c r="G83" s="51" t="inlineStr">
        <is>
          <t>Estimated 12mo Units</t>
        </is>
      </c>
      <c r="H83" s="54" t="inlineStr">
        <is>
          <t>Monthly Units</t>
        </is>
      </c>
      <c r="I83" s="51" t="inlineStr">
        <is>
          <t># of Reviews</t>
        </is>
      </c>
      <c r="J83" s="52" t="inlineStr">
        <is>
          <t xml:space="preserve">Tool Rating </t>
        </is>
      </c>
      <c r="K83" s="52" t="inlineStr">
        <is>
          <t>Column1</t>
        </is>
      </c>
      <c r="L83" s="346" t="inlineStr">
        <is>
          <t>Link</t>
        </is>
      </c>
    </row>
    <row r="84" ht="45" customHeight="1" s="314">
      <c r="A84" s="35" t="inlineStr">
        <is>
          <t>OBD2 Scanner Diagnostic Tool XTOOL Anyscan A30M V2.0, 2026 Wireless Bidirectional Scan Tool with Free Updates, 26 Resets, All System for Android &amp; iPhone, Crank Sensor Relearn, EPB, Throttle Relearn</t>
        </is>
      </c>
      <c r="B84" s="35" t="inlineStr">
        <is>
          <t>B09KT9XNML</t>
        </is>
      </c>
      <c r="C84" s="35" t="inlineStr">
        <is>
          <t>Dongle</t>
        </is>
      </c>
      <c r="D84" s="359" t="n">
        <v>151.2937490377213</v>
      </c>
      <c r="E84" s="66" t="n">
        <v>2029114.51</v>
      </c>
      <c r="F84" s="66" t="n">
        <v>196530.58</v>
      </c>
      <c r="G84" s="68" t="n">
        <v>13968</v>
      </c>
      <c r="H84" s="70" t="n">
        <v>1299</v>
      </c>
      <c r="I84" s="68" t="n">
        <v>1409</v>
      </c>
      <c r="J84" s="69" t="n">
        <v>4.3</v>
      </c>
      <c r="K84" s="69" t="inlineStr">
        <is>
          <t>https://amazon.com/dp/B09KT9XNML</t>
        </is>
      </c>
      <c r="L84" s="114">
        <f>HYPERLINK(Table5383[[#This Row],[Column1]])</f>
        <v/>
      </c>
    </row>
    <row r="85" ht="45" customHeight="1" s="314">
      <c r="A85" s="35" t="inlineStr">
        <is>
          <t>XTOOL D5S OBD2 Scanner with Touchscreen, Code Reader for Cars &amp; Trucks with 16 Resets, Crank Sensor Relearn, Throttle Relearn, EPB, FCA, CAN FD for GM, Engine ABS SRS Transmission Car Diagnostic Tool</t>
        </is>
      </c>
      <c r="B85" s="35" t="inlineStr">
        <is>
          <t>B0DFCMT416</t>
        </is>
      </c>
      <c r="C85" s="35" t="inlineStr">
        <is>
          <t>Tablet</t>
        </is>
      </c>
      <c r="D85" s="359" t="n">
        <v>169.8681318681319</v>
      </c>
      <c r="E85" s="66" t="n">
        <v>1238984.071538462</v>
      </c>
      <c r="F85" s="66" t="n">
        <v>108206</v>
      </c>
      <c r="G85" s="68" t="n">
        <v>6517</v>
      </c>
      <c r="H85" s="70" t="n">
        <v>637</v>
      </c>
      <c r="I85" s="68" t="n">
        <v>418</v>
      </c>
      <c r="J85" s="69" t="n">
        <v>4.2</v>
      </c>
      <c r="K85" s="69" t="inlineStr">
        <is>
          <t>https://amazon.com/dp/B0DFCMT416</t>
        </is>
      </c>
      <c r="L85" s="114">
        <f>HYPERLINK(Table5383[[#This Row],[Column1]])</f>
        <v/>
      </c>
    </row>
    <row r="86" ht="45" customHeight="1" s="314">
      <c r="A86" s="35" t="inlineStr">
        <is>
          <t>XTOOL Anyscan A30D OBD2 Scanner Diagnostic Tool - Bidirectional Scan Tool Wireless - Lifetime Updates &amp; 19 Resets Crank Sensor EPB Throttle Relearn - Full System Car Code Reader for iPhone &amp; Android</t>
        </is>
      </c>
      <c r="B86" s="35" t="inlineStr">
        <is>
          <t>B098NC47SX</t>
        </is>
      </c>
      <c r="C86" s="35" t="inlineStr">
        <is>
          <t>Dongle</t>
        </is>
      </c>
      <c r="D86" s="359" t="n">
        <v>98.74470479704796</v>
      </c>
      <c r="E86" s="66" t="n">
        <v>410855.3700000001</v>
      </c>
      <c r="F86" s="66" t="n">
        <v>53519.63</v>
      </c>
      <c r="G86" s="68" t="n">
        <v>3919</v>
      </c>
      <c r="H86" s="70" t="n">
        <v>542</v>
      </c>
      <c r="I86" s="68" t="n">
        <v>310</v>
      </c>
      <c r="J86" s="69" t="n">
        <v>4.1</v>
      </c>
      <c r="K86" s="69" t="inlineStr">
        <is>
          <t>https://amazon.com/dp/B098NC47SX</t>
        </is>
      </c>
      <c r="L86" s="114">
        <f>HYPERLINK(Table5383[[#This Row],[Column1]])</f>
        <v/>
      </c>
    </row>
    <row r="87" ht="45" customHeight="1" s="314">
      <c r="A87" s="35" t="inlineStr">
        <is>
          <t>XTOOL D7 Bidirectional Scan Tool: 2026 Ai-Assisted OBD2 Scanner Diagnostic Tool with 36+ Resets, Full System Car Scanner with EPB, Injector Test, Throttle, Crank Sensor Relearn, FCA, CANFD &amp; DoIP</t>
        </is>
      </c>
      <c r="B87" s="35" t="inlineStr">
        <is>
          <t>B098LF38DS</t>
        </is>
      </c>
      <c r="C87" s="35" t="inlineStr">
        <is>
          <t>Tablet</t>
        </is>
      </c>
      <c r="D87" s="359" t="n">
        <v>402.4123234624146</v>
      </c>
      <c r="E87" s="66" t="n">
        <v>2668698.07</v>
      </c>
      <c r="F87" s="66" t="n">
        <v>176659.01</v>
      </c>
      <c r="G87" s="68" t="n">
        <v>6932</v>
      </c>
      <c r="H87" s="70" t="n">
        <v>439</v>
      </c>
      <c r="I87" s="68" t="n">
        <v>1648</v>
      </c>
      <c r="J87" s="69" t="n">
        <v>4.4</v>
      </c>
      <c r="K87" s="69" t="inlineStr">
        <is>
          <t>https://amazon.com/dp/B098LF38DS</t>
        </is>
      </c>
      <c r="L87" s="114">
        <f>HYPERLINK(Table5383[[#This Row],[Column1]])</f>
        <v/>
      </c>
    </row>
    <row r="88" ht="45" customHeight="1" s="314">
      <c r="A88" s="35" t="inlineStr">
        <is>
          <t>XTOOL D5 Car Code Reader and Reset Tool, Engine ABS SRS Transmission Car Diagnostic Tool with EPB Service, ABS Bleed, Throttle Relearn, Clear Check Engine Light Code Reader with 10 Resets, Free Update</t>
        </is>
      </c>
      <c r="B88" s="35" t="inlineStr">
        <is>
          <t>B0DFCJHPR5</t>
        </is>
      </c>
      <c r="C88" s="35" t="inlineStr">
        <is>
          <t>Tablet</t>
        </is>
      </c>
      <c r="D88" s="359" t="n">
        <v>133.6657519788918</v>
      </c>
      <c r="E88" s="66" t="n">
        <v>429729.9792307693</v>
      </c>
      <c r="F88" s="66" t="n">
        <v>50659.32</v>
      </c>
      <c r="G88" s="68" t="n">
        <v>2779</v>
      </c>
      <c r="H88" s="70" t="n">
        <v>379</v>
      </c>
      <c r="I88" s="68" t="n">
        <v>145</v>
      </c>
      <c r="J88" s="69" t="n">
        <v>4.1</v>
      </c>
      <c r="K88" s="69" t="inlineStr">
        <is>
          <t>https://amazon.com/dp/B0DFCJHPR5</t>
        </is>
      </c>
      <c r="L88" s="114">
        <f>HYPERLINK(Table5383[[#This Row],[Column1]])</f>
        <v/>
      </c>
    </row>
    <row r="89" ht="60" customHeight="1" s="314">
      <c r="A89" s="35" t="inlineStr">
        <is>
          <t>XTOOL Anyscan A30M OBD2 Scanner Kit, 2026 Wireless Bidirectional Scan Tool with Free Updates, 26 Resets, Live Data, All System ABS Bleeding Diagnostic Tool for iOS &amp; Android, CANFD &amp; FCA AutoAuth</t>
        </is>
      </c>
      <c r="B89" s="35" t="inlineStr">
        <is>
          <t>B0FLJSZQHN</t>
        </is>
      </c>
      <c r="C89" s="35" t="inlineStr">
        <is>
          <t>Tablet</t>
        </is>
      </c>
      <c r="D89" s="359" t="n">
        <v>185.5240540540541</v>
      </c>
      <c r="E89" s="66" t="n">
        <v>590673.4300000001</v>
      </c>
      <c r="F89" s="66" t="n">
        <v>54915.12</v>
      </c>
      <c r="G89" s="68" t="n">
        <v>712</v>
      </c>
      <c r="H89" s="70" t="n">
        <v>296</v>
      </c>
      <c r="I89" s="68" t="n">
        <v>29</v>
      </c>
      <c r="J89" s="69" t="n">
        <v>4.7</v>
      </c>
      <c r="K89" s="69" t="inlineStr">
        <is>
          <t>https://amazon.com/dp/B0FLJSZQHN</t>
        </is>
      </c>
      <c r="L89" s="114">
        <f>HYPERLINK(Table5383[[#This Row],[Column1]])</f>
        <v/>
      </c>
    </row>
    <row r="90" ht="45" customHeight="1" s="314">
      <c r="A90" s="35" t="inlineStr">
        <is>
          <t>XTOOL D7S Bidirectional Scan Tool, 2026 AI-Assisted OBD2 Scanner Diagnostic Tool with FCA AutoAuth, All System Car Scanner, 39+ Resets, ECU C0ding, PMI, Upgrade of D7, Crankshaft Relearn, CAN FD/DoIP</t>
        </is>
      </c>
      <c r="B90" s="35" t="inlineStr">
        <is>
          <t>B0BTBQ1NR4</t>
        </is>
      </c>
      <c r="C90" s="35" t="inlineStr">
        <is>
          <t>Tablet</t>
        </is>
      </c>
      <c r="D90" s="359" t="n">
        <v>400.6637969924813</v>
      </c>
      <c r="E90" s="66" t="n">
        <v>830600.9</v>
      </c>
      <c r="F90" s="66" t="n">
        <v>106576.57</v>
      </c>
      <c r="G90" s="68" t="n">
        <v>2031</v>
      </c>
      <c r="H90" s="70" t="n">
        <v>266</v>
      </c>
      <c r="I90" s="68" t="n">
        <v>311</v>
      </c>
      <c r="J90" s="69" t="n">
        <v>4.4</v>
      </c>
      <c r="K90" s="69" t="inlineStr">
        <is>
          <t>https://amazon.com/dp/B0BTBQ1NR4</t>
        </is>
      </c>
      <c r="L90" s="114">
        <f>HYPERLINK(Table5383[[#This Row],[Column1]])</f>
        <v/>
      </c>
    </row>
    <row r="91" ht="45" customHeight="1" s="314">
      <c r="A91" s="35" t="inlineStr">
        <is>
          <t>XTOOL Advancer AD20 Pro AI-Assisted Wireless OBD2 Scanner Diagnostic Tool, Car Code Reader for iPhone&amp;Android, All System Scan Tool with Free Updates -Check Engine, Oil Reset, Performance/Battery Test</t>
        </is>
      </c>
      <c r="B91" s="35" t="inlineStr">
        <is>
          <t>B0BRKQRS2P</t>
        </is>
      </c>
      <c r="C91" s="35" t="inlineStr">
        <is>
          <t>Dongle</t>
        </is>
      </c>
      <c r="D91" s="359" t="n">
        <v>43.43967346938775</v>
      </c>
      <c r="E91" s="66" t="n">
        <v>167027.85</v>
      </c>
      <c r="F91" s="66" t="n">
        <v>10642.72</v>
      </c>
      <c r="G91" s="68" t="n">
        <v>3595</v>
      </c>
      <c r="H91" s="70" t="n">
        <v>245</v>
      </c>
      <c r="I91" s="68" t="n">
        <v>687</v>
      </c>
      <c r="J91" s="69" t="n">
        <v>4.3</v>
      </c>
      <c r="K91" s="69" t="inlineStr">
        <is>
          <t>https://amazon.com/dp/B0BRKQRS2P</t>
        </is>
      </c>
      <c r="L91" s="114">
        <f>HYPERLINK(Table5383[[#This Row],[Column1]])</f>
        <v/>
      </c>
    </row>
    <row r="92" ht="60" customHeight="1" s="314">
      <c r="A92" s="35" t="inlineStr">
        <is>
          <t>XTOOL D6S OBD2 Scanner Diagnostic Tool, 2026 Car Scanner with 30 Resets, All System Scan Tool with FCA &amp; CAN FD, ABS Bleed, Gearbox Match, Crank Sensor Relearn, Lifetime Update, Upgraded of D5S</t>
        </is>
      </c>
      <c r="B92" s="35" t="inlineStr">
        <is>
          <t>B0DNQD1Q1V</t>
        </is>
      </c>
      <c r="C92" s="35" t="inlineStr">
        <is>
          <t>Tablet</t>
        </is>
      </c>
      <c r="D92" s="359" t="n">
        <v>283.70775</v>
      </c>
      <c r="E92" s="66" t="n">
        <v>659139.4707692307</v>
      </c>
      <c r="F92" s="66" t="n">
        <v>56741.55</v>
      </c>
      <c r="G92" s="68" t="n">
        <v>2146</v>
      </c>
      <c r="H92" s="70" t="n">
        <v>200</v>
      </c>
      <c r="I92" s="68" t="n">
        <v>107</v>
      </c>
      <c r="J92" s="69" t="n">
        <v>4.4</v>
      </c>
      <c r="K92" s="69" t="inlineStr">
        <is>
          <t>https://amazon.com/dp/B0DNQD1Q1V</t>
        </is>
      </c>
      <c r="L92" s="114">
        <f>HYPERLINK(Table5383[[#This Row],[Column1]])</f>
        <v/>
      </c>
    </row>
    <row r="93" ht="45" customHeight="1" s="314">
      <c r="A93" s="35" t="inlineStr">
        <is>
          <t>XTOOL D8W Wireless Bidirectional Scan Tool, AI-Assisted OBD2 Scanner with Topology, 3-Year Updates, ECU C0ding, PMI, 42+ Resets, Full Diagnostic Scanner for Car, Crankshaft Relearn, FCA/CAN FD/DoIP</t>
        </is>
      </c>
      <c r="B93" s="35" t="inlineStr">
        <is>
          <t>B09N8VTBVH</t>
        </is>
      </c>
      <c r="C93" s="35" t="inlineStr">
        <is>
          <t>Tablet</t>
        </is>
      </c>
      <c r="D93" s="359" t="n">
        <v>584.2609340659341</v>
      </c>
      <c r="E93" s="66" t="n">
        <v>1359475.543846154</v>
      </c>
      <c r="F93" s="66" t="n">
        <v>106335.49</v>
      </c>
      <c r="G93" s="68" t="n">
        <v>1832</v>
      </c>
      <c r="H93" s="70" t="n">
        <v>182</v>
      </c>
      <c r="I93" s="68" t="n">
        <v>519</v>
      </c>
      <c r="J93" s="69" t="n">
        <v>4.4</v>
      </c>
      <c r="K93" s="69" t="inlineStr">
        <is>
          <t>https://amazon.com/dp/B09N8VTBVH</t>
        </is>
      </c>
      <c r="L93" s="114">
        <f>HYPERLINK(Table5383[[#This Row],[Column1]])</f>
        <v/>
      </c>
    </row>
    <row r="94" ht="45" customHeight="1" s="314">
      <c r="A94" s="35" t="inlineStr">
        <is>
          <t>XTOOL D6 OBD2 Scanner Diagnostic Tool with Lifetime Free Updates: 2026 Full System Scan Tool with 15 Resets, Crank Sensor/Throttle Relearn, EPB, Oil Reset, ABS Bleed, FCA &amp; CAN FD, Upgrade of D5S</t>
        </is>
      </c>
      <c r="B94" s="35" t="inlineStr">
        <is>
          <t>B0FP51N9MQ</t>
        </is>
      </c>
      <c r="C94" s="35" t="inlineStr">
        <is>
          <t>Tablet</t>
        </is>
      </c>
      <c r="D94" s="359" t="n">
        <v>188.1964935064935</v>
      </c>
      <c r="E94" s="66" t="n">
        <v>305089.5123076923</v>
      </c>
      <c r="F94" s="66" t="n">
        <v>28982.26</v>
      </c>
      <c r="G94" s="68" t="n">
        <v>687</v>
      </c>
      <c r="H94" s="70" t="n">
        <v>154</v>
      </c>
      <c r="I94" s="68" t="n">
        <v>42</v>
      </c>
      <c r="J94" s="69" t="n">
        <v>4.5</v>
      </c>
      <c r="K94" s="69" t="inlineStr">
        <is>
          <t>https://amazon.com/dp/B0FP51N9MQ</t>
        </is>
      </c>
      <c r="L94" s="114">
        <f>HYPERLINK(Table5383[[#This Row],[Column1]])</f>
        <v/>
      </c>
    </row>
    <row r="95" ht="45" customHeight="1" s="314">
      <c r="A95" s="35" t="inlineStr">
        <is>
          <t>XTOOL D8S AI-Assisted Bidirectional OBD2 Scanner with Topology Mapping: 2026 Upgrade of XTOOL D8, Scan Tool with 42+ Reset, Full System Automotive Scanner Diagnostic Tool, PMI for Ford, FCA/CANFD/DoIP</t>
        </is>
      </c>
      <c r="B95" s="35" t="inlineStr">
        <is>
          <t>B098N7QMGC</t>
        </is>
      </c>
      <c r="C95" s="35" t="inlineStr">
        <is>
          <t>Tablet</t>
        </is>
      </c>
      <c r="D95" s="359" t="n">
        <v>596.4560666666667</v>
      </c>
      <c r="E95" s="66" t="n">
        <v>1205763.67</v>
      </c>
      <c r="F95" s="66" t="n">
        <v>89468.41</v>
      </c>
      <c r="G95" s="68" t="n">
        <v>1977</v>
      </c>
      <c r="H95" s="70" t="n">
        <v>150</v>
      </c>
      <c r="I95" s="68" t="n">
        <v>1035</v>
      </c>
      <c r="J95" s="69" t="n">
        <v>4.4</v>
      </c>
      <c r="K95" s="69" t="inlineStr">
        <is>
          <t>https://amazon.com/dp/B098N7QMGC</t>
        </is>
      </c>
      <c r="L95" s="114">
        <f>HYPERLINK(Table5383[[#This Row],[Column1]])</f>
        <v/>
      </c>
    </row>
    <row r="96" ht="45" customHeight="1" s="314">
      <c r="A96" s="35" t="inlineStr">
        <is>
          <t>XTOOL IP500 for Toyota OBD2 Scanner, Full Systems Bi-Directional Scan Tool for Toyota/Lexus/Scion with Multi-in-One Live Data Graph, All Reset Services-(Injector Coding/EPB/ABS), Lifetime Free Update</t>
        </is>
      </c>
      <c r="B96" s="35" t="inlineStr">
        <is>
          <t>B0DG2GTGD5</t>
        </is>
      </c>
      <c r="C96" s="35" t="inlineStr">
        <is>
          <t>Tablet</t>
        </is>
      </c>
      <c r="D96" s="359" t="n">
        <v>189.3855652173913</v>
      </c>
      <c r="E96" s="66" t="n">
        <v>116468.03</v>
      </c>
      <c r="F96" s="66" t="n">
        <v>21779.34</v>
      </c>
      <c r="G96" s="68" t="n">
        <v>672</v>
      </c>
      <c r="H96" s="70" t="n">
        <v>115</v>
      </c>
      <c r="I96" s="68" t="n">
        <v>47</v>
      </c>
      <c r="J96" s="69" t="n">
        <v>4.2</v>
      </c>
      <c r="K96" s="69" t="inlineStr">
        <is>
          <t>https://amazon.com/dp/B0DG2GTGD5</t>
        </is>
      </c>
      <c r="L96" s="114">
        <f>HYPERLINK(Table5383[[#This Row],[Column1]])</f>
        <v/>
      </c>
    </row>
    <row r="97" ht="45" customHeight="1" s="314">
      <c r="A97" s="35" t="inlineStr">
        <is>
          <t>XTOOL IP500 for GM OBD2 Scanner, Bidirectional Scan Tool with Full Systems Diagnostic for Buick/Chevy/Cadillac/GMC, Diagnostic Scanner with All Services-Oil/ABS Bleed/Crank Relearn, Lifetime Update</t>
        </is>
      </c>
      <c r="B97" s="35" t="inlineStr">
        <is>
          <t>B0DKTH45K2</t>
        </is>
      </c>
      <c r="C97" s="35" t="inlineStr">
        <is>
          <t>Tablet</t>
        </is>
      </c>
      <c r="D97" s="359" t="n">
        <v>180.9245614035088</v>
      </c>
      <c r="E97" s="66" t="n">
        <v>310902.66</v>
      </c>
      <c r="F97" s="66" t="n">
        <v>20625.4</v>
      </c>
      <c r="G97" s="68" t="n">
        <v>1752</v>
      </c>
      <c r="H97" s="70" t="n">
        <v>114</v>
      </c>
      <c r="I97" s="68" t="n">
        <v>88</v>
      </c>
      <c r="J97" s="69" t="n">
        <v>4</v>
      </c>
      <c r="K97" s="69" t="inlineStr">
        <is>
          <t>https://amazon.com/dp/B0DKTH45K2</t>
        </is>
      </c>
      <c r="L97" s="114">
        <f>HYPERLINK(Table5383[[#This Row],[Column1]])</f>
        <v/>
      </c>
    </row>
    <row r="98" ht="45" customHeight="1" s="314">
      <c r="A98" s="35" t="inlineStr">
        <is>
          <t>XTOOL IP500 for Jeep OBD2 Scanner, Full Systems Bi-Directional Scan Tool for Jeep/Dodge/Chrysler, with FCA AutoAuth, OBD2 Scanner Diagnostic Tool with All Reset -(Injector/EPB/ABS/BMS),Lifetime Update</t>
        </is>
      </c>
      <c r="B98" s="35" t="inlineStr">
        <is>
          <t>B0DG2FKQ5W</t>
        </is>
      </c>
      <c r="C98" s="35" t="inlineStr">
        <is>
          <t>Tablet</t>
        </is>
      </c>
      <c r="D98" s="359" t="n">
        <v>189.4546666666667</v>
      </c>
      <c r="E98" s="66" t="n">
        <v>131247.92</v>
      </c>
      <c r="F98" s="66" t="n">
        <v>19892.74</v>
      </c>
      <c r="G98" s="68" t="n">
        <v>756</v>
      </c>
      <c r="H98" s="70" t="n">
        <v>105</v>
      </c>
      <c r="I98" s="68" t="n">
        <v>40</v>
      </c>
      <c r="J98" s="69" t="n">
        <v>3.8</v>
      </c>
      <c r="K98" s="69" t="inlineStr">
        <is>
          <t>https://amazon.com/dp/B0DG2FKQ5W</t>
        </is>
      </c>
      <c r="L98" s="114">
        <f>HYPERLINK(Table5383[[#This Row],[Column1]])</f>
        <v/>
      </c>
    </row>
    <row r="99" ht="45" customHeight="1" s="314">
      <c r="A99" s="35" t="inlineStr">
        <is>
          <t>XTOOL D7W Wireless OBD2 Scanner Diagnostic Tool 2026 AI-Assisted Bidirectional Scan Tool Upgraded of D7/D7S/D7BT, ECU C0ding, 39+ Resets, CAN FD &amp; DoIP, All System Scanner for Car, 3-Yr Update</t>
        </is>
      </c>
      <c r="B99" s="35" t="inlineStr">
        <is>
          <t>B0D9PFD382</t>
        </is>
      </c>
      <c r="C99" s="35" t="inlineStr">
        <is>
          <t>Tablet</t>
        </is>
      </c>
      <c r="D99" s="359" t="n">
        <v>451.175376344086</v>
      </c>
      <c r="E99" s="66" t="n">
        <v>261949.38</v>
      </c>
      <c r="F99" s="66" t="n">
        <v>41959.31</v>
      </c>
      <c r="G99" s="68" t="n">
        <v>569</v>
      </c>
      <c r="H99" s="70" t="n">
        <v>93</v>
      </c>
      <c r="I99" s="68" t="n">
        <v>54</v>
      </c>
      <c r="J99" s="69" t="n">
        <v>4.4</v>
      </c>
      <c r="K99" s="69" t="inlineStr">
        <is>
          <t>https://amazon.com/dp/B0D9PFD382</t>
        </is>
      </c>
      <c r="L99" s="114">
        <f>HYPERLINK(Table5383[[#This Row],[Column1]])</f>
        <v/>
      </c>
    </row>
    <row r="100" ht="45" customHeight="1" s="314">
      <c r="A100" s="35" t="inlineStr">
        <is>
          <t>XTOOL Scanner D8S, AI-Assisted Bidirectional OBD2 Scanner, 8" Full System Bidirectional Scan Tool, ECU C0ding, Topology Mapping, 42+ Resets Automotive Diagnostic Scanner, FCA, CAN FD&amp;DoIP</t>
        </is>
      </c>
      <c r="B100" s="35" t="inlineStr">
        <is>
          <t>B097R8Q122</t>
        </is>
      </c>
      <c r="C100" s="35" t="inlineStr">
        <is>
          <t>Tablet</t>
        </is>
      </c>
      <c r="D100" s="359" t="n">
        <v>580.1169318181818</v>
      </c>
      <c r="E100" s="66" t="n">
        <v>940245.67</v>
      </c>
      <c r="F100" s="66" t="n">
        <v>51050.29</v>
      </c>
      <c r="G100" s="68" t="n">
        <v>1611</v>
      </c>
      <c r="H100" s="70" t="n">
        <v>88</v>
      </c>
      <c r="I100" s="68" t="n">
        <v>549</v>
      </c>
      <c r="J100" s="69" t="n">
        <v>4.4</v>
      </c>
      <c r="K100" s="69" t="inlineStr">
        <is>
          <t>https://amazon.com/dp/B097R8Q122</t>
        </is>
      </c>
      <c r="L100" s="114">
        <f>HYPERLINK(Table5383[[#This Row],[Column1]])</f>
        <v/>
      </c>
    </row>
    <row r="101" ht="45" customHeight="1" s="314">
      <c r="A101" s="35" t="inlineStr">
        <is>
          <t>XTOOL IP500 2.0 for BMW OBD2 Scanner, Full Systems Bidirectional Scan Tool with ECU C0ding, Battery Registration Tool for BMW/MiNi/RR, All Services-(Injector C0ding/BMS/ABS), Lifetime Free Update</t>
        </is>
      </c>
      <c r="B101" s="35" t="inlineStr">
        <is>
          <t>B0DG2H3XP4</t>
        </is>
      </c>
      <c r="C101" s="35" t="inlineStr">
        <is>
          <t>Tablet</t>
        </is>
      </c>
      <c r="D101" s="359" t="n">
        <v>159.6906172839506</v>
      </c>
      <c r="E101" s="66" t="n">
        <v>162083.06</v>
      </c>
      <c r="F101" s="66" t="n">
        <v>12934.94</v>
      </c>
      <c r="G101" s="68" t="n">
        <v>1049</v>
      </c>
      <c r="H101" s="70" t="n">
        <v>81</v>
      </c>
      <c r="I101" s="68" t="n">
        <v>64</v>
      </c>
      <c r="J101" s="69" t="n">
        <v>4.4</v>
      </c>
      <c r="K101" s="69" t="inlineStr">
        <is>
          <t>https://amazon.com/dp/B0DG2H3XP4</t>
        </is>
      </c>
      <c r="L101" s="114">
        <f>HYPERLINK(Table5383[[#This Row],[Column1]])</f>
        <v/>
      </c>
    </row>
    <row r="102" ht="45" customHeight="1" s="314">
      <c r="A102" s="35" t="inlineStr">
        <is>
          <t>XTOOL IP616 V2.0 Bidirectional Scan Tool with Lifetime Free Updates, AI-Assisted Full System OBD2 Scanner Diagnostic Tool with 34+ Reset Services, Active Test, CAN FD &amp; DoIP, FCA AutoAuth, Android 10</t>
        </is>
      </c>
      <c r="B102" s="35" t="inlineStr">
        <is>
          <t>B0B8H2C4WH</t>
        </is>
      </c>
      <c r="C102" s="35" t="inlineStr">
        <is>
          <t>Tablet</t>
        </is>
      </c>
      <c r="D102" s="359" t="n">
        <v>324.2433333333333</v>
      </c>
      <c r="E102" s="66" t="n">
        <v>189475.2853846154</v>
      </c>
      <c r="F102" s="66" t="n">
        <v>24318.25</v>
      </c>
      <c r="G102" s="68" t="n">
        <v>473</v>
      </c>
      <c r="H102" s="70" t="n">
        <v>75</v>
      </c>
      <c r="I102" s="68" t="n">
        <v>200</v>
      </c>
      <c r="J102" s="69" t="n">
        <v>4.2</v>
      </c>
      <c r="K102" s="69" t="inlineStr">
        <is>
          <t>https://amazon.com/dp/B0B8H2C4WH</t>
        </is>
      </c>
      <c r="L102" s="114">
        <f>HYPERLINK(Table5383[[#This Row],[Column1]])</f>
        <v/>
      </c>
    </row>
    <row r="103" ht="45" customHeight="1" s="314">
      <c r="A103" s="35" t="inlineStr">
        <is>
          <t>XTOOL Carrying Case for OBD2 Scanner Diagnostic Tool, Waterproof Car Scanner Tool Protective Bag Compatible with D5, D5S, D6, D6S, D7, D7S, TP150, IP508S, IP608, IP616, IP819, Size 11''x 7''x 4''</t>
        </is>
      </c>
      <c r="B103" s="35" t="inlineStr">
        <is>
          <t>B0BNQF6JZK</t>
        </is>
      </c>
      <c r="C103" s="35" t="inlineStr">
        <is>
          <t>Other</t>
        </is>
      </c>
      <c r="D103" s="359" t="n">
        <v>25.08356164383562</v>
      </c>
      <c r="E103" s="66" t="n">
        <v>20461.21615384616</v>
      </c>
      <c r="F103" s="66" t="n">
        <v>1831.1</v>
      </c>
      <c r="G103" s="68" t="n">
        <v>736</v>
      </c>
      <c r="H103" s="70" t="n">
        <v>73</v>
      </c>
      <c r="I103" s="68" t="n">
        <v>65</v>
      </c>
      <c r="J103" s="69" t="n">
        <v>4.9</v>
      </c>
      <c r="K103" s="69" t="inlineStr">
        <is>
          <t>https://amazon.com/dp/B0BNQF6JZK</t>
        </is>
      </c>
      <c r="L103" s="114">
        <f>HYPERLINK(Table5383[[#This Row],[Column1]])</f>
        <v/>
      </c>
    </row>
    <row r="104" ht="45" customHeight="1" s="314">
      <c r="A104" s="35" t="inlineStr">
        <is>
          <t>XTOOL D7S OBD2 Scanner Diagnostic Tool 2026 AI-Assisted Bidirectional Scan Tool Ver. of D7 with ECU C0ding, Active Test, FCA, All-System 39+ Resets, EPB, Crankshaft Relearn, DoIP/CAN FD, 3-Yr Update</t>
        </is>
      </c>
      <c r="B104" s="35" t="inlineStr">
        <is>
          <t>B098L8FWGN</t>
        </is>
      </c>
      <c r="C104" s="35" t="inlineStr">
        <is>
          <t>Tablet</t>
        </is>
      </c>
      <c r="D104" s="359" t="n">
        <v>395.3752054794521</v>
      </c>
      <c r="E104" s="66" t="n">
        <v>556694.1</v>
      </c>
      <c r="F104" s="66" t="n">
        <v>28862.39</v>
      </c>
      <c r="G104" s="68" t="n">
        <v>1342</v>
      </c>
      <c r="H104" s="70" t="n">
        <v>73</v>
      </c>
      <c r="I104" s="68" t="n">
        <v>539</v>
      </c>
      <c r="J104" s="69" t="n">
        <v>4.3</v>
      </c>
      <c r="K104" s="69" t="inlineStr">
        <is>
          <t>https://amazon.com/dp/B098L8FWGN</t>
        </is>
      </c>
      <c r="L104" s="114">
        <f>HYPERLINK(Table5383[[#This Row],[Column1]])</f>
        <v/>
      </c>
    </row>
    <row r="105" ht="45" customHeight="1" s="314">
      <c r="A105" s="35" t="inlineStr">
        <is>
          <t>XTOOL Original OBD2 12+8 Adapter for Chrysler, OBD II Universal Security Gateway Bypass Connector for FCA SGW Car, Work with XTOOL D7/ D7S/D7W /D8/D8S/D8W/IP616/IP819/IK618/X100 Pad Scanner</t>
        </is>
      </c>
      <c r="B105" s="35" t="inlineStr">
        <is>
          <t>B0BYS1314P</t>
        </is>
      </c>
      <c r="C105" s="35" t="inlineStr">
        <is>
          <t>Cable/Adapter</t>
        </is>
      </c>
      <c r="D105" s="359" t="n">
        <v>19.99107142857143</v>
      </c>
      <c r="E105" s="66" t="n">
        <v>9597.529999999999</v>
      </c>
      <c r="F105" s="66" t="n">
        <v>1119.5</v>
      </c>
      <c r="G105" s="68" t="n">
        <v>422</v>
      </c>
      <c r="H105" s="70" t="n">
        <v>56</v>
      </c>
      <c r="I105" s="68" t="n">
        <v>52</v>
      </c>
      <c r="J105" s="69" t="n">
        <v>4.6</v>
      </c>
      <c r="K105" s="69" t="inlineStr">
        <is>
          <t>https://amazon.com/dp/B0BYS1314P</t>
        </is>
      </c>
      <c r="L105" s="114">
        <f>HYPERLINK(Table5383[[#This Row],[Column1]])</f>
        <v/>
      </c>
    </row>
    <row r="106" ht="60" customHeight="1" s="314">
      <c r="A106" s="35" t="inlineStr">
        <is>
          <t>XTOOL OBD2 Extension Cable, 1.64ft 16 Pin Male to Female Cable, Universal Extension Cord A30/A30D/A30M, D7, D8, D8BT, D9, D9 Pro, IP616, IP819, IP508, IP508S, IP608 Diagnostic Scanner</t>
        </is>
      </c>
      <c r="B106" s="35" t="inlineStr">
        <is>
          <t>B09YTTH4LD</t>
        </is>
      </c>
      <c r="C106" s="35" t="inlineStr">
        <is>
          <t>Cable/Adapter</t>
        </is>
      </c>
      <c r="D106" s="359" t="n">
        <v>11.06666666666667</v>
      </c>
      <c r="E106" s="66" t="n">
        <v>8559.744615384616</v>
      </c>
      <c r="F106" s="66" t="n">
        <v>564.4</v>
      </c>
      <c r="G106" s="68" t="n">
        <v>730</v>
      </c>
      <c r="H106" s="70" t="n">
        <v>51</v>
      </c>
      <c r="I106" s="68" t="n">
        <v>110</v>
      </c>
      <c r="J106" s="69" t="n">
        <v>4.7</v>
      </c>
      <c r="K106" s="69" t="inlineStr">
        <is>
          <t>https://amazon.com/dp/B09YTTH4LD</t>
        </is>
      </c>
      <c r="L106" s="114">
        <f>HYPERLINK(Table5383[[#This Row],[Column1]])</f>
        <v/>
      </c>
    </row>
    <row r="107" ht="45" customHeight="1" s="314">
      <c r="A107" s="35" t="inlineStr">
        <is>
          <t>XTOOL Original OBD2 12+8 Adapter Cable for Chrysler, OBD II Universal Security Gateway Bypass Cable for FCA SGW Vheicles, Fit for All scanners D5S IP919PRO D7 D6S D7S D7W D8S D8W IP616</t>
        </is>
      </c>
      <c r="B107" s="35" t="inlineStr">
        <is>
          <t>B0FLQDNLCJ</t>
        </is>
      </c>
      <c r="C107" s="35" t="inlineStr">
        <is>
          <t>Cable/Adapter</t>
        </is>
      </c>
      <c r="D107" s="359" t="n">
        <v>20.0272</v>
      </c>
      <c r="E107" s="66" t="n">
        <v>11229.24307692308</v>
      </c>
      <c r="F107" s="66" t="n">
        <v>1001.36</v>
      </c>
      <c r="G107" s="68" t="n">
        <v>99</v>
      </c>
      <c r="H107" s="70" t="n">
        <v>50</v>
      </c>
      <c r="I107" s="68" t="n">
        <v>3</v>
      </c>
      <c r="J107" s="69" t="n">
        <v>4.6</v>
      </c>
      <c r="K107" s="69" t="inlineStr">
        <is>
          <t>https://amazon.com/dp/B0FLQDNLCJ</t>
        </is>
      </c>
      <c r="L107" s="114">
        <f>HYPERLINK(Table5383[[#This Row],[Column1]])</f>
        <v/>
      </c>
    </row>
    <row r="108" ht="45" customHeight="1" s="314">
      <c r="A108" s="35" t="inlineStr">
        <is>
          <t>XTOOL D7W OBD2 Scanner Diagnostic Tool: 2026 Wireless Ver. of D7/D7S/D7BT, AI-Assisted Bidirectional Scan Tool with Full System Diagnostic, PMI, ECU Coding, 39+ Resets, CAN FD/DoIP, Scanner for Car</t>
        </is>
      </c>
      <c r="B108" s="35" t="inlineStr">
        <is>
          <t>B099K7SSTQ</t>
        </is>
      </c>
      <c r="C108" s="35" t="inlineStr">
        <is>
          <t>Tablet</t>
        </is>
      </c>
      <c r="D108" s="359" t="n">
        <v>500.2091489361703</v>
      </c>
      <c r="E108" s="66" t="n">
        <v>538088.3100000001</v>
      </c>
      <c r="F108" s="66" t="n">
        <v>23509.83</v>
      </c>
      <c r="G108" s="68" t="n">
        <v>1155</v>
      </c>
      <c r="H108" s="70" t="n">
        <v>47</v>
      </c>
      <c r="I108" s="68" t="n">
        <v>515</v>
      </c>
      <c r="J108" s="69" t="n">
        <v>4.3</v>
      </c>
      <c r="K108" s="69" t="inlineStr">
        <is>
          <t>https://amazon.com/dp/B099K7SSTQ</t>
        </is>
      </c>
      <c r="L108" s="114">
        <f>HYPERLINK(Table5383[[#This Row],[Column1]])</f>
        <v/>
      </c>
    </row>
    <row r="109" ht="45" customHeight="1" s="314">
      <c r="A109" s="35" t="inlineStr">
        <is>
          <t>XTOOL Advancer AD20 Bluetooth OBD2 Scanner Diagnostic Tool, Lifetime Update, Check Engine Code Reader for iPhone/Android, Scanner for Car, Mode 6, Live Data, Freeze Frame, Performance/Voltage Test</t>
        </is>
      </c>
      <c r="B109" s="35" t="inlineStr">
        <is>
          <t>B0BRKR247Y</t>
        </is>
      </c>
      <c r="C109" s="35" t="inlineStr">
        <is>
          <t>Dongle</t>
        </is>
      </c>
      <c r="D109" s="359" t="n">
        <v>23.61076923076923</v>
      </c>
      <c r="E109" s="66" t="n">
        <v>34057.22</v>
      </c>
      <c r="F109" s="66" t="n">
        <v>920.8200000000001</v>
      </c>
      <c r="G109" s="68" t="n">
        <v>1537</v>
      </c>
      <c r="H109" s="70" t="n">
        <v>39</v>
      </c>
      <c r="I109" s="68" t="n">
        <v>793</v>
      </c>
      <c r="J109" s="69" t="n">
        <v>4.2</v>
      </c>
      <c r="K109" s="69" t="inlineStr">
        <is>
          <t>https://amazon.com/dp/B0BRKR247Y</t>
        </is>
      </c>
      <c r="L109" s="114">
        <f>HYPERLINK(Table5383[[#This Row],[Column1]])</f>
        <v/>
      </c>
    </row>
    <row r="110" ht="30" customHeight="1" s="314">
      <c r="A110" s="35" t="inlineStr">
        <is>
          <t>XTOOL D8W Wireless OBD2 Scanner Diagnostic Tool 2026 AI-Assisted Bidirectional Scan Tool with Topology Mapping, ECU C0ding, 42+ Resets, CAN FD &amp; DoIP, All System Scanner for Car, 3-Yr Update</t>
        </is>
      </c>
      <c r="B110" s="35" t="inlineStr">
        <is>
          <t>B09N8LKGCY</t>
        </is>
      </c>
      <c r="C110" s="35" t="inlineStr">
        <is>
          <t>Tablet</t>
        </is>
      </c>
      <c r="D110" s="359" t="n">
        <v>615.3888888888889</v>
      </c>
      <c r="E110" s="66" t="n">
        <v>449129.91</v>
      </c>
      <c r="F110" s="66" t="n">
        <v>22154</v>
      </c>
      <c r="G110" s="68" t="n">
        <v>721</v>
      </c>
      <c r="H110" s="70" t="n">
        <v>36</v>
      </c>
      <c r="I110" s="68" t="n">
        <v>359</v>
      </c>
      <c r="J110" s="69" t="n">
        <v>4.2</v>
      </c>
      <c r="K110" s="69" t="inlineStr">
        <is>
          <t>https://amazon.com/dp/B09N8LKGCY</t>
        </is>
      </c>
      <c r="L110" s="114">
        <f>HYPERLINK(Table5383[[#This Row],[Column1]])</f>
        <v/>
      </c>
    </row>
    <row r="111" ht="45" customHeight="1" s="314">
      <c r="A111" s="35" t="inlineStr">
        <is>
          <t>XTOOL IP919 PRO 2.0V 10''OE Level Scan Tool, Topology Mapping OBD2 Scanner with Bidirectional Test, 51+ Reset, Upgrade of D9S PRO, Automotive Scanner for Car, ADAS Diagnostic Scanner, FCA/CAN FD/DoIP</t>
        </is>
      </c>
      <c r="B111" s="35" t="inlineStr">
        <is>
          <t>B0DBLQXQ6W</t>
        </is>
      </c>
      <c r="C111" s="35" t="inlineStr">
        <is>
          <t>Tablet</t>
        </is>
      </c>
      <c r="D111" s="359" t="n">
        <v>1474.73875</v>
      </c>
      <c r="E111" s="66" t="n">
        <v>797173.383846154</v>
      </c>
      <c r="F111" s="66" t="n">
        <v>47191.64</v>
      </c>
      <c r="G111" s="68" t="n">
        <v>489</v>
      </c>
      <c r="H111" s="70" t="n">
        <v>32</v>
      </c>
      <c r="I111" s="68" t="n">
        <v>72</v>
      </c>
      <c r="J111" s="69" t="n">
        <v>4.4</v>
      </c>
      <c r="K111" s="69" t="inlineStr">
        <is>
          <t>https://amazon.com/dp/B0DBLQXQ6W</t>
        </is>
      </c>
      <c r="L111" s="114">
        <f>HYPERLINK(Table5383[[#This Row],[Column1]])</f>
        <v/>
      </c>
    </row>
    <row r="112" ht="45" customHeight="1" s="314">
      <c r="A112" s="35" t="inlineStr">
        <is>
          <t>XTOOL XTOOL12+8 Cable Adapter for FCA Chrysler, Work X100 PAD PLUS/PADS/IP616/IP819/IK618/D7/D7S/D7W/D8/D8S/D8BT/D8W/D9/D9S/D9 PRO/D9S PRO/X100 PAD3/MAX</t>
        </is>
      </c>
      <c r="B112" s="35" t="inlineStr">
        <is>
          <t>B0B4D76NWB</t>
        </is>
      </c>
      <c r="C112" s="35" t="inlineStr">
        <is>
          <t>Cable/Adapter</t>
        </is>
      </c>
      <c r="D112" s="359" t="n">
        <v>19.67709677419355</v>
      </c>
      <c r="E112" s="66" t="n">
        <v>17850.87</v>
      </c>
      <c r="F112" s="66" t="n">
        <v>609.99</v>
      </c>
      <c r="G112" s="68" t="n">
        <v>820</v>
      </c>
      <c r="H112" s="70" t="n">
        <v>31</v>
      </c>
      <c r="I112" s="68" t="n">
        <v>142</v>
      </c>
      <c r="J112" s="69" t="n">
        <v>4.7</v>
      </c>
      <c r="K112" s="69" t="inlineStr">
        <is>
          <t>https://amazon.com/dp/B0B4D76NWB</t>
        </is>
      </c>
      <c r="L112" s="114">
        <f>HYPERLINK(Table5383[[#This Row],[Column1]])</f>
        <v/>
      </c>
    </row>
    <row r="113" ht="60" customHeight="1" s="314">
      <c r="A113" s="35" t="inlineStr">
        <is>
          <t>XTOOL OBD2 Main Test Cable - VGA to OBD2-16, Universal Scanner Replacement for IP508, IP508S, IP608, IP616, IP819, D7, D7S</t>
        </is>
      </c>
      <c r="B113" s="35" t="inlineStr">
        <is>
          <t>B0BVRH9ZF7</t>
        </is>
      </c>
      <c r="C113" s="35" t="inlineStr">
        <is>
          <t>Cable/Adapter</t>
        </is>
      </c>
      <c r="D113" s="359" t="n">
        <v>40.25956521739131</v>
      </c>
      <c r="E113" s="66" t="n">
        <v>12859.30153846154</v>
      </c>
      <c r="F113" s="66" t="n">
        <v>925.97</v>
      </c>
      <c r="G113" s="68" t="n">
        <v>301</v>
      </c>
      <c r="H113" s="70" t="n">
        <v>23</v>
      </c>
      <c r="I113" s="68" t="n">
        <v>27</v>
      </c>
      <c r="J113" s="69" t="n">
        <v>4.2</v>
      </c>
      <c r="K113" s="69" t="inlineStr">
        <is>
          <t>https://amazon.com/dp/B0BVRH9ZF7</t>
        </is>
      </c>
      <c r="L113" s="114">
        <f>HYPERLINK(Table5383[[#This Row],[Column1]])</f>
        <v/>
      </c>
    </row>
    <row r="114" ht="45" customHeight="1" s="314">
      <c r="A114" s="35" t="inlineStr">
        <is>
          <t>XTOOL D9S PRO Scan Tool with ECU Programming/Coding: 2026 AI-Assisted Wireless Automotive Diagnostic Scanner with Bidirectional, Topology Map, 45+ Services, FCA/DoIP/CAN FD, Full System, 3-Year Update</t>
        </is>
      </c>
      <c r="B114" s="35" t="inlineStr">
        <is>
          <t>B0BGL2YY8J</t>
        </is>
      </c>
      <c r="C114" s="35" t="inlineStr">
        <is>
          <t>Tablet</t>
        </is>
      </c>
      <c r="D114" s="359" t="n">
        <v>1354.843529411765</v>
      </c>
      <c r="E114" s="66" t="n">
        <v>433645.1200000001</v>
      </c>
      <c r="F114" s="66" t="n">
        <v>23032.34</v>
      </c>
      <c r="G114" s="68" t="n">
        <v>331</v>
      </c>
      <c r="H114" s="70" t="n">
        <v>17</v>
      </c>
      <c r="I114" s="68" t="n">
        <v>124</v>
      </c>
      <c r="J114" s="69" t="n">
        <v>4.3</v>
      </c>
      <c r="K114" s="69" t="inlineStr">
        <is>
          <t>https://amazon.com/dp/B0BGL2YY8J</t>
        </is>
      </c>
      <c r="L114" s="114">
        <f>HYPERLINK(Table5383[[#This Row],[Column1]])</f>
        <v/>
      </c>
    </row>
    <row r="115" ht="30" customHeight="1" s="314">
      <c r="A115" s="35" t="inlineStr">
        <is>
          <t>XTOOL IP900BT OBD2 Scanner Diagnostic Tool, ECU C0ding Automative Scanner, AI-Assisted Wireless Scan Tool with 41+ Reset, 4000+ Bidirectional Scanner for Car, CAN FD/DoIP/FCA, 3-Y Update</t>
        </is>
      </c>
      <c r="B115" s="35" t="inlineStr">
        <is>
          <t>B09KZZT818</t>
        </is>
      </c>
      <c r="C115" s="35" t="inlineStr">
        <is>
          <t>Tablet</t>
        </is>
      </c>
      <c r="D115" s="359" t="n">
        <v>586.1</v>
      </c>
      <c r="E115" s="66" t="n">
        <v>107768.1084615384</v>
      </c>
      <c r="F115" s="66" t="n">
        <v>8791.5</v>
      </c>
      <c r="G115" s="68" t="n">
        <v>31</v>
      </c>
      <c r="H115" s="70" t="n">
        <v>15</v>
      </c>
      <c r="I115" s="68" t="n">
        <v>141</v>
      </c>
      <c r="J115" s="69" t="n">
        <v>4.3</v>
      </c>
      <c r="K115" s="69" t="inlineStr">
        <is>
          <t>https://amazon.com/dp/B09KZZT818</t>
        </is>
      </c>
      <c r="L115" s="114">
        <f>HYPERLINK(Table5383[[#This Row],[Column1]])</f>
        <v/>
      </c>
    </row>
    <row r="116" ht="45" customHeight="1" s="314">
      <c r="A116" s="35" t="inlineStr">
        <is>
          <t>XTOOL X100 MAX AI-Assisted Bidirectional Scan Tool with ECU Pr0gramming &amp; C0ding, Wireless Automotive Diagnostic Tool with Topology Map and [KC501 Adapter], 42+ Resets, FCA/CAN FD/DoIP, 2-Year Updates</t>
        </is>
      </c>
      <c r="B116" s="35" t="inlineStr">
        <is>
          <t>B0FJXVCGSS</t>
        </is>
      </c>
      <c r="C116" s="35" t="inlineStr">
        <is>
          <t>Tablet</t>
        </is>
      </c>
      <c r="D116" s="359" t="n">
        <v>1199.123571428571</v>
      </c>
      <c r="E116" s="66" t="n">
        <v>144905.7307692308</v>
      </c>
      <c r="F116" s="66" t="n">
        <v>16787.73</v>
      </c>
      <c r="G116" s="68" t="n">
        <v>50</v>
      </c>
      <c r="H116" s="70" t="n">
        <v>14</v>
      </c>
      <c r="I116" s="68" t="n">
        <v>1</v>
      </c>
      <c r="J116" s="69" t="n">
        <v>5</v>
      </c>
      <c r="K116" s="69" t="inlineStr">
        <is>
          <t>https://amazon.com/dp/B0FJXVCGSS</t>
        </is>
      </c>
      <c r="L116" s="114">
        <f>HYPERLINK(Table5383[[#This Row],[Column1]])</f>
        <v/>
      </c>
    </row>
    <row r="117" ht="30" customHeight="1" s="314">
      <c r="A117" s="35" t="inlineStr">
        <is>
          <t>XTOOL Scanner D9S PRO, AI-Assisted, ECU Pr0gramming/C0ding Scan Tool with Bidirectional Control, Topology Map, with 45+ Resets, OE-Level Full System, PMI, FCA/CAN FD/DoIP, 3-Yr Update</t>
        </is>
      </c>
      <c r="B117" s="35" t="inlineStr">
        <is>
          <t>B0BNHG61Q3</t>
        </is>
      </c>
      <c r="C117" s="35" t="inlineStr">
        <is>
          <t>Tablet</t>
        </is>
      </c>
      <c r="D117" s="359" t="n">
        <v>1386.8475</v>
      </c>
      <c r="E117" s="66" t="n">
        <v>216598.51</v>
      </c>
      <c r="F117" s="66" t="n">
        <v>16642.17</v>
      </c>
      <c r="G117" s="68" t="n">
        <v>161</v>
      </c>
      <c r="H117" s="70" t="n">
        <v>12</v>
      </c>
      <c r="I117" s="68" t="n">
        <v>63</v>
      </c>
      <c r="J117" s="69" t="n">
        <v>4</v>
      </c>
      <c r="K117" s="69" t="inlineStr">
        <is>
          <t>https://amazon.com/dp/B0BNHG61Q3</t>
        </is>
      </c>
      <c r="L117" s="114">
        <f>HYPERLINK(Table5383[[#This Row],[Column1]])</f>
        <v/>
      </c>
    </row>
    <row r="118" ht="45" customHeight="1" s="314">
      <c r="A118" s="35" t="inlineStr">
        <is>
          <t>XTOOL D7 Bidirectional Scan Tool, 2026 Ai-Assisted Full System OBD2 Scanner Diagnostic Tool for Car with ECU C0ding, Active Tests, FCA, CANFD/DoIP, 36+ Resets, Crank Sensor Relearn, 3 Years Updates</t>
        </is>
      </c>
      <c r="B118" s="35" t="inlineStr">
        <is>
          <t>B0BR81J15L</t>
        </is>
      </c>
      <c r="C118" s="35" t="inlineStr">
        <is>
          <t>Tablet</t>
        </is>
      </c>
      <c r="D118" s="359" t="n">
        <v>413.8808333333333</v>
      </c>
      <c r="E118" s="66" t="n">
        <v>92679.53615384616</v>
      </c>
      <c r="F118" s="66" t="n">
        <v>4966.57</v>
      </c>
      <c r="G118" s="68" t="n">
        <v>213</v>
      </c>
      <c r="H118" s="70" t="n">
        <v>12</v>
      </c>
      <c r="I118" s="68" t="n">
        <v>138</v>
      </c>
      <c r="J118" s="69" t="n">
        <v>4.3</v>
      </c>
      <c r="K118" s="69" t="inlineStr">
        <is>
          <t>https://amazon.com/dp/B0BR81J15L</t>
        </is>
      </c>
      <c r="L118" s="114">
        <f>HYPERLINK(Table5383[[#This Row],[Column1]])</f>
        <v/>
      </c>
    </row>
    <row r="119" ht="45" customHeight="1" s="314">
      <c r="A119" s="35" t="inlineStr">
        <is>
          <t>XTOOL D9 MAX AI-Assisted Automotive Diagnostic Scanner, J2534 Reprogramming Tool, Wireless Bidirectional Scan Tool, OBD2 Scanner with Topology Mapping, 45+ Relearns, ECU Coding, FCA/DoIP/CAN FD</t>
        </is>
      </c>
      <c r="B119" s="35" t="inlineStr">
        <is>
          <t>B0FMRVF9N7</t>
        </is>
      </c>
      <c r="C119" s="35" t="inlineStr">
        <is>
          <t>Tablet</t>
        </is>
      </c>
      <c r="D119" s="359" t="n">
        <v>1660.060833333333</v>
      </c>
      <c r="E119" s="66" t="n">
        <v>170439.213076923</v>
      </c>
      <c r="F119" s="66" t="n">
        <v>19920.73</v>
      </c>
      <c r="G119" s="68" t="n">
        <v>26</v>
      </c>
      <c r="H119" s="70" t="n">
        <v>12</v>
      </c>
      <c r="I119" s="68" t="n">
        <v>2</v>
      </c>
      <c r="J119" s="69" t="n">
        <v>5</v>
      </c>
      <c r="K119" s="69" t="inlineStr">
        <is>
          <t>https://amazon.com/dp/B0FMRVF9N7</t>
        </is>
      </c>
      <c r="L119" s="114">
        <f>HYPERLINK(Table5383[[#This Row],[Column1]])</f>
        <v/>
      </c>
    </row>
    <row r="120" ht="45" customHeight="1" s="314">
      <c r="A120" s="35" t="inlineStr">
        <is>
          <t>XTOOL TP380 TPMS Programming Tool &amp; OBD2 Scanner: 2026 2-in-1 Car Diagnostic Tool, TPMS Relearn/Reset, 5 System Diagnosis, 13+ Service Functions(Oil/BMS/ABS), Lifetime Free Updates, No Subscription</t>
        </is>
      </c>
      <c r="B120" s="35" t="inlineStr">
        <is>
          <t>B0GLGBH3MZ</t>
        </is>
      </c>
      <c r="C120" s="35" t="inlineStr">
        <is>
          <t>Tablet</t>
        </is>
      </c>
      <c r="D120" s="359" t="n">
        <v>248.92</v>
      </c>
      <c r="E120" s="66" t="n">
        <v>36074.2523076923</v>
      </c>
      <c r="F120" s="66" t="n">
        <v>2987.04</v>
      </c>
      <c r="G120" s="68" t="n">
        <v>12</v>
      </c>
      <c r="H120" s="70" t="n">
        <v>12</v>
      </c>
      <c r="I120" s="68" t="n"/>
      <c r="J120" s="69" t="n"/>
      <c r="K120" s="69" t="inlineStr">
        <is>
          <t>https://amazon.com/dp/B0GLGBH3MZ</t>
        </is>
      </c>
      <c r="L120" s="114">
        <f>HYPERLINK(Table5383[[#This Row],[Column1]])</f>
        <v/>
      </c>
    </row>
    <row r="121" ht="45" customHeight="1" s="314">
      <c r="A121" s="35" t="inlineStr">
        <is>
          <t>OBD2 Scanner Diagnostic Tool XTOOL IP508S: Code Reader for Cars &amp; Trucks with 15 Resets, Crank Sensor Relearn, ABS Bleed, CAN FD for GM, Engine, ABS, SRS, Transmission Car Diagnostic Tool, Android 10</t>
        </is>
      </c>
      <c r="B121" s="35" t="inlineStr">
        <is>
          <t>B0BL3125HB</t>
        </is>
      </c>
      <c r="C121" s="35" t="inlineStr">
        <is>
          <t>Tablet</t>
        </is>
      </c>
      <c r="D121" s="359" t="n">
        <v>205.646</v>
      </c>
      <c r="E121" s="66" t="n">
        <v>55863.71999999999</v>
      </c>
      <c r="F121" s="66" t="n">
        <v>2056.46</v>
      </c>
      <c r="G121" s="68" t="n">
        <v>274</v>
      </c>
      <c r="H121" s="70" t="n">
        <v>10</v>
      </c>
      <c r="I121" s="68" t="n">
        <v>147</v>
      </c>
      <c r="J121" s="69" t="n">
        <v>4.2</v>
      </c>
      <c r="K121" s="69" t="inlineStr">
        <is>
          <t>https://amazon.com/dp/B0BL3125HB</t>
        </is>
      </c>
      <c r="L121" s="114">
        <f>HYPERLINK(Table5383[[#This Row],[Column1]])</f>
        <v/>
      </c>
    </row>
    <row r="122" ht="45" customHeight="1" s="314">
      <c r="A122" s="35" t="inlineStr">
        <is>
          <t>XTOOL Scanner D9S 2.0, AI-Assisted Bidirectional Scan Tool with ECU C0ding, Wireless Automotive Diagnostic Tool with Topology Map, PMI, 45+ Resets, FCA/CAN FD/DoIP, 3-Year Update</t>
        </is>
      </c>
      <c r="B122" s="35" t="inlineStr">
        <is>
          <t>B09LYZ26PX</t>
        </is>
      </c>
      <c r="C122" s="35" t="inlineStr">
        <is>
          <t>Tablet</t>
        </is>
      </c>
      <c r="D122" s="359" t="n">
        <v>1064.854</v>
      </c>
      <c r="E122" s="66" t="n">
        <v>251295.15</v>
      </c>
      <c r="F122" s="66" t="n">
        <v>10648.54</v>
      </c>
      <c r="G122" s="68" t="n">
        <v>254</v>
      </c>
      <c r="H122" s="70" t="n">
        <v>10</v>
      </c>
      <c r="I122" s="68" t="n">
        <v>104</v>
      </c>
      <c r="J122" s="69" t="n">
        <v>4.5</v>
      </c>
      <c r="K122" s="69" t="inlineStr">
        <is>
          <t>https://amazon.com/dp/B09LYZ26PX</t>
        </is>
      </c>
      <c r="L122" s="114">
        <f>HYPERLINK(Table5383[[#This Row],[Column1]])</f>
        <v/>
      </c>
    </row>
    <row r="123" ht="45" customHeight="1" s="314">
      <c r="A123" s="35" t="inlineStr">
        <is>
          <t>XTOOL IP919 MAX OBD2 Scanner with J2534 Pr0gramming Scan Tool, Topology Map, 51+Resets, ECU C0ding, Upgrade of IP919 PRO, AutoAuth for FCA, CAN FD/DoIP, All System Bidirectional Scanner, 3-y Update</t>
        </is>
      </c>
      <c r="B123" s="35" t="inlineStr">
        <is>
          <t>B09PYMMH86</t>
        </is>
      </c>
      <c r="C123" s="35" t="inlineStr">
        <is>
          <t>Tablet</t>
        </is>
      </c>
      <c r="D123" s="359" t="n">
        <v>1854.542222222222</v>
      </c>
      <c r="E123" s="66" t="n">
        <v>224769.3646153846</v>
      </c>
      <c r="F123" s="66" t="n">
        <v>16690.88</v>
      </c>
      <c r="G123" s="68" t="n">
        <v>82</v>
      </c>
      <c r="H123" s="70" t="n">
        <v>9</v>
      </c>
      <c r="I123" s="68" t="n">
        <v>15</v>
      </c>
      <c r="J123" s="69" t="n">
        <v>3.6</v>
      </c>
      <c r="K123" s="69" t="inlineStr">
        <is>
          <t>https://amazon.com/dp/B09PYMMH86</t>
        </is>
      </c>
      <c r="L123" s="114">
        <f>HYPERLINK(Table5383[[#This Row],[Column1]])</f>
        <v/>
      </c>
    </row>
    <row r="124" ht="45" customHeight="1" s="314">
      <c r="A124" s="35" t="inlineStr">
        <is>
          <t>XTOOL X100 PAD3 AI-Assisted Scan Tool &amp; Pr0grammer Tool with [KC100+EEPROM Adapter Kit], All System Bidirectional OBD2 Scanner with FCA AutoAuth, 38+ Resets, ECU C0ding, CAN FD &amp; DOIP, 2 Years Update</t>
        </is>
      </c>
      <c r="B124" s="35" t="inlineStr">
        <is>
          <t>B0FJS2RKX9</t>
        </is>
      </c>
      <c r="C124" s="35" t="inlineStr">
        <is>
          <t>Tablet</t>
        </is>
      </c>
      <c r="D124" s="359" t="n">
        <v>763.4122222222222</v>
      </c>
      <c r="E124" s="66" t="n">
        <v>81381.61923076924</v>
      </c>
      <c r="F124" s="66" t="n">
        <v>6870.71</v>
      </c>
      <c r="G124" s="68" t="n">
        <v>54</v>
      </c>
      <c r="H124" s="70" t="n">
        <v>9</v>
      </c>
      <c r="I124" s="68" t="n">
        <v>3</v>
      </c>
      <c r="J124" s="69" t="n">
        <v>5</v>
      </c>
      <c r="K124" s="69" t="inlineStr">
        <is>
          <t>https://amazon.com/dp/B0FJS2RKX9</t>
        </is>
      </c>
      <c r="L124" s="114">
        <f>HYPERLINK(Table5383[[#This Row],[Column1]])</f>
        <v/>
      </c>
    </row>
    <row r="125" ht="45" customHeight="1" s="314">
      <c r="A125" s="35" t="inlineStr">
        <is>
          <t>XTOOL IP819 V2.0 Bidirectional Scan Tool, AI Assisted Car Scanner Diagnostic Tool with 39+ Resets, Full System, FCA, CAN FD/DOIP, EPB/ABS/Throttle/Crank Sensor Relearn, 3-Year Free Updates</t>
        </is>
      </c>
      <c r="B125" s="35" t="inlineStr">
        <is>
          <t>B0B8GZ1M6K</t>
        </is>
      </c>
      <c r="C125" s="35" t="inlineStr">
        <is>
          <t>Tablet</t>
        </is>
      </c>
      <c r="D125" s="359" t="n">
        <v>438.7266666666667</v>
      </c>
      <c r="E125" s="66" t="n">
        <v>145761.39</v>
      </c>
      <c r="F125" s="66" t="n">
        <v>3948.54</v>
      </c>
      <c r="G125" s="68" t="n">
        <v>343</v>
      </c>
      <c r="H125" s="70" t="n">
        <v>9</v>
      </c>
      <c r="I125" s="68" t="n">
        <v>91</v>
      </c>
      <c r="J125" s="69" t="n">
        <v>4.2</v>
      </c>
      <c r="K125" s="69" t="inlineStr">
        <is>
          <t>https://amazon.com/dp/B0B8GZ1M6K</t>
        </is>
      </c>
      <c r="L125" s="114">
        <f>HYPERLINK(Table5383[[#This Row],[Column1]])</f>
        <v/>
      </c>
    </row>
    <row r="126" ht="45" customHeight="1" s="314">
      <c r="A126" s="35" t="inlineStr">
        <is>
          <t>XTOOL D9S Topology Mapping OBD2 Scanner, Wireless ECU Coding &amp; Bidirectional Automotive Diagnostic Scan Tool, PMI for Ford, AI-Assisted, 45+ Resets, 8 PIDs Live Data, FCA, Full System, 3-Year Updates</t>
        </is>
      </c>
      <c r="B126" s="35" t="inlineStr">
        <is>
          <t>B0BHYRQ5WZ</t>
        </is>
      </c>
      <c r="C126" s="35" t="inlineStr">
        <is>
          <t>Tablet</t>
        </is>
      </c>
      <c r="D126" s="359" t="n">
        <v>971.688888888889</v>
      </c>
      <c r="E126" s="66" t="n">
        <v>155753.4</v>
      </c>
      <c r="F126" s="66" t="n">
        <v>8745.200000000001</v>
      </c>
      <c r="G126" s="68" t="n">
        <v>147</v>
      </c>
      <c r="H126" s="70" t="n">
        <v>9</v>
      </c>
      <c r="I126" s="68" t="n">
        <v>88</v>
      </c>
      <c r="J126" s="69" t="n">
        <v>4.3</v>
      </c>
      <c r="K126" s="69" t="inlineStr">
        <is>
          <t>https://amazon.com/dp/B0BHYRQ5WZ</t>
        </is>
      </c>
      <c r="L126" s="114">
        <f>HYPERLINK(Table5383[[#This Row],[Column1]])</f>
        <v/>
      </c>
    </row>
    <row r="127" ht="45" customHeight="1" s="314">
      <c r="A127" s="35" t="inlineStr">
        <is>
          <t>XTOOL IP900 Bidirectional Scan Tool 2026 Upgraded AI Assisted, OBD2 Scanner Diagnostic Tool, ECU C0ding, 41+ Resets, FCA, CAN FD&amp;DoIP, Pre &amp; Post Scan, All System Scanner for Car, 3-Year Update</t>
        </is>
      </c>
      <c r="B127" s="35" t="inlineStr">
        <is>
          <t>B0BQ3G6W9B</t>
        </is>
      </c>
      <c r="C127" s="35" t="inlineStr">
        <is>
          <t>Tablet</t>
        </is>
      </c>
      <c r="D127" s="359" t="n">
        <v>521.6311111111112</v>
      </c>
      <c r="E127" s="66" t="n">
        <v>82580.55076923077</v>
      </c>
      <c r="F127" s="66" t="n">
        <v>4694.68</v>
      </c>
      <c r="G127" s="68" t="n">
        <v>148</v>
      </c>
      <c r="H127" s="70" t="n">
        <v>9</v>
      </c>
      <c r="I127" s="68" t="n">
        <v>81</v>
      </c>
      <c r="J127" s="69" t="n">
        <v>4.3</v>
      </c>
      <c r="K127" s="69" t="inlineStr">
        <is>
          <t>https://amazon.com/dp/B0BQ3G6W9B</t>
        </is>
      </c>
      <c r="L127" s="114">
        <f>HYPERLINK(Table5383[[#This Row],[Column1]])</f>
        <v/>
      </c>
    </row>
    <row r="128" ht="45" customHeight="1" s="314">
      <c r="A128" s="35" t="inlineStr">
        <is>
          <t>OBD2 Scanner Diagnostic Tool XTOOL D6: All System Scanner for Car with Free Updates, 15 Resets, Throttle Body Relearn, ABS Bleed, FCA AutoAuth &amp; CAN FD, 2026 Upgrade Ver. of XTOOL D5/D5S</t>
        </is>
      </c>
      <c r="B128" s="35" t="inlineStr">
        <is>
          <t>B0DFCLSKMB</t>
        </is>
      </c>
      <c r="C128" s="35" t="inlineStr">
        <is>
          <t>Tablet</t>
        </is>
      </c>
      <c r="D128" s="359" t="n">
        <v>247.1975</v>
      </c>
      <c r="E128" s="66" t="n">
        <v>42755.26</v>
      </c>
      <c r="F128" s="66" t="n">
        <v>1977.58</v>
      </c>
      <c r="G128" s="68" t="n">
        <v>183</v>
      </c>
      <c r="H128" s="70" t="n">
        <v>8</v>
      </c>
      <c r="I128" s="68" t="n">
        <v>28</v>
      </c>
      <c r="J128" s="69" t="n">
        <v>4.3</v>
      </c>
      <c r="K128" s="69" t="inlineStr">
        <is>
          <t>https://amazon.com/dp/B0DFCLSKMB</t>
        </is>
      </c>
      <c r="L128" s="114">
        <f>HYPERLINK(Table5383[[#This Row],[Column1]])</f>
        <v/>
      </c>
    </row>
    <row r="129" ht="45" customHeight="1" s="314">
      <c r="A129" s="35" t="inlineStr">
        <is>
          <t>XTOOL OBD2 Extension Cable 16 Pin OBDII Male to Female 1.64ft, Universal Replacement Cable Diagnostic Scanner, for Anyscan A30/A30D/A30M and More</t>
        </is>
      </c>
      <c r="B129" s="35" t="inlineStr">
        <is>
          <t>B0B4D84M2V</t>
        </is>
      </c>
      <c r="C129" s="35" t="inlineStr">
        <is>
          <t>Cable/Adapter</t>
        </is>
      </c>
      <c r="D129" s="359" t="n">
        <v>9.963749999999999</v>
      </c>
      <c r="E129" s="66" t="n">
        <v>716.896923076923</v>
      </c>
      <c r="F129" s="66" t="n">
        <v>79.70999999999999</v>
      </c>
      <c r="G129" s="68" t="n">
        <v>58</v>
      </c>
      <c r="H129" s="70" t="n">
        <v>8</v>
      </c>
      <c r="I129" s="68" t="n">
        <v>4</v>
      </c>
      <c r="J129" s="69" t="n">
        <v>5</v>
      </c>
      <c r="K129" s="69" t="inlineStr">
        <is>
          <t>https://amazon.com/dp/B0B4D84M2V</t>
        </is>
      </c>
      <c r="L129" s="114">
        <f>HYPERLINK(Table5383[[#This Row],[Column1]])</f>
        <v/>
      </c>
    </row>
    <row r="130" ht="45" customHeight="1" s="314">
      <c r="A130" s="35" t="inlineStr">
        <is>
          <t>XTOOL KC100, Work with X100 PADS/IK618/X100 PAD3/X100 MAX, D8S/D8W, D9S/D9S PRO, Work Together with XTOOL Automotive Scan Tool</t>
        </is>
      </c>
      <c r="B130" s="35" t="inlineStr">
        <is>
          <t>B0FVSJR6DY</t>
        </is>
      </c>
      <c r="C130" s="35" t="inlineStr">
        <is>
          <t>Key</t>
        </is>
      </c>
      <c r="D130" s="359" t="n">
        <v>282.25</v>
      </c>
      <c r="E130" s="66" t="n">
        <v>24583.82692307692</v>
      </c>
      <c r="F130" s="66" t="n">
        <v>2258</v>
      </c>
      <c r="G130" s="68" t="n">
        <v>13</v>
      </c>
      <c r="H130" s="70" t="n">
        <v>8</v>
      </c>
      <c r="I130" s="68" t="n"/>
      <c r="J130" s="69" t="n"/>
      <c r="K130" s="69" t="inlineStr">
        <is>
          <t>https://amazon.com/dp/B0FVSJR6DY</t>
        </is>
      </c>
      <c r="L130" s="114">
        <f>HYPERLINK(Table5383[[#This Row],[Column1]])</f>
        <v/>
      </c>
    </row>
    <row r="131" ht="45" customHeight="1" s="314">
      <c r="A131" s="35" t="inlineStr">
        <is>
          <t>XTOOL IP919 AI-Assisted Diagnostic Scanner for Car, 2026 Ver.Bidirectional Scan Tool with Topology Map, ECU C0ding,8-Core Processor, 51+ Resets, All System OBD2 Scanner, 3-Y Free Update</t>
        </is>
      </c>
      <c r="B131" s="35" t="inlineStr">
        <is>
          <t>B0DBLMWKWW</t>
        </is>
      </c>
      <c r="C131" s="35" t="inlineStr">
        <is>
          <t>Tablet</t>
        </is>
      </c>
      <c r="D131" s="359" t="n">
        <v>1356.41</v>
      </c>
      <c r="E131" s="66" t="n">
        <v>91569.65999999997</v>
      </c>
      <c r="F131" s="66" t="n">
        <v>8138.46</v>
      </c>
      <c r="G131" s="68" t="n">
        <v>71</v>
      </c>
      <c r="H131" s="70" t="n">
        <v>6</v>
      </c>
      <c r="I131" s="68" t="n">
        <v>22</v>
      </c>
      <c r="J131" s="69" t="n">
        <v>4.2</v>
      </c>
      <c r="K131" s="69" t="inlineStr">
        <is>
          <t>https://amazon.com/dp/B0DBLMWKWW</t>
        </is>
      </c>
      <c r="L131" s="114">
        <f>HYPERLINK(Table5383[[#This Row],[Column1]])</f>
        <v/>
      </c>
    </row>
    <row r="132" ht="45" customHeight="1" s="314">
      <c r="A132" s="35" t="inlineStr">
        <is>
          <t>XTOOL D7X OBD2 Scanner Diagnostic Tool, 3-Year Updates, Ai-Assisted Bidirectional Scan Tool with 36+Resets, 4000+Active Test, Full System Car Scanner for ABS, Throttle, ECU Coding, FCA,CAN FD</t>
        </is>
      </c>
      <c r="B132" s="35" t="inlineStr">
        <is>
          <t>B0F3C9MF88</t>
        </is>
      </c>
      <c r="C132" s="35" t="inlineStr">
        <is>
          <t>Tablet</t>
        </is>
      </c>
      <c r="D132" s="359" t="n">
        <v>391.1066666666666</v>
      </c>
      <c r="E132" s="66" t="n">
        <v>51247.42769230769</v>
      </c>
      <c r="F132" s="66" t="n">
        <v>2346.64</v>
      </c>
      <c r="G132" s="68" t="n">
        <v>113</v>
      </c>
      <c r="H132" s="70" t="n">
        <v>6</v>
      </c>
      <c r="I132" s="68" t="n">
        <v>3</v>
      </c>
      <c r="J132" s="69" t="n">
        <v>3.7</v>
      </c>
      <c r="K132" s="69" t="inlineStr">
        <is>
          <t>https://amazon.com/dp/B0F3C9MF88</t>
        </is>
      </c>
      <c r="L132" s="114">
        <f>HYPERLINK(Table5383[[#This Row],[Column1]])</f>
        <v/>
      </c>
    </row>
    <row r="133" ht="45" customHeight="1" s="314">
      <c r="A133" s="35" t="inlineStr">
        <is>
          <t>XTOOL AI-Assisted OBD2 Scanner Diagnostic Tool X100 Pads, Upgrade of X100 PAD, All Systems Scan Tool with 32+ Resets, Car Scanner with FCA AutoAuth, CKP Relearn, CANFD/DoIP, for Home Mechanic &amp; DIYer</t>
        </is>
      </c>
      <c r="B133" s="35" t="inlineStr">
        <is>
          <t>B0G5XYCD5M</t>
        </is>
      </c>
      <c r="C133" s="35" t="inlineStr">
        <is>
          <t>Tablet</t>
        </is>
      </c>
      <c r="D133" s="359" t="n">
        <v>391.456</v>
      </c>
      <c r="E133" s="66" t="n">
        <v>23186.91</v>
      </c>
      <c r="F133" s="66" t="n">
        <v>1957.28</v>
      </c>
      <c r="G133" s="68" t="n">
        <v>13</v>
      </c>
      <c r="H133" s="70" t="n">
        <v>5</v>
      </c>
      <c r="I133" s="68" t="n">
        <v>3</v>
      </c>
      <c r="J133" s="69" t="n">
        <v>3</v>
      </c>
      <c r="K133" s="69" t="inlineStr">
        <is>
          <t>https://amazon.com/dp/B0G5XYCD5M</t>
        </is>
      </c>
      <c r="L133" s="114">
        <f>HYPERLINK(Table5383[[#This Row],[Column1]])</f>
        <v/>
      </c>
    </row>
    <row r="134" ht="45" customHeight="1" s="314">
      <c r="A134" s="35" t="inlineStr">
        <is>
          <t>XTS500 J2534 Vehicle Communication Interface, Support J2534/D-PDU/CAN-FD/DolP, Enhanced J2534 Diganostic Tool, ECU C0ding, Work with OE Software for 18+ Vehicles Brands, NO OE Software Included</t>
        </is>
      </c>
      <c r="B134" s="35" t="inlineStr">
        <is>
          <t>B0G1BDBKV1</t>
        </is>
      </c>
      <c r="C134" s="35" t="inlineStr">
        <is>
          <t>VCI</t>
        </is>
      </c>
      <c r="D134" s="359" t="n">
        <v>255.025</v>
      </c>
      <c r="E134" s="66" t="n">
        <v>13094.21615384615</v>
      </c>
      <c r="F134" s="66" t="n">
        <v>1020.1</v>
      </c>
      <c r="G134" s="68" t="n">
        <v>19</v>
      </c>
      <c r="H134" s="70" t="n">
        <v>4</v>
      </c>
      <c r="I134" s="68" t="n">
        <v>2</v>
      </c>
      <c r="J134" s="69" t="n">
        <v>5</v>
      </c>
      <c r="K134" s="69" t="inlineStr">
        <is>
          <t>https://amazon.com/dp/B0G1BDBKV1</t>
        </is>
      </c>
      <c r="L134" s="114">
        <f>HYPERLINK(Table5383[[#This Row],[Column1]])</f>
        <v/>
      </c>
    </row>
    <row r="135" ht="60" customHeight="1" s="314">
      <c r="A135" s="35" t="inlineStr">
        <is>
          <t>XTOOL IP819TP Bidirectional OBD2 Scanner with TPMS Relearn &amp; Activation, Wireless Scan Tool with Full TPMS Diagnostic, 36+ Resets, Tire Size Reset, ECU C0ding, TPMS Pr0gramming for TS100 Sensors</t>
        </is>
      </c>
      <c r="B135" s="35" t="inlineStr">
        <is>
          <t>B0FPCLDDS1</t>
        </is>
      </c>
      <c r="C135" s="35" t="inlineStr">
        <is>
          <t>Tablet</t>
        </is>
      </c>
      <c r="D135" s="359" t="n">
        <v>443.54</v>
      </c>
      <c r="E135" s="66" t="n">
        <v>22154.51538461538</v>
      </c>
      <c r="F135" s="66" t="n">
        <v>1774.16</v>
      </c>
      <c r="G135" s="68" t="n">
        <v>16</v>
      </c>
      <c r="H135" s="70" t="n">
        <v>4</v>
      </c>
      <c r="I135" s="68" t="n"/>
      <c r="J135" s="69" t="n"/>
      <c r="K135" s="69" t="inlineStr">
        <is>
          <t>https://amazon.com/dp/B0FPCLDDS1</t>
        </is>
      </c>
      <c r="L135" s="114">
        <f>HYPERLINK(Table5383[[#This Row],[Column1]])</f>
        <v/>
      </c>
    </row>
    <row r="136" ht="45" customHeight="1" s="314">
      <c r="A136" s="35" t="inlineStr">
        <is>
          <t>XTOOL IP608 Full System OBD2 Scanner Diagnostic Tool, Code Reader for Cars and Trucks with 30+ Services - EPB/SAS/BMS/Throttle Relearn/ABS Bleeding, CAN FD, Lifetime Free Update</t>
        </is>
      </c>
      <c r="B136" s="35" t="inlineStr">
        <is>
          <t>B0BW3595H6</t>
        </is>
      </c>
      <c r="C136" s="35" t="inlineStr">
        <is>
          <t>Tablet</t>
        </is>
      </c>
      <c r="D136" s="359" t="n">
        <v>323.0275</v>
      </c>
      <c r="E136" s="66" t="n">
        <v>15908.93</v>
      </c>
      <c r="F136" s="66" t="n">
        <v>1292.11</v>
      </c>
      <c r="G136" s="68" t="n">
        <v>53</v>
      </c>
      <c r="H136" s="70" t="n">
        <v>4</v>
      </c>
      <c r="I136" s="68" t="n">
        <v>96</v>
      </c>
      <c r="J136" s="69" t="n">
        <v>4.4</v>
      </c>
      <c r="K136" s="69" t="inlineStr">
        <is>
          <t>https://amazon.com/dp/B0BW3595H6</t>
        </is>
      </c>
      <c r="L136" s="114">
        <f>HYPERLINK(Table5383[[#This Row],[Column1]])</f>
        <v/>
      </c>
    </row>
    <row r="137" ht="45" customHeight="1" s="314">
      <c r="A137" s="35" t="inlineStr">
        <is>
          <t>XTOOL Protective Case for OBD2 Scanner Diagnostic Tool, Waterproof Car Scan Tool Carrying Case Compatible with IP500, IP608, IP616, IP819, Size 11''x 7''x 4''</t>
        </is>
      </c>
      <c r="B137" s="35" t="inlineStr">
        <is>
          <t>B0G5254YDC</t>
        </is>
      </c>
      <c r="C137" s="35" t="inlineStr">
        <is>
          <t>Tablet</t>
        </is>
      </c>
      <c r="D137" s="359" t="n">
        <v>24.5625</v>
      </c>
      <c r="E137" s="66" t="n">
        <v>1198.043076923077</v>
      </c>
      <c r="F137" s="66" t="n">
        <v>98.25</v>
      </c>
      <c r="G137" s="68" t="n">
        <v>11</v>
      </c>
      <c r="H137" s="70" t="n">
        <v>4</v>
      </c>
      <c r="I137" s="68" t="n"/>
      <c r="J137" s="69" t="n"/>
      <c r="K137" s="69" t="inlineStr">
        <is>
          <t>https://amazon.com/dp/B0G5254YDC</t>
        </is>
      </c>
      <c r="L137" s="114">
        <f>HYPERLINK(Table5383[[#This Row],[Column1]])</f>
        <v/>
      </c>
    </row>
    <row r="138" ht="45" customHeight="1" s="314">
      <c r="A138" s="35" t="inlineStr">
        <is>
          <t>OBD2 Scanner XTOOL IP508, 9 Services, Scan Tool for ABS Bleed, EPB, BMS, Oil Reset, Throttle Relearn, ABS SRS Transmission Car Diagnostic Tool, Check Engine Code Reader, No Subscription Fee</t>
        </is>
      </c>
      <c r="B138" s="35" t="inlineStr">
        <is>
          <t>B0BL7GH4WX</t>
        </is>
      </c>
      <c r="C138" s="35" t="inlineStr">
        <is>
          <t>Tablet</t>
        </is>
      </c>
      <c r="D138" s="359" t="n">
        <v>187.0833333333333</v>
      </c>
      <c r="E138" s="66" t="n">
        <v>12275.93</v>
      </c>
      <c r="F138" s="66" t="n">
        <v>561.25</v>
      </c>
      <c r="G138" s="68" t="n">
        <v>82</v>
      </c>
      <c r="H138" s="70" t="n">
        <v>3</v>
      </c>
      <c r="I138" s="68" t="n">
        <v>145</v>
      </c>
      <c r="J138" s="69" t="n">
        <v>4.4</v>
      </c>
      <c r="K138" s="69" t="inlineStr">
        <is>
          <t>https://amazon.com/dp/B0BL7GH4WX</t>
        </is>
      </c>
      <c r="L138" s="114">
        <f>HYPERLINK(Table5383[[#This Row],[Column1]])</f>
        <v/>
      </c>
    </row>
    <row r="139" ht="45" customHeight="1" s="314">
      <c r="A139" s="35" t="inlineStr">
        <is>
          <t>XTOOL KC501, Work with D8S/D8W, X100 PAD3/X100 PAD3 SE, IK618, X100 MAX/X100 MAX2, D9S/D9S PRO XTOOL Diagnostic Tool</t>
        </is>
      </c>
      <c r="B139" s="35" t="inlineStr">
        <is>
          <t>B0FVSTWRRQ</t>
        </is>
      </c>
      <c r="C139" s="35" t="inlineStr">
        <is>
          <t>Tablet</t>
        </is>
      </c>
      <c r="D139" s="359" t="n">
        <v>604.28</v>
      </c>
      <c r="E139" s="66" t="n">
        <v>20508.21692307693</v>
      </c>
      <c r="F139" s="66" t="n">
        <v>1812.84</v>
      </c>
      <c r="G139" s="68" t="n">
        <v>9</v>
      </c>
      <c r="H139" s="70" t="n">
        <v>3</v>
      </c>
      <c r="I139" s="68" t="n">
        <v>1</v>
      </c>
      <c r="J139" s="69" t="n">
        <v>5</v>
      </c>
      <c r="K139" s="69" t="inlineStr">
        <is>
          <t>https://amazon.com/dp/B0FVSTWRRQ</t>
        </is>
      </c>
      <c r="L139" s="114">
        <f>HYPERLINK(Table5383[[#This Row],[Column1]])</f>
        <v/>
      </c>
    </row>
    <row r="140" ht="45" customHeight="1" s="314">
      <c r="A140" s="35" t="inlineStr">
        <is>
          <t>XTOOL IP919 MAX, 2025 Bidirectional scan Tool with J2534 pr0gram ming, Upgrade of IP919 PRO, ECU Pr0gram ming Tool with Topology Map, 51+Resets, ECU C0ding, AutoAuth for FCA, CAN FD/DoIP, 3-y Update</t>
        </is>
      </c>
      <c r="B140" s="35" t="inlineStr">
        <is>
          <t>B0F23MSH56</t>
        </is>
      </c>
      <c r="C140" s="35" t="inlineStr">
        <is>
          <t>Tablet</t>
        </is>
      </c>
      <c r="D140" s="359" t="n">
        <v>2119.683333333333</v>
      </c>
      <c r="E140" s="66" t="n">
        <v>67740.03615384616</v>
      </c>
      <c r="F140" s="66" t="n">
        <v>6359.05</v>
      </c>
      <c r="G140" s="68" t="n">
        <v>13</v>
      </c>
      <c r="H140" s="70" t="n">
        <v>3</v>
      </c>
      <c r="I140" s="68" t="n">
        <v>1</v>
      </c>
      <c r="J140" s="69" t="n">
        <v>5</v>
      </c>
      <c r="K140" s="69" t="inlineStr">
        <is>
          <t>https://amazon.com/dp/B0F23MSH56</t>
        </is>
      </c>
      <c r="L140" s="114">
        <f>HYPERLINK(Table5383[[#This Row],[Column1]])</f>
        <v/>
      </c>
    </row>
    <row r="141" ht="45" customHeight="1" s="314">
      <c r="A141" s="35" t="inlineStr">
        <is>
          <t>XTOOL DB15 OBDII Replacement Cable, Male to Female OBD2 Cable, Compatible for D8S, X100 Pads, IK618, X100 PAD3</t>
        </is>
      </c>
      <c r="B141" s="35" t="inlineStr">
        <is>
          <t>B0CHYPV8WS</t>
        </is>
      </c>
      <c r="C141" s="35" t="inlineStr">
        <is>
          <t>Cable/Adapter</t>
        </is>
      </c>
      <c r="D141" s="359" t="n">
        <v>22.21</v>
      </c>
      <c r="E141" s="66" t="n">
        <v>4653.573076923078</v>
      </c>
      <c r="F141" s="66" t="n">
        <v>44.42</v>
      </c>
      <c r="G141" s="68" t="n">
        <v>180</v>
      </c>
      <c r="H141" s="70" t="n">
        <v>2</v>
      </c>
      <c r="I141" s="68" t="n">
        <v>10</v>
      </c>
      <c r="J141" s="69" t="n">
        <v>3.8</v>
      </c>
      <c r="K141" s="69" t="inlineStr">
        <is>
          <t>https://amazon.com/dp/B0CHYPV8WS</t>
        </is>
      </c>
      <c r="L141" s="114">
        <f>HYPERLINK(Table5383[[#This Row],[Column1]])</f>
        <v/>
      </c>
    </row>
    <row r="142" ht="30" customHeight="1" s="314">
      <c r="A142" s="35" t="inlineStr">
        <is>
          <t>XTOOL X100 PAD3 SE AI-Assisted Bidirectional OBD2 Scanner, All System Scan Tool with 38+ Reset, Car Scanner Diagnostic Tool with FCA AutoAuth, ECU C0ding, Crank Sensor Relearn, CANFD/DOIP, 2-Yr Update</t>
        </is>
      </c>
      <c r="B142" s="35" t="inlineStr">
        <is>
          <t>B0FVL5MNLF</t>
        </is>
      </c>
      <c r="C142" s="35" t="inlineStr">
        <is>
          <t>Tablet</t>
        </is>
      </c>
      <c r="D142" s="359" t="n">
        <v>572.78</v>
      </c>
      <c r="E142" s="66" t="n">
        <v>12020.51</v>
      </c>
      <c r="F142" s="66" t="n">
        <v>1145.56</v>
      </c>
      <c r="G142" s="68" t="n">
        <v>4</v>
      </c>
      <c r="H142" s="70" t="n">
        <v>2</v>
      </c>
      <c r="I142" s="68" t="n"/>
      <c r="J142" s="69" t="n"/>
      <c r="K142" s="69" t="inlineStr">
        <is>
          <t>https://amazon.com/dp/B0FVL5MNLF</t>
        </is>
      </c>
      <c r="L142" s="114">
        <f>HYPERLINK(Table5383[[#This Row],[Column1]])</f>
        <v/>
      </c>
    </row>
    <row r="143" ht="45" customHeight="1" s="314">
      <c r="A143" s="35" t="inlineStr">
        <is>
          <t>XTOOL TP500 OBD2 Scanner with TPMS Programming Tool, Full System Car Scanner Diagnostic Tool with TPMS Service, 17 Resets, FCA/CANFD/DoIP, Lifetime Free Update, Crank Sensor/Throttle Relearn Scan Tool</t>
        </is>
      </c>
      <c r="B143" s="35" t="inlineStr">
        <is>
          <t>B0GLMKDKMJ</t>
        </is>
      </c>
      <c r="C143" s="35" t="inlineStr">
        <is>
          <t>Tablet</t>
        </is>
      </c>
      <c r="D143" s="359" t="n">
        <v>318.975</v>
      </c>
      <c r="E143" s="66" t="n">
        <v>7704.473076923077</v>
      </c>
      <c r="F143" s="66" t="n">
        <v>637.95</v>
      </c>
      <c r="G143" s="68" t="n">
        <v>2</v>
      </c>
      <c r="H143" s="70" t="n">
        <v>2</v>
      </c>
      <c r="I143" s="68" t="n"/>
      <c r="J143" s="69" t="n"/>
      <c r="K143" s="69" t="inlineStr">
        <is>
          <t>https://amazon.com/dp/B0GLMKDKMJ</t>
        </is>
      </c>
      <c r="L143" s="114">
        <f>HYPERLINK(Table5383[[#This Row],[Column1]])</f>
        <v/>
      </c>
    </row>
    <row r="144" ht="45" customHeight="1" s="314">
      <c r="A144" s="35" t="inlineStr">
        <is>
          <t>XTOOL IP900S Bidirectional Scan Tool with Online &amp; Offline Coding, AI-Assisted Full System OBD2 Scanner with Topology Mapping, 41+ Services, CAN FD DoIP FCA Autoauth, Pre &amp; Post Scan, 3-Year Updates</t>
        </is>
      </c>
      <c r="B144" s="35" t="inlineStr">
        <is>
          <t>B0DBLBPZ23</t>
        </is>
      </c>
      <c r="C144" s="35" t="inlineStr">
        <is>
          <t>Tablet</t>
        </is>
      </c>
      <c r="D144" s="359" t="n">
        <v>740.41</v>
      </c>
      <c r="E144" s="66" t="n">
        <v>74476.40000000001</v>
      </c>
      <c r="F144" s="66" t="n">
        <v>1480.82</v>
      </c>
      <c r="G144" s="68" t="n">
        <v>94</v>
      </c>
      <c r="H144" s="70" t="n">
        <v>2</v>
      </c>
      <c r="I144" s="68" t="n">
        <v>24</v>
      </c>
      <c r="J144" s="69" t="n">
        <v>4.5</v>
      </c>
      <c r="K144" s="69" t="inlineStr">
        <is>
          <t>https://amazon.com/dp/B0DBLBPZ23</t>
        </is>
      </c>
      <c r="L144" s="114">
        <f>HYPERLINK(Table5383[[#This Row],[Column1]])</f>
        <v/>
      </c>
    </row>
    <row r="145" ht="45" customHeight="1" s="314">
      <c r="A145" s="35" t="inlineStr">
        <is>
          <t>OBD2 Scanner Diagnostic Tool XTOOL IP608, All System Scan Tool with 30+ Resets, ABS Bleeding, Oil, EPB, SAS, BMS, Throttle,TPMS Reset, Transmission, Injector Coding, CAN FD, Lifetime Update</t>
        </is>
      </c>
      <c r="B145" s="35" t="inlineStr">
        <is>
          <t>B0CQP9S314</t>
        </is>
      </c>
      <c r="C145" s="35" t="inlineStr">
        <is>
          <t>Tablet</t>
        </is>
      </c>
      <c r="D145" s="359" t="n">
        <v>364.535</v>
      </c>
      <c r="E145" s="66" t="n">
        <v>10958.21</v>
      </c>
      <c r="F145" s="66" t="n">
        <v>729.0700000000001</v>
      </c>
      <c r="G145" s="68" t="n">
        <v>49</v>
      </c>
      <c r="H145" s="70" t="n">
        <v>2</v>
      </c>
      <c r="I145" s="68" t="n">
        <v>26</v>
      </c>
      <c r="J145" s="69" t="n">
        <v>3.8</v>
      </c>
      <c r="K145" s="69" t="inlineStr">
        <is>
          <t>https://amazon.com/dp/B0CQP9S314</t>
        </is>
      </c>
      <c r="L145" s="114">
        <f>HYPERLINK(Table5383[[#This Row],[Column1]])</f>
        <v/>
      </c>
    </row>
    <row r="146" ht="45" customHeight="1" s="314">
      <c r="A146" s="35" t="inlineStr">
        <is>
          <t>XTOOL D9 MAX AI-Assisted Professional Automotive Scan Tool, J2534 Reprogramming Tool, Bidirectional OBD2 Scanner with Topology Mapping, 45+ Relearns, ECU Coding, ADAS Calibration, FCA/DoIP/CAN FD</t>
        </is>
      </c>
      <c r="B146" s="35" t="inlineStr">
        <is>
          <t>B0DXPXS3BM</t>
        </is>
      </c>
      <c r="C146" s="35" t="inlineStr">
        <is>
          <t>Tablet</t>
        </is>
      </c>
      <c r="D146" s="359" t="n">
        <v>1699</v>
      </c>
      <c r="E146" s="66" t="n">
        <v>54236.84692307691</v>
      </c>
      <c r="F146" s="66" t="n">
        <v>3398</v>
      </c>
      <c r="G146" s="68" t="n">
        <v>22</v>
      </c>
      <c r="H146" s="70" t="n">
        <v>2</v>
      </c>
      <c r="I146" s="68" t="n">
        <v>1</v>
      </c>
      <c r="J146" s="69" t="n">
        <v>5</v>
      </c>
      <c r="K146" s="69" t="inlineStr">
        <is>
          <t>https://amazon.com/dp/B0DXPXS3BM</t>
        </is>
      </c>
      <c r="L146" s="114">
        <f>HYPERLINK(Table5383[[#This Row],[Column1]])</f>
        <v/>
      </c>
    </row>
    <row r="147" ht="60" customHeight="1" s="314">
      <c r="A147" s="35" t="inlineStr">
        <is>
          <t>XTOOL X100 Pads AI-Assisted Scan Tool &amp; Programmer Tool, Upgrade of X100 PAD, 2026 OBD2 Scanner with 32+ Reset, All System Car Scanner, FCA AutoAuth, Crank Sensor Relearn, DoIP/CAN FD, 2-Year Update</t>
        </is>
      </c>
      <c r="B147" s="35" t="inlineStr">
        <is>
          <t>B0FXB1QJ2K</t>
        </is>
      </c>
      <c r="C147" s="35" t="inlineStr">
        <is>
          <t>Tablet</t>
        </is>
      </c>
      <c r="D147" s="359" t="n">
        <v>479</v>
      </c>
      <c r="E147" s="66" t="n">
        <v>22477.53692307693</v>
      </c>
      <c r="F147" s="66" t="n">
        <v>479</v>
      </c>
      <c r="G147" s="68" t="n">
        <v>46</v>
      </c>
      <c r="H147" s="70" t="n">
        <v>1</v>
      </c>
      <c r="I147" s="68" t="n">
        <v>2</v>
      </c>
      <c r="J147" s="69" t="n">
        <v>5</v>
      </c>
      <c r="K147" s="69" t="inlineStr">
        <is>
          <t>https://amazon.com/dp/B0FXB1QJ2K</t>
        </is>
      </c>
      <c r="L147" s="114">
        <f>HYPERLINK(Table5383[[#This Row],[Column1]])</f>
        <v/>
      </c>
    </row>
    <row r="148" ht="45" customHeight="1" s="314">
      <c r="A148" s="35" t="inlineStr">
        <is>
          <t>XTOOL IK618 AI-Assisted Bidirectional Scan Tool with KC100 Adapter, Full System OBD2 Scanner Diagnostic Tool with 31+ Resets, FCA AutoAuth, ECU C0ding, Crank Sensor Relearn, CAN FD &amp; DoIP, 2-Yr Update</t>
        </is>
      </c>
      <c r="B148" s="35" t="inlineStr">
        <is>
          <t>B0FVL1WZKB</t>
        </is>
      </c>
      <c r="C148" s="35" t="inlineStr">
        <is>
          <t>Tablet</t>
        </is>
      </c>
      <c r="D148" s="359" t="n">
        <v>639</v>
      </c>
      <c r="E148" s="66" t="n">
        <v>2214.11</v>
      </c>
      <c r="F148" s="66" t="n">
        <v>0</v>
      </c>
      <c r="G148" s="68" t="n">
        <v>3</v>
      </c>
      <c r="H148" s="70" t="n">
        <v>0</v>
      </c>
      <c r="I148" s="68" t="n"/>
      <c r="J148" s="69" t="n"/>
      <c r="K148" s="69" t="inlineStr">
        <is>
          <t>https://amazon.com/dp/B0FVL1WZKB</t>
        </is>
      </c>
      <c r="L148" s="114">
        <f>HYPERLINK(Table5383[[#This Row],[Column1]])</f>
        <v/>
      </c>
    </row>
    <row r="149" ht="45" customHeight="1" s="314">
      <c r="A149" s="35" t="inlineStr">
        <is>
          <t>XTOOL EEPROM Adapter, Work with IP616/IP819, D7/D7S/D7W, D8S/D8W, D9S/D9S PRO, X100 PADS/X100 PAD3/X100 MAX</t>
        </is>
      </c>
      <c r="B149" s="35" t="inlineStr">
        <is>
          <t>B0FVM2DTNG</t>
        </is>
      </c>
      <c r="C149" s="35" t="inlineStr">
        <is>
          <t>Key</t>
        </is>
      </c>
      <c r="D149" s="359" t="n">
        <v>49.98</v>
      </c>
      <c r="E149" s="66" t="n">
        <v>0</v>
      </c>
      <c r="F149" s="66" t="n">
        <v>0</v>
      </c>
      <c r="G149" s="68" t="n">
        <v>0</v>
      </c>
      <c r="H149" s="70" t="n">
        <v>0</v>
      </c>
      <c r="I149" s="68" t="n"/>
      <c r="J149" s="69" t="n"/>
      <c r="K149" s="69" t="inlineStr">
        <is>
          <t>https://amazon.com/dp/B0FVM2DTNG</t>
        </is>
      </c>
      <c r="L149" s="114">
        <f>HYPERLINK(Table5383[[#This Row],[Column1]])</f>
        <v/>
      </c>
    </row>
    <row r="150" ht="45" customHeight="1" s="314">
      <c r="A150" s="35" t="inlineStr">
        <is>
          <t>XTOOL X100 MAX2 AI-Assisted Professional Scan Tool, J2534 Repr0gramming Tool, Wireless Bidirectional OBD2 Scanner with ECU Pr0gramming &amp; C0ding, Topology Mapping, 42 Reset, FCA/CANFD/DoIP, 2-Yr Update</t>
        </is>
      </c>
      <c r="B150" s="35" t="inlineStr">
        <is>
          <t>B0FVL9FXQD</t>
        </is>
      </c>
      <c r="C150" s="35" t="inlineStr">
        <is>
          <t>Tablet</t>
        </is>
      </c>
      <c r="D150" s="359" t="n">
        <v>3176.5</v>
      </c>
      <c r="E150" s="66" t="n">
        <v>5875.49</v>
      </c>
      <c r="F150" s="66" t="n">
        <v>0</v>
      </c>
      <c r="G150" s="68" t="n">
        <v>2</v>
      </c>
      <c r="H150" s="70" t="n">
        <v>0</v>
      </c>
      <c r="I150" s="68" t="n"/>
      <c r="J150" s="69" t="n"/>
      <c r="K150" s="69" t="inlineStr">
        <is>
          <t>https://amazon.com/dp/B0FVL9FXQD</t>
        </is>
      </c>
      <c r="L150" s="114">
        <f>HYPERLINK(Table5383[[#This Row],[Column1]])</f>
        <v/>
      </c>
    </row>
    <row r="151" ht="30" customHeight="1" s="314">
      <c r="A151" s="35" t="inlineStr">
        <is>
          <t>XTOOL InPlus IP616 V2.0 OBD2 Scanner Diagnostic Tool, Lifetime Update Scan Tool, 34+ Services, ECU Configuration, CAN FD &amp; DoIP, All Systems Scanner for Car, Crank Sensor Relearn, ABS Bleed, Auto VIN</t>
        </is>
      </c>
      <c r="B151" s="35" t="inlineStr">
        <is>
          <t>B0B7DBF4FD</t>
        </is>
      </c>
      <c r="C151" s="35" t="inlineStr">
        <is>
          <t>Tablet</t>
        </is>
      </c>
      <c r="D151" s="359" t="n">
        <v>295.2</v>
      </c>
      <c r="E151" s="66" t="n">
        <v>45403.97000000001</v>
      </c>
      <c r="F151" s="66" t="n">
        <v>0</v>
      </c>
      <c r="G151" s="68" t="n">
        <v>130</v>
      </c>
      <c r="H151" s="70" t="n">
        <v>0</v>
      </c>
      <c r="I151" s="68" t="n">
        <v>186</v>
      </c>
      <c r="J151" s="69" t="n">
        <v>4.3</v>
      </c>
      <c r="K151" s="69" t="inlineStr">
        <is>
          <t>https://amazon.com/dp/B0B7DBF4FD</t>
        </is>
      </c>
      <c r="L151" s="114">
        <f>HYPERLINK(Table5383[[#This Row],[Column1]])</f>
        <v/>
      </c>
    </row>
    <row r="152" ht="45" customHeight="1" s="314">
      <c r="A152" s="35" t="inlineStr">
        <is>
          <t>XTOOL D9EV Automotive Scanner, EV Scan Tool, High Voltage System/Battery Pack Analysis for Tesla/Electric Vehicle, Topology Map, ECU C0ding/PMI, Bidirectional OBD2 Scanner, 46+ Resets, 3-Year Update</t>
        </is>
      </c>
      <c r="B152" s="35" t="inlineStr">
        <is>
          <t>B0CB8B6QB6</t>
        </is>
      </c>
      <c r="C152" s="35" t="inlineStr">
        <is>
          <t>Tablet</t>
        </is>
      </c>
      <c r="D152" s="359" t="n">
        <v>2399</v>
      </c>
      <c r="E152" s="66" t="n">
        <v>11063.44</v>
      </c>
      <c r="F152" s="66" t="n">
        <v>0</v>
      </c>
      <c r="G152" s="68" t="n">
        <v>5</v>
      </c>
      <c r="H152" s="70" t="n">
        <v>0</v>
      </c>
      <c r="I152" s="68" t="n">
        <v>1</v>
      </c>
      <c r="J152" s="69" t="n">
        <v>5</v>
      </c>
      <c r="K152" s="69" t="inlineStr">
        <is>
          <t>https://amazon.com/dp/B0CB8B6QB6</t>
        </is>
      </c>
      <c r="L152" s="114">
        <f>HYPERLINK(Table5383[[#This Row],[Column1]])</f>
        <v/>
      </c>
    </row>
    <row r="153" ht="45" customHeight="1" s="314">
      <c r="A153" s="35" t="n"/>
      <c r="B153" s="35" t="n"/>
      <c r="C153" s="35" t="n"/>
      <c r="D153" s="359" t="n"/>
      <c r="E153" s="66" t="n"/>
      <c r="F153" s="66" t="n"/>
      <c r="G153" s="68" t="n"/>
      <c r="H153" s="70" t="n"/>
      <c r="I153" s="68" t="n"/>
      <c r="J153" s="69" t="n"/>
      <c r="K153" s="69" t="n"/>
      <c r="L153" s="114">
        <f>HYPERLINK(Table5383[[#This Row],[Column1]])</f>
        <v/>
      </c>
    </row>
    <row r="154" ht="17" customFormat="1" customHeight="1" s="40">
      <c r="A154" s="41" t="inlineStr">
        <is>
          <t>Total</t>
        </is>
      </c>
      <c r="B154" s="41" t="n"/>
      <c r="C154" s="365" t="n"/>
      <c r="D154" s="122" t="n"/>
      <c r="E154" s="122" t="n"/>
      <c r="F154" s="122" t="n"/>
      <c r="G154" s="123">
        <f>SUM(G84:G153)</f>
        <v/>
      </c>
      <c r="H154" s="123">
        <f>SUM(H84:H153)</f>
        <v/>
      </c>
      <c r="I154" s="123" t="n"/>
      <c r="J154" s="128" t="n"/>
      <c r="K154" s="41" t="n"/>
    </row>
  </sheetData>
  <mergeCells count="3">
    <mergeCell ref="A1:L5"/>
    <mergeCell ref="A82:L82"/>
    <mergeCell ref="A7:L7"/>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8.xml><?xml version="1.0" encoding="utf-8"?>
<worksheet xmlns="http://schemas.openxmlformats.org/spreadsheetml/2006/main">
  <sheetPr>
    <outlinePr summaryBelow="1" summaryRight="1"/>
    <pageSetUpPr/>
  </sheetPr>
  <dimension ref="A1:L44"/>
  <sheetViews>
    <sheetView zoomScale="94" workbookViewId="0">
      <selection activeCell="O30" sqref="O30"/>
    </sheetView>
  </sheetViews>
  <sheetFormatPr baseColWidth="10" defaultColWidth="12.6640625" defaultRowHeight="16"/>
  <cols>
    <col width="50.6640625" customWidth="1" style="308" min="1" max="1"/>
    <col width="12.6640625" customWidth="1" style="308" min="2" max="2"/>
    <col width="12.6640625" customWidth="1" style="357" min="3" max="3"/>
    <col width="10.83203125" bestFit="1" customWidth="1" style="310" min="4" max="4"/>
    <col width="24.83203125" bestFit="1" customWidth="1" style="310" min="5" max="5"/>
    <col width="17.6640625" bestFit="1" customWidth="1" style="311" min="6" max="6"/>
    <col width="21.6640625" bestFit="1" customWidth="1" style="311" min="7" max="7"/>
    <col width="19.1640625" bestFit="1" customWidth="1" style="311" min="8" max="8"/>
    <col width="13.5" bestFit="1" customWidth="1" style="312" min="9" max="9"/>
    <col width="12.6640625" bestFit="1" customWidth="1" style="308" min="10" max="10"/>
    <col hidden="1" width="27.83203125" customWidth="1" style="308" min="11" max="11"/>
    <col width="35.6640625" customWidth="1" style="308" min="12" max="12"/>
    <col width="12.6640625" customWidth="1" style="308" min="13" max="16384"/>
  </cols>
  <sheetData>
    <row r="1" ht="15.75" customHeight="1" s="314">
      <c r="A1" s="306" t="inlineStr">
        <is>
          <t>Z Automotive Monthly Summary</t>
        </is>
      </c>
    </row>
    <row r="2" ht="15.75" customHeight="1" s="314"/>
    <row r="3" ht="15.75" customHeight="1" s="314"/>
    <row r="4" ht="15.75" customHeight="1" s="314"/>
    <row r="5" ht="15.75" customHeight="1" s="314"/>
    <row r="6">
      <c r="B6" s="60" t="n"/>
      <c r="C6" s="366" t="n"/>
      <c r="E6" s="60" t="n"/>
      <c r="F6" s="62" t="n"/>
      <c r="G6" s="62" t="n"/>
      <c r="H6" s="62" t="n"/>
      <c r="I6" s="63" t="n"/>
      <c r="J6" s="60" t="n"/>
    </row>
    <row r="7" ht="16" customHeight="1" s="314">
      <c r="A7" s="307" t="inlineStr">
        <is>
          <t>Rank by Revenue</t>
        </is>
      </c>
    </row>
    <row r="8" ht="17" customHeight="1" s="314">
      <c r="A8" s="46" t="inlineStr">
        <is>
          <t>Product Name</t>
        </is>
      </c>
      <c r="B8" s="47" t="inlineStr">
        <is>
          <t>ASIN</t>
        </is>
      </c>
      <c r="C8" s="47" t="inlineStr">
        <is>
          <t>Type</t>
        </is>
      </c>
      <c r="D8" s="345" t="inlineStr">
        <is>
          <t>Avg Price</t>
        </is>
      </c>
      <c r="E8" s="49" t="inlineStr">
        <is>
          <t>Estimated 12mo Revenue</t>
        </is>
      </c>
      <c r="F8" s="47" t="inlineStr">
        <is>
          <t>Monthly Rev</t>
        </is>
      </c>
      <c r="G8" s="51" t="inlineStr">
        <is>
          <t>Estimated 12mo Units</t>
        </is>
      </c>
      <c r="H8" s="54" t="inlineStr">
        <is>
          <t>Monthly Units</t>
        </is>
      </c>
      <c r="I8" s="51" t="inlineStr">
        <is>
          <t># of Reviews</t>
        </is>
      </c>
      <c r="J8" s="52" t="inlineStr">
        <is>
          <t xml:space="preserve">Tool Rating </t>
        </is>
      </c>
      <c r="K8" s="52" t="inlineStr">
        <is>
          <t>Column1</t>
        </is>
      </c>
      <c r="L8" s="346" t="inlineStr">
        <is>
          <t>Link</t>
        </is>
      </c>
    </row>
    <row r="9" ht="45" customHeight="1" s="314">
      <c r="A9" s="35" t="inlineStr">
        <is>
          <t>Z Automotive Tazer Mini Programmer | Fits 2018-2026 Jeep Wrangler JL and Gladiator JT | Customize Over 70 Settings | Activates Anti-Theft Pin Lock, Rock Crawl, Winch Mode and More!</t>
        </is>
      </c>
      <c r="B9" s="35" t="inlineStr">
        <is>
          <t>B09N9RMVFP</t>
        </is>
      </c>
      <c r="C9" s="35" t="inlineStr">
        <is>
          <t>Dongle</t>
        </is>
      </c>
      <c r="D9" s="359" t="n">
        <v>328.8725357873211</v>
      </c>
      <c r="E9" s="66" t="n">
        <v>2225753.26</v>
      </c>
      <c r="F9" s="67" t="n">
        <v>160818.67</v>
      </c>
      <c r="G9" s="68" t="n">
        <v>6930</v>
      </c>
      <c r="H9" s="68" t="n">
        <v>489</v>
      </c>
      <c r="I9" s="68" t="n">
        <v>985</v>
      </c>
      <c r="J9" s="69" t="n">
        <v>4.6</v>
      </c>
      <c r="K9" s="69" t="inlineStr">
        <is>
          <t>https://amazon.com/dp/B09N9RMVFP</t>
        </is>
      </c>
      <c r="L9" s="114">
        <f>HYPERLINK(Table54333586[[#This Row],[Column1]])</f>
        <v/>
      </c>
    </row>
    <row r="10" ht="45" customHeight="1" s="314">
      <c r="A10" s="35" t="inlineStr">
        <is>
          <t>Z Automotive Tazer JL JT Lite Programmer | Fits 2020-2026 Jeep Wrangler JL and 2018-2026 Gladiator JT | Change Tire Size, Gear Ratio, TPMS and More!</t>
        </is>
      </c>
      <c r="B10" s="35" t="inlineStr">
        <is>
          <t>B07YYLRQP3</t>
        </is>
      </c>
      <c r="C10" s="35" t="inlineStr">
        <is>
          <t>Other</t>
        </is>
      </c>
      <c r="D10" s="359" t="n">
        <v>219.2720979020979</v>
      </c>
      <c r="E10" s="66" t="n">
        <v>356949.92</v>
      </c>
      <c r="F10" s="67" t="n">
        <v>31355.91</v>
      </c>
      <c r="G10" s="68" t="n">
        <v>1658</v>
      </c>
      <c r="H10" s="68" t="n">
        <v>143</v>
      </c>
      <c r="I10" s="68" t="n">
        <v>452</v>
      </c>
      <c r="J10" s="69" t="n">
        <v>4.4</v>
      </c>
      <c r="K10" s="69" t="inlineStr">
        <is>
          <t>https://amazon.com/dp/B07YYLRQP3</t>
        </is>
      </c>
      <c r="L10" s="114">
        <f>HYPERLINK(Table54333586[[#This Row],[Column1]])</f>
        <v/>
      </c>
    </row>
    <row r="11" ht="45" customHeight="1" s="314">
      <c r="A11" s="35" t="inlineStr">
        <is>
          <t>Z Automotive Tazer Programmer fits 2018-2024 Ram 1500 DT &amp; 2021-2024 Ram TRX | Customize Over 65 Vehicle Settings | Advanced Lighting Options</t>
        </is>
      </c>
      <c r="B11" s="35" t="inlineStr">
        <is>
          <t>B097NFJY7C</t>
        </is>
      </c>
      <c r="C11" s="35" t="inlineStr">
        <is>
          <t>Other</t>
        </is>
      </c>
      <c r="D11" s="359" t="n">
        <v>329.2931707317073</v>
      </c>
      <c r="E11" s="66" t="n">
        <v>308339.71</v>
      </c>
      <c r="F11" s="67" t="n">
        <v>27002.04</v>
      </c>
      <c r="G11" s="68" t="n">
        <v>958</v>
      </c>
      <c r="H11" s="68" t="n">
        <v>82</v>
      </c>
      <c r="I11" s="68" t="n">
        <v>112</v>
      </c>
      <c r="J11" s="69" t="n">
        <v>4.4</v>
      </c>
      <c r="K11" s="69" t="inlineStr">
        <is>
          <t>https://amazon.com/dp/B097NFJY7C</t>
        </is>
      </c>
      <c r="L11" s="114">
        <f>HYPERLINK(Table54333586[[#This Row],[Column1]])</f>
        <v/>
      </c>
    </row>
    <row r="12" ht="45" customHeight="1" s="314">
      <c r="A12" s="35" t="inlineStr">
        <is>
          <t>Z Automotive Tazer JL Mini and SGW Extension Cable Kit fits 2018-2026 Wrangler JL, Gladiator JT, and 4xe | Improves Customization and Control | Easy Installation</t>
        </is>
      </c>
      <c r="B12" s="35" t="inlineStr">
        <is>
          <t>B0G98MF9NS</t>
        </is>
      </c>
      <c r="C12" s="35" t="inlineStr">
        <is>
          <t>Other</t>
        </is>
      </c>
      <c r="D12" s="359" t="n">
        <v>360.5081818181818</v>
      </c>
      <c r="E12" s="66" t="n">
        <v>93660.36307692308</v>
      </c>
      <c r="F12" s="67" t="n">
        <v>7931.18</v>
      </c>
      <c r="G12" s="68" t="n">
        <v>80</v>
      </c>
      <c r="H12" s="68" t="n">
        <v>22</v>
      </c>
      <c r="I12" s="68" t="n">
        <v>2</v>
      </c>
      <c r="J12" s="69" t="n">
        <v>5</v>
      </c>
      <c r="K12" s="69" t="inlineStr">
        <is>
          <t>https://amazon.com/dp/B0G98MF9NS</t>
        </is>
      </c>
      <c r="L12" s="114">
        <f>HYPERLINK(Table54333586[[#This Row],[Column1]])</f>
        <v/>
      </c>
    </row>
    <row r="13" ht="45" customHeight="1" s="314">
      <c r="A13" s="35" t="inlineStr">
        <is>
          <t>Z Automotive Double Bypass fits 2018-2023 Dodge Charger, Challenger &amp; Chrysler 300 | OBD2 Plug-In Device | Trunk Mount Security Gateway Bypass | Easy Installation</t>
        </is>
      </c>
      <c r="B13" s="35" t="inlineStr">
        <is>
          <t>B097NF3D6Q</t>
        </is>
      </c>
      <c r="C13" s="35" t="inlineStr">
        <is>
          <t>Cable/Adapter</t>
        </is>
      </c>
      <c r="D13" s="359" t="n">
        <v>55.01028301886792</v>
      </c>
      <c r="E13" s="66" t="n">
        <v>68358.51000000001</v>
      </c>
      <c r="F13" s="67" t="n">
        <v>5831.09</v>
      </c>
      <c r="G13" s="68" t="n">
        <v>1253</v>
      </c>
      <c r="H13" s="68" t="n">
        <v>106</v>
      </c>
      <c r="I13" s="68" t="n">
        <v>179</v>
      </c>
      <c r="J13" s="69" t="n">
        <v>4.7</v>
      </c>
      <c r="K13" s="69" t="inlineStr">
        <is>
          <t>https://amazon.com/dp/B097NF3D6Q</t>
        </is>
      </c>
      <c r="L13" s="114">
        <f>HYPERLINK(Table54333586[[#This Row],[Column1]])</f>
        <v/>
      </c>
    </row>
    <row r="14" ht="45" customHeight="1" s="314">
      <c r="A14" s="35" t="inlineStr">
        <is>
          <t>Z Automotive JK Blaster fits 2007-2017 Wrangler JK | Device &amp; Mobile App | OBD2 Plug-in Device | Calibrations, Live Features, View and Clear Diagnostic Trouble Codes</t>
        </is>
      </c>
      <c r="B14" s="35" t="inlineStr">
        <is>
          <t>B09FGDJTR2</t>
        </is>
      </c>
      <c r="C14" s="35" t="inlineStr">
        <is>
          <t>Dongle</t>
        </is>
      </c>
      <c r="D14" s="359" t="n">
        <v>188.9242857142857</v>
      </c>
      <c r="E14" s="66" t="n">
        <v>61291.59</v>
      </c>
      <c r="F14" s="67" t="n">
        <v>3967.41</v>
      </c>
      <c r="G14" s="68" t="n">
        <v>327</v>
      </c>
      <c r="H14" s="68" t="n">
        <v>21</v>
      </c>
      <c r="I14" s="68" t="n">
        <v>68</v>
      </c>
      <c r="J14" s="69" t="n">
        <v>3.6</v>
      </c>
      <c r="K14" s="69" t="inlineStr">
        <is>
          <t>https://amazon.com/dp/B09FGDJTR2</t>
        </is>
      </c>
      <c r="L14" s="114">
        <f>HYPERLINK(Table54333586[[#This Row],[Column1]])</f>
        <v/>
      </c>
    </row>
    <row r="15" ht="45" customHeight="1" s="314">
      <c r="A15" s="35" t="inlineStr">
        <is>
          <t>Z Automotive Security Gateway Bypass Module fits 2018-2023 Durango and 2018-2022 Grand Cherokee | OBD2 Plug-in Device | Access Your Vehicles Computer System</t>
        </is>
      </c>
      <c r="B15" s="35" t="inlineStr">
        <is>
          <t>B0B7W42YR1</t>
        </is>
      </c>
      <c r="C15" s="35" t="inlineStr">
        <is>
          <t>Other</t>
        </is>
      </c>
      <c r="D15" s="359" t="n">
        <v>69.19767441860465</v>
      </c>
      <c r="E15" s="66" t="n">
        <v>30997.29</v>
      </c>
      <c r="F15" s="67" t="n">
        <v>2975.5</v>
      </c>
      <c r="G15" s="68" t="n">
        <v>452</v>
      </c>
      <c r="H15" s="68" t="n">
        <v>43</v>
      </c>
      <c r="I15" s="68" t="n">
        <v>69</v>
      </c>
      <c r="J15" s="69" t="n">
        <v>4.5</v>
      </c>
      <c r="K15" s="69" t="inlineStr">
        <is>
          <t>https://amazon.com/dp/B0B7W42YR1</t>
        </is>
      </c>
      <c r="L15" s="114">
        <f>HYPERLINK(Table54333586[[#This Row],[Column1]])</f>
        <v/>
      </c>
    </row>
    <row r="16" ht="45" customHeight="1" s="314">
      <c r="A16" s="35" t="inlineStr">
        <is>
          <t>Z Automotive Tazer RAM fits 2013-2021 Ram 1500 Classic 2500 3500 | OBD2 Plug-in Device | Vehicle Settings, Live Functions and “Non-Menu” Live Functions | Activates Light Show</t>
        </is>
      </c>
      <c r="B16" s="35" t="inlineStr">
        <is>
          <t>B097NDT52H</t>
        </is>
      </c>
      <c r="C16" s="35" t="inlineStr">
        <is>
          <t>Dongle</t>
        </is>
      </c>
      <c r="D16" s="359" t="n">
        <v>245.1018181818182</v>
      </c>
      <c r="E16" s="66" t="n">
        <v>27974.02</v>
      </c>
      <c r="F16" s="67" t="n">
        <v>2696.12</v>
      </c>
      <c r="G16" s="68" t="n">
        <v>115</v>
      </c>
      <c r="H16" s="68" t="n">
        <v>11</v>
      </c>
      <c r="I16" s="68" t="n">
        <v>29</v>
      </c>
      <c r="J16" s="69" t="n">
        <v>3.8</v>
      </c>
      <c r="K16" s="69" t="inlineStr">
        <is>
          <t>https://amazon.com/dp/B097NDT52H</t>
        </is>
      </c>
      <c r="L16" s="114">
        <f>HYPERLINK(Table54333586[[#This Row],[Column1]])</f>
        <v/>
      </c>
    </row>
    <row r="17" ht="45" customHeight="1" s="314">
      <c r="A17" s="35" t="inlineStr">
        <is>
          <t>Z Automotive Tazer DT and SGW Extension Cable Kit fits 2019-2024 RAM 1500 DT &amp; 2021-2024 RAM 1500 TRX | Improves Customization and Control | Easy Installation</t>
        </is>
      </c>
      <c r="B17" s="35" t="inlineStr">
        <is>
          <t>B0G9B97Q32</t>
        </is>
      </c>
      <c r="C17" s="35" t="inlineStr">
        <is>
          <t>Other</t>
        </is>
      </c>
      <c r="D17" s="359" t="n">
        <v>344.09</v>
      </c>
      <c r="E17" s="66" t="n">
        <v>24933.29076923077</v>
      </c>
      <c r="F17" s="67" t="n">
        <v>2064.54</v>
      </c>
      <c r="G17" s="68" t="n">
        <v>6</v>
      </c>
      <c r="H17" s="68" t="n">
        <v>6</v>
      </c>
      <c r="I17" s="68" t="n"/>
      <c r="J17" s="69" t="n"/>
      <c r="K17" s="69" t="inlineStr">
        <is>
          <t>https://amazon.com/dp/B0G9B97Q32</t>
        </is>
      </c>
      <c r="L17" s="114">
        <f>HYPERLINK(Table54333586[[#This Row],[Column1]])</f>
        <v/>
      </c>
    </row>
    <row r="18" ht="45" customHeight="1" s="314">
      <c r="A18" s="35" t="inlineStr">
        <is>
          <t>Z Automotive DASM Whisperer fits 2025-2026 Wrangler JL, Wrangler 4xe &amp; Gladiator JT | Quick Fix | Custom Fit | Improves Handling and Performance | OEM Quality | Easy Installation</t>
        </is>
      </c>
      <c r="B18" s="35" t="inlineStr">
        <is>
          <t>B0G97CHRZG</t>
        </is>
      </c>
      <c r="C18" s="35" t="inlineStr">
        <is>
          <t>Dongle</t>
        </is>
      </c>
      <c r="D18" s="359" t="n">
        <v>279.65</v>
      </c>
      <c r="E18" s="66" t="n">
        <v>12448.94461538461</v>
      </c>
      <c r="F18" s="67" t="n">
        <v>1118.6</v>
      </c>
      <c r="G18" s="68" t="n">
        <v>11</v>
      </c>
      <c r="H18" s="68" t="n">
        <v>4</v>
      </c>
      <c r="I18" s="68" t="n">
        <v>5</v>
      </c>
      <c r="J18" s="69" t="n">
        <v>5</v>
      </c>
      <c r="K18" s="69" t="inlineStr">
        <is>
          <t>https://amazon.com/dp/B0G97CHRZG</t>
        </is>
      </c>
      <c r="L18" s="114">
        <f>HYPERLINK(Table54333586[[#This Row],[Column1]])</f>
        <v/>
      </c>
    </row>
    <row r="19" ht="45" customHeight="1" s="314">
      <c r="A19" s="35" t="inlineStr">
        <is>
          <t>Z Automotive Tazer JL Lite and SGW Extension Cable Kit fits 2018-2026 Wrangler JL &amp; Gladiator JT &amp; 4xe | Improves Customization and Control | Easy Installation</t>
        </is>
      </c>
      <c r="B19" s="35" t="inlineStr">
        <is>
          <t>B0G98ZFLYL</t>
        </is>
      </c>
      <c r="C19" s="35" t="inlineStr">
        <is>
          <t>Other</t>
        </is>
      </c>
      <c r="D19" s="359" t="n">
        <v>247.975</v>
      </c>
      <c r="E19" s="66" t="n">
        <v>5865.050000000001</v>
      </c>
      <c r="F19" s="67" t="n">
        <v>495.95</v>
      </c>
      <c r="G19" s="68" t="n">
        <v>7</v>
      </c>
      <c r="H19" s="68" t="n">
        <v>2</v>
      </c>
      <c r="I19" s="68" t="n"/>
      <c r="J19" s="69" t="n"/>
      <c r="K19" s="69" t="inlineStr">
        <is>
          <t>https://amazon.com/dp/B0G98ZFLYL</t>
        </is>
      </c>
      <c r="L19" s="114">
        <f>HYPERLINK(Table54333586[[#This Row],[Column1]])</f>
        <v/>
      </c>
    </row>
    <row r="20" ht="17" customHeight="1" s="314">
      <c r="A20" s="35" t="inlineStr">
        <is>
          <t>Z Automotive 160mm OEM Locker Extension Kit fits Wrangler JL Rubicon and Gladiator JT Mojave Factory OEM Locker Harnesses | Easy Installation | Built to Last</t>
        </is>
      </c>
      <c r="B20" s="35" t="inlineStr">
        <is>
          <t>B0G9B45BPB</t>
        </is>
      </c>
      <c r="C20" s="35" t="inlineStr">
        <is>
          <t>Other</t>
        </is>
      </c>
      <c r="D20" s="359" t="n">
        <v>36.746</v>
      </c>
      <c r="E20" s="66" t="n">
        <v>2202.412307692307</v>
      </c>
      <c r="F20" s="67" t="n">
        <v>183.73</v>
      </c>
      <c r="G20" s="68" t="n">
        <v>19</v>
      </c>
      <c r="H20" s="68" t="n">
        <v>5</v>
      </c>
      <c r="I20" s="68" t="n">
        <v>1</v>
      </c>
      <c r="J20" s="69" t="n">
        <v>4</v>
      </c>
      <c r="K20" s="69" t="inlineStr">
        <is>
          <t>https://amazon.com/dp/B0G9B45BPB</t>
        </is>
      </c>
      <c r="L20" s="114">
        <f>HYPERLINK(Table54333586[[#This Row],[Column1]])</f>
        <v/>
      </c>
    </row>
    <row r="21" ht="45" customHeight="1" s="314">
      <c r="A21" s="35" t="inlineStr">
        <is>
          <t>Z Automotive Aux USB Power Kit fits Cigarette Adapter Ports | Easy Installation | Reliable Power Source | Plug-and-Play | Clean Look | Multi-Purpose Charger</t>
        </is>
      </c>
      <c r="B21" s="35" t="inlineStr">
        <is>
          <t>B0G9BFKVKG</t>
        </is>
      </c>
      <c r="C21" s="35" t="inlineStr">
        <is>
          <t>Other</t>
        </is>
      </c>
      <c r="D21" s="359" t="n">
        <v>38.75333333333334</v>
      </c>
      <c r="E21" s="66" t="n">
        <v>1280.132307692308</v>
      </c>
      <c r="F21" s="67" t="n">
        <v>116.26</v>
      </c>
      <c r="G21" s="68" t="n">
        <v>8</v>
      </c>
      <c r="H21" s="68" t="n">
        <v>3</v>
      </c>
      <c r="I21" s="68" t="n"/>
      <c r="J21" s="69" t="n"/>
      <c r="K21" s="69" t="inlineStr">
        <is>
          <t>https://amazon.com/dp/B0G9BFKVKG</t>
        </is>
      </c>
      <c r="L21" s="114">
        <f>HYPERLINK(Table54333586[[#This Row],[Column1]])</f>
        <v/>
      </c>
    </row>
    <row r="22" ht="45" customHeight="1" s="314">
      <c r="A22" s="35" t="inlineStr">
        <is>
          <t>Z Automotive Tazer JL Mini</t>
        </is>
      </c>
      <c r="B22" s="35" t="inlineStr">
        <is>
          <t>B09NS4TZ9L</t>
        </is>
      </c>
      <c r="C22" s="35" t="inlineStr">
        <is>
          <t>Dongle</t>
        </is>
      </c>
      <c r="D22" s="359" t="n">
        <v>329</v>
      </c>
      <c r="E22" s="66" t="n">
        <v>4010.74</v>
      </c>
      <c r="F22" s="67" t="n">
        <v>0</v>
      </c>
      <c r="G22" s="68" t="n">
        <v>12</v>
      </c>
      <c r="H22" s="68" t="n">
        <v>0</v>
      </c>
      <c r="I22" s="68" t="n">
        <v>1</v>
      </c>
      <c r="J22" s="69" t="n">
        <v>4</v>
      </c>
      <c r="K22" s="69" t="inlineStr">
        <is>
          <t>https://amazon.com/dp/B09NS4TZ9L</t>
        </is>
      </c>
      <c r="L22" s="114">
        <f>HYPERLINK(Table54333586[[#This Row],[Column1]])</f>
        <v/>
      </c>
    </row>
    <row r="23" ht="17" customHeight="1" s="314">
      <c r="A23" s="35" t="inlineStr">
        <is>
          <t>Z Automotive Tazer and NoLimitz Kit fits 2015-2023 Challenger &amp; Chrysler 300 &amp; 2011-2023 Charger &amp; 2014-2023 Durango &amp; 2014-2021 Grand Cherokee (WKII) | Max Security and Performance | Easy to Install</t>
        </is>
      </c>
      <c r="B23" s="35" t="inlineStr">
        <is>
          <t>B0G98M85QG</t>
        </is>
      </c>
      <c r="C23" s="35" t="inlineStr">
        <is>
          <t>Key</t>
        </is>
      </c>
      <c r="D23" s="359" t="n">
        <v>711.62</v>
      </c>
      <c r="E23" s="66" t="n">
        <v>3629.27</v>
      </c>
      <c r="F23" s="67" t="n">
        <v>0</v>
      </c>
      <c r="G23" s="68" t="n">
        <v>7</v>
      </c>
      <c r="H23" s="68" t="n">
        <v>0</v>
      </c>
      <c r="I23" s="68" t="n"/>
      <c r="J23" s="69" t="n"/>
      <c r="K23" s="69" t="inlineStr">
        <is>
          <t>https://amazon.com/dp/B0G98M85QG</t>
        </is>
      </c>
      <c r="L23" s="114">
        <f>HYPERLINK(TABLE23)</f>
        <v/>
      </c>
    </row>
    <row r="24" ht="16" customHeight="1" s="314">
      <c r="A24" s="41" t="inlineStr">
        <is>
          <t>Total</t>
        </is>
      </c>
      <c r="B24" s="41" t="n"/>
      <c r="C24" s="365" t="n"/>
      <c r="D24" s="365" t="n"/>
      <c r="E24" s="122">
        <f>SUM(E9:E23)</f>
        <v/>
      </c>
      <c r="F24" s="122">
        <f>SUM(F9:F23)</f>
        <v/>
      </c>
      <c r="G24" s="123" t="n"/>
      <c r="H24" s="123" t="n"/>
      <c r="I24" s="123" t="n"/>
      <c r="J24" s="128" t="n"/>
      <c r="K24" s="41" t="n"/>
      <c r="L24" s="40" t="n"/>
    </row>
    <row r="25">
      <c r="A25" s="35" t="n"/>
      <c r="B25" s="35" t="n"/>
      <c r="C25" s="359" t="n"/>
      <c r="D25" s="66" t="n"/>
      <c r="E25" s="66" t="n"/>
      <c r="F25" s="68" t="n"/>
      <c r="G25" s="68" t="n"/>
      <c r="H25" s="68" t="n"/>
      <c r="I25" s="69" t="n"/>
      <c r="J25" s="35" t="n"/>
    </row>
    <row r="26" ht="16" customHeight="1" s="314">
      <c r="A26" s="35" t="n"/>
    </row>
    <row r="27" ht="17" customHeight="1" s="314">
      <c r="A27" s="307" t="inlineStr">
        <is>
          <t>Rank by Units</t>
        </is>
      </c>
    </row>
    <row r="28" ht="45" customHeight="1" s="314">
      <c r="A28" s="46" t="inlineStr">
        <is>
          <t>Product Name</t>
        </is>
      </c>
      <c r="B28" s="47" t="inlineStr">
        <is>
          <t>ASIN</t>
        </is>
      </c>
      <c r="C28" s="47" t="inlineStr">
        <is>
          <t>Type</t>
        </is>
      </c>
      <c r="D28" s="345" t="inlineStr">
        <is>
          <t>Avg Price</t>
        </is>
      </c>
      <c r="E28" s="49" t="inlineStr">
        <is>
          <t>Estimated 12mo Revenue</t>
        </is>
      </c>
      <c r="F28" s="47" t="inlineStr">
        <is>
          <t>Monthly Rev</t>
        </is>
      </c>
      <c r="G28" s="51" t="inlineStr">
        <is>
          <t>Estimated 12mo Units</t>
        </is>
      </c>
      <c r="H28" s="54" t="inlineStr">
        <is>
          <t>Monthly Units</t>
        </is>
      </c>
      <c r="I28" s="51" t="inlineStr">
        <is>
          <t># of Reviews</t>
        </is>
      </c>
      <c r="J28" s="52" t="inlineStr">
        <is>
          <t xml:space="preserve">Tool Rating </t>
        </is>
      </c>
      <c r="K28" s="52" t="inlineStr">
        <is>
          <t>Column1</t>
        </is>
      </c>
      <c r="L28" s="346" t="inlineStr">
        <is>
          <t>Link</t>
        </is>
      </c>
    </row>
    <row r="29" ht="45" customHeight="1" s="314">
      <c r="A29" s="35" t="inlineStr">
        <is>
          <t>Z Automotive Tazer Mini Programmer | Fits 2018-2026 Jeep Wrangler JL and Gladiator JT | Customize Over 70 Settings | Activates Anti-Theft Pin Lock, Rock Crawl, Winch Mode and More!</t>
        </is>
      </c>
      <c r="B29" s="35" t="inlineStr">
        <is>
          <t>B09N9RMVFP</t>
        </is>
      </c>
      <c r="C29" s="35" t="inlineStr">
        <is>
          <t>Dongle</t>
        </is>
      </c>
      <c r="D29" s="359" t="n">
        <v>328.8725357873211</v>
      </c>
      <c r="E29" s="66" t="n">
        <v>2225753.26</v>
      </c>
      <c r="F29" s="66" t="n">
        <v>160818.67</v>
      </c>
      <c r="G29" s="68" t="n">
        <v>6930</v>
      </c>
      <c r="H29" s="70" t="n">
        <v>489</v>
      </c>
      <c r="I29" s="68" t="n">
        <v>985</v>
      </c>
      <c r="J29" s="69" t="n">
        <v>4.6</v>
      </c>
      <c r="K29" s="69" t="inlineStr">
        <is>
          <t>https://amazon.com/dp/B09N9RMVFP</t>
        </is>
      </c>
      <c r="L29" s="114">
        <f>HYPERLINK(Table533485[[#This Row],[Column1]])</f>
        <v/>
      </c>
    </row>
    <row r="30" ht="45" customHeight="1" s="314">
      <c r="A30" s="35" t="inlineStr">
        <is>
          <t>Z Automotive Tazer JL JT Lite Programmer | Fits 2020-2026 Jeep Wrangler JL and 2018-2026 Gladiator JT | Change Tire Size, Gear Ratio, TPMS and More!</t>
        </is>
      </c>
      <c r="B30" s="35" t="inlineStr">
        <is>
          <t>B07YYLRQP3</t>
        </is>
      </c>
      <c r="C30" s="35" t="inlineStr">
        <is>
          <t>Other</t>
        </is>
      </c>
      <c r="D30" s="359" t="n">
        <v>219.2720979020979</v>
      </c>
      <c r="E30" s="66" t="n">
        <v>356949.92</v>
      </c>
      <c r="F30" s="66" t="n">
        <v>31355.91</v>
      </c>
      <c r="G30" s="68" t="n">
        <v>1658</v>
      </c>
      <c r="H30" s="70" t="n">
        <v>143</v>
      </c>
      <c r="I30" s="68" t="n">
        <v>452</v>
      </c>
      <c r="J30" s="69" t="n">
        <v>4.4</v>
      </c>
      <c r="K30" s="69" t="inlineStr">
        <is>
          <t>https://amazon.com/dp/B07YYLRQP3</t>
        </is>
      </c>
      <c r="L30" s="114">
        <f>HYPERLINK(Table533485[[#This Row],[Column1]])</f>
        <v/>
      </c>
    </row>
    <row r="31" ht="45" customHeight="1" s="314">
      <c r="A31" s="35" t="inlineStr">
        <is>
          <t>Z Automotive Double Bypass fits 2018-2023 Dodge Charger, Challenger &amp; Chrysler 300 | OBD2 Plug-In Device | Trunk Mount Security Gateway Bypass | Easy Installation</t>
        </is>
      </c>
      <c r="B31" s="35" t="inlineStr">
        <is>
          <t>B097NF3D6Q</t>
        </is>
      </c>
      <c r="C31" s="35" t="inlineStr">
        <is>
          <t>Cable/Adapter</t>
        </is>
      </c>
      <c r="D31" s="359" t="n">
        <v>55.01028301886792</v>
      </c>
      <c r="E31" s="66" t="n">
        <v>68358.51000000001</v>
      </c>
      <c r="F31" s="66" t="n">
        <v>5831.09</v>
      </c>
      <c r="G31" s="68" t="n">
        <v>1253</v>
      </c>
      <c r="H31" s="70" t="n">
        <v>106</v>
      </c>
      <c r="I31" s="68" t="n">
        <v>179</v>
      </c>
      <c r="J31" s="69" t="n">
        <v>4.7</v>
      </c>
      <c r="K31" s="69" t="inlineStr">
        <is>
          <t>https://amazon.com/dp/B097NF3D6Q</t>
        </is>
      </c>
      <c r="L31" s="114">
        <f>HYPERLINK(Table533485[[#This Row],[Column1]])</f>
        <v/>
      </c>
    </row>
    <row r="32" ht="45" customHeight="1" s="314">
      <c r="A32" s="35" t="inlineStr">
        <is>
          <t>Z Automotive Tazer Programmer fits 2018-2024 Ram 1500 DT &amp; 2021-2024 Ram TRX | Customize Over 65 Vehicle Settings | Advanced Lighting Options</t>
        </is>
      </c>
      <c r="B32" s="35" t="inlineStr">
        <is>
          <t>B097NFJY7C</t>
        </is>
      </c>
      <c r="C32" s="35" t="inlineStr">
        <is>
          <t>Other</t>
        </is>
      </c>
      <c r="D32" s="359" t="n">
        <v>329.2931707317073</v>
      </c>
      <c r="E32" s="66" t="n">
        <v>308339.71</v>
      </c>
      <c r="F32" s="66" t="n">
        <v>27002.04</v>
      </c>
      <c r="G32" s="68" t="n">
        <v>958</v>
      </c>
      <c r="H32" s="70" t="n">
        <v>82</v>
      </c>
      <c r="I32" s="68" t="n">
        <v>112</v>
      </c>
      <c r="J32" s="69" t="n">
        <v>4.4</v>
      </c>
      <c r="K32" s="69" t="inlineStr">
        <is>
          <t>https://amazon.com/dp/B097NFJY7C</t>
        </is>
      </c>
      <c r="L32" s="114">
        <f>HYPERLINK(Table533485[[#This Row],[Column1]])</f>
        <v/>
      </c>
    </row>
    <row r="33" ht="45" customHeight="1" s="314">
      <c r="A33" s="35" t="inlineStr">
        <is>
          <t>Z Automotive Security Gateway Bypass Module fits 2018-2023 Durango and 2018-2022 Grand Cherokee | OBD2 Plug-in Device | Access Your Vehicles Computer System</t>
        </is>
      </c>
      <c r="B33" s="35" t="inlineStr">
        <is>
          <t>B0B7W42YR1</t>
        </is>
      </c>
      <c r="C33" s="35" t="inlineStr">
        <is>
          <t>Other</t>
        </is>
      </c>
      <c r="D33" s="359" t="n">
        <v>69.19767441860465</v>
      </c>
      <c r="E33" s="66" t="n">
        <v>30997.29</v>
      </c>
      <c r="F33" s="66" t="n">
        <v>2975.5</v>
      </c>
      <c r="G33" s="68" t="n">
        <v>452</v>
      </c>
      <c r="H33" s="70" t="n">
        <v>43</v>
      </c>
      <c r="I33" s="68" t="n">
        <v>69</v>
      </c>
      <c r="J33" s="69" t="n">
        <v>4.5</v>
      </c>
      <c r="K33" s="69" t="inlineStr">
        <is>
          <t>https://amazon.com/dp/B0B7W42YR1</t>
        </is>
      </c>
      <c r="L33" s="114">
        <f>HYPERLINK(Table533485[[#This Row],[Column1]])</f>
        <v/>
      </c>
    </row>
    <row r="34" ht="45" customHeight="1" s="314">
      <c r="A34" s="35" t="inlineStr">
        <is>
          <t>Z Automotive Tazer JL Mini and SGW Extension Cable Kit fits 2018-2026 Wrangler JL, Gladiator JT, and 4xe | Improves Customization and Control | Easy Installation</t>
        </is>
      </c>
      <c r="B34" s="35" t="inlineStr">
        <is>
          <t>B0G98MF9NS</t>
        </is>
      </c>
      <c r="C34" s="35" t="inlineStr">
        <is>
          <t>Other</t>
        </is>
      </c>
      <c r="D34" s="359" t="n">
        <v>360.5081818181818</v>
      </c>
      <c r="E34" s="66" t="n">
        <v>93660.36307692308</v>
      </c>
      <c r="F34" s="66" t="n">
        <v>7931.18</v>
      </c>
      <c r="G34" s="68" t="n">
        <v>80</v>
      </c>
      <c r="H34" s="70" t="n">
        <v>22</v>
      </c>
      <c r="I34" s="68" t="n">
        <v>2</v>
      </c>
      <c r="J34" s="69" t="n">
        <v>5</v>
      </c>
      <c r="K34" s="69" t="inlineStr">
        <is>
          <t>https://amazon.com/dp/B0G98MF9NS</t>
        </is>
      </c>
      <c r="L34" s="114">
        <f>HYPERLINK(Table533485[[#This Row],[Column1]])</f>
        <v/>
      </c>
    </row>
    <row r="35" ht="45" customHeight="1" s="314">
      <c r="A35" s="35" t="inlineStr">
        <is>
          <t>Z Automotive JK Blaster fits 2007-2017 Wrangler JK | Device &amp; Mobile App | OBD2 Plug-in Device | Calibrations, Live Features, View and Clear Diagnostic Trouble Codes</t>
        </is>
      </c>
      <c r="B35" s="35" t="inlineStr">
        <is>
          <t>B09FGDJTR2</t>
        </is>
      </c>
      <c r="C35" s="35" t="inlineStr">
        <is>
          <t>Dongle</t>
        </is>
      </c>
      <c r="D35" s="359" t="n">
        <v>188.9242857142857</v>
      </c>
      <c r="E35" s="66" t="n">
        <v>61291.59</v>
      </c>
      <c r="F35" s="66" t="n">
        <v>3967.41</v>
      </c>
      <c r="G35" s="68" t="n">
        <v>327</v>
      </c>
      <c r="H35" s="70" t="n">
        <v>21</v>
      </c>
      <c r="I35" s="68" t="n">
        <v>68</v>
      </c>
      <c r="J35" s="69" t="n">
        <v>3.6</v>
      </c>
      <c r="K35" s="69" t="inlineStr">
        <is>
          <t>https://amazon.com/dp/B09FGDJTR2</t>
        </is>
      </c>
      <c r="L35" s="114">
        <f>HYPERLINK(Table533485[[#This Row],[Column1]])</f>
        <v/>
      </c>
    </row>
    <row r="36" ht="45" customHeight="1" s="314">
      <c r="A36" s="35" t="inlineStr">
        <is>
          <t>Z Automotive Tazer RAM fits 2013-2021 Ram 1500 Classic 2500 3500 | OBD2 Plug-in Device | Vehicle Settings, Live Functions and “Non-Menu” Live Functions | Activates Light Show</t>
        </is>
      </c>
      <c r="B36" s="35" t="inlineStr">
        <is>
          <t>B097NDT52H</t>
        </is>
      </c>
      <c r="C36" s="35" t="inlineStr">
        <is>
          <t>Dongle</t>
        </is>
      </c>
      <c r="D36" s="359" t="n">
        <v>245.1018181818182</v>
      </c>
      <c r="E36" s="66" t="n">
        <v>27974.02</v>
      </c>
      <c r="F36" s="66" t="n">
        <v>2696.12</v>
      </c>
      <c r="G36" s="68" t="n">
        <v>115</v>
      </c>
      <c r="H36" s="70" t="n">
        <v>11</v>
      </c>
      <c r="I36" s="68" t="n">
        <v>29</v>
      </c>
      <c r="J36" s="69" t="n">
        <v>3.8</v>
      </c>
      <c r="K36" s="69" t="inlineStr">
        <is>
          <t>https://amazon.com/dp/B097NDT52H</t>
        </is>
      </c>
      <c r="L36" s="114">
        <f>HYPERLINK(Table533485[[#This Row],[Column1]])</f>
        <v/>
      </c>
    </row>
    <row r="37" ht="45" customHeight="1" s="314">
      <c r="A37" s="35" t="inlineStr">
        <is>
          <t>Z Automotive Tazer DT and SGW Extension Cable Kit fits 2019-2024 RAM 1500 DT &amp; 2021-2024 RAM 1500 TRX | Improves Customization and Control | Easy Installation</t>
        </is>
      </c>
      <c r="B37" s="35" t="inlineStr">
        <is>
          <t>B0G9B97Q32</t>
        </is>
      </c>
      <c r="C37" s="35" t="inlineStr">
        <is>
          <t>Other</t>
        </is>
      </c>
      <c r="D37" s="359" t="n">
        <v>344.09</v>
      </c>
      <c r="E37" s="66" t="n">
        <v>24933.29076923077</v>
      </c>
      <c r="F37" s="66" t="n">
        <v>2064.54</v>
      </c>
      <c r="G37" s="68" t="n">
        <v>6</v>
      </c>
      <c r="H37" s="70" t="n">
        <v>6</v>
      </c>
      <c r="I37" s="68" t="n"/>
      <c r="J37" s="69" t="n"/>
      <c r="K37" s="69" t="inlineStr">
        <is>
          <t>https://amazon.com/dp/B0G9B97Q32</t>
        </is>
      </c>
      <c r="L37" s="114">
        <f>HYPERLINK(Table533485[[#This Row],[Column1]])</f>
        <v/>
      </c>
    </row>
    <row r="38" ht="45" customHeight="1" s="314">
      <c r="A38" s="35" t="inlineStr">
        <is>
          <t>Z Automotive 160mm OEM Locker Extension Kit fits Wrangler JL Rubicon and Gladiator JT Mojave Factory OEM Locker Harnesses | Easy Installation | Built to Last</t>
        </is>
      </c>
      <c r="B38" s="35" t="inlineStr">
        <is>
          <t>B0G9B45BPB</t>
        </is>
      </c>
      <c r="C38" s="35" t="inlineStr">
        <is>
          <t>Other</t>
        </is>
      </c>
      <c r="D38" s="359" t="n">
        <v>36.746</v>
      </c>
      <c r="E38" s="66" t="n">
        <v>2202.412307692307</v>
      </c>
      <c r="F38" s="66" t="n">
        <v>183.73</v>
      </c>
      <c r="G38" s="68" t="n">
        <v>19</v>
      </c>
      <c r="H38" s="70" t="n">
        <v>5</v>
      </c>
      <c r="I38" s="68" t="n">
        <v>1</v>
      </c>
      <c r="J38" s="69" t="n">
        <v>4</v>
      </c>
      <c r="K38" s="69" t="inlineStr">
        <is>
          <t>https://amazon.com/dp/B0G9B45BPB</t>
        </is>
      </c>
      <c r="L38" s="114">
        <f>HYPERLINK(Table533485[[#This Row],[Column1]])</f>
        <v/>
      </c>
    </row>
    <row r="39" ht="45" customHeight="1" s="314">
      <c r="A39" s="35" t="inlineStr">
        <is>
          <t>Z Automotive DASM Whisperer fits 2025-2026 Wrangler JL, Wrangler 4xe &amp; Gladiator JT | Quick Fix | Custom Fit | Improves Handling and Performance | OEM Quality | Easy Installation</t>
        </is>
      </c>
      <c r="B39" s="35" t="inlineStr">
        <is>
          <t>B0G97CHRZG</t>
        </is>
      </c>
      <c r="C39" s="35" t="inlineStr">
        <is>
          <t>Dongle</t>
        </is>
      </c>
      <c r="D39" s="359" t="n">
        <v>279.65</v>
      </c>
      <c r="E39" s="66" t="n">
        <v>12448.94461538461</v>
      </c>
      <c r="F39" s="66" t="n">
        <v>1118.6</v>
      </c>
      <c r="G39" s="68" t="n">
        <v>11</v>
      </c>
      <c r="H39" s="70" t="n">
        <v>4</v>
      </c>
      <c r="I39" s="68" t="n">
        <v>5</v>
      </c>
      <c r="J39" s="69" t="n">
        <v>5</v>
      </c>
      <c r="K39" s="69" t="inlineStr">
        <is>
          <t>https://amazon.com/dp/B0G97CHRZG</t>
        </is>
      </c>
      <c r="L39" s="114">
        <f>HYPERLINK(Table533485[[#This Row],[Column1]])</f>
        <v/>
      </c>
    </row>
    <row r="40" ht="17" customHeight="1" s="314">
      <c r="A40" s="35" t="inlineStr">
        <is>
          <t>Z Automotive Aux USB Power Kit fits Cigarette Adapter Ports | Easy Installation | Reliable Power Source | Plug-and-Play | Clean Look | Multi-Purpose Charger</t>
        </is>
      </c>
      <c r="B40" s="35" t="inlineStr">
        <is>
          <t>B0G9BFKVKG</t>
        </is>
      </c>
      <c r="C40" s="35" t="inlineStr">
        <is>
          <t>Other</t>
        </is>
      </c>
      <c r="D40" s="359" t="n">
        <v>38.75333333333334</v>
      </c>
      <c r="E40" s="66" t="n">
        <v>1280.132307692308</v>
      </c>
      <c r="F40" s="66" t="n">
        <v>116.26</v>
      </c>
      <c r="G40" s="68" t="n">
        <v>8</v>
      </c>
      <c r="H40" s="70" t="n">
        <v>3</v>
      </c>
      <c r="I40" s="68" t="n"/>
      <c r="J40" s="69" t="n"/>
      <c r="K40" s="69" t="inlineStr">
        <is>
          <t>https://amazon.com/dp/B0G9BFKVKG</t>
        </is>
      </c>
      <c r="L40" s="114">
        <f>HYPERLINK(Table533485[[#This Row],[Column1]])</f>
        <v/>
      </c>
    </row>
    <row r="41" ht="45" customHeight="1" s="314">
      <c r="A41" s="35" t="inlineStr">
        <is>
          <t>Z Automotive Tazer JL Lite and SGW Extension Cable Kit fits 2018-2026 Wrangler JL &amp; Gladiator JT &amp; 4xe | Improves Customization and Control | Easy Installation</t>
        </is>
      </c>
      <c r="B41" s="35" t="inlineStr">
        <is>
          <t>B0G98ZFLYL</t>
        </is>
      </c>
      <c r="C41" s="35" t="inlineStr">
        <is>
          <t>Other</t>
        </is>
      </c>
      <c r="D41" s="359" t="n">
        <v>247.975</v>
      </c>
      <c r="E41" s="66" t="n">
        <v>5865.050000000001</v>
      </c>
      <c r="F41" s="66" t="n">
        <v>495.95</v>
      </c>
      <c r="G41" s="68" t="n">
        <v>7</v>
      </c>
      <c r="H41" s="70" t="n">
        <v>2</v>
      </c>
      <c r="I41" s="68" t="n"/>
      <c r="J41" s="69" t="n"/>
      <c r="K41" s="69" t="inlineStr">
        <is>
          <t>https://amazon.com/dp/B0G98ZFLYL</t>
        </is>
      </c>
      <c r="L41" s="114">
        <f>HYPERLINK(Table533485[[#This Row],[Column1]])</f>
        <v/>
      </c>
    </row>
    <row r="42" ht="17" customFormat="1" customHeight="1" s="40">
      <c r="A42" s="35" t="inlineStr">
        <is>
          <t>Z Automotive Tazer JL Mini</t>
        </is>
      </c>
      <c r="B42" s="35" t="inlineStr">
        <is>
          <t>B09NS4TZ9L</t>
        </is>
      </c>
      <c r="C42" s="35" t="inlineStr">
        <is>
          <t>Dongle</t>
        </is>
      </c>
      <c r="D42" s="359" t="n">
        <v>329</v>
      </c>
      <c r="E42" s="66" t="n">
        <v>4010.74</v>
      </c>
      <c r="F42" s="66" t="n">
        <v>0</v>
      </c>
      <c r="G42" s="68" t="n">
        <v>12</v>
      </c>
      <c r="H42" s="70" t="n">
        <v>0</v>
      </c>
      <c r="I42" s="68" t="n">
        <v>1</v>
      </c>
      <c r="J42" s="69" t="n">
        <v>4</v>
      </c>
      <c r="K42" s="69" t="inlineStr">
        <is>
          <t>https://amazon.com/dp/B09NS4TZ9L</t>
        </is>
      </c>
      <c r="L42" s="114">
        <f>HYPERLINK(Table533485[[#This Row],[Column1]])</f>
        <v/>
      </c>
    </row>
    <row r="43">
      <c r="A43" s="35" t="inlineStr">
        <is>
          <t>Z Automotive Tazer and NoLimitz Kit fits 2015-2023 Challenger &amp; Chrysler 300 &amp; 2011-2023 Charger &amp; 2014-2023 Durango &amp; 2014-2021 Grand Cherokee (WKII) | Max Security and Performance | Easy to Install</t>
        </is>
      </c>
      <c r="B43" s="35" t="inlineStr">
        <is>
          <t>B0G98M85QG</t>
        </is>
      </c>
      <c r="C43" s="35" t="inlineStr">
        <is>
          <t>Key</t>
        </is>
      </c>
      <c r="D43" s="359" t="n">
        <v>711.62</v>
      </c>
      <c r="E43" s="66" t="n">
        <v>3629.27</v>
      </c>
      <c r="F43" s="66" t="n">
        <v>0</v>
      </c>
      <c r="G43" s="68" t="n">
        <v>7</v>
      </c>
      <c r="H43" s="70" t="n">
        <v>0</v>
      </c>
      <c r="I43" s="68" t="n"/>
      <c r="J43" s="69" t="n"/>
      <c r="K43" s="69" t="inlineStr">
        <is>
          <t>https://amazon.com/dp/B0G98M85QG</t>
        </is>
      </c>
      <c r="L43" s="114">
        <f>HYPERLINK(TABLE43)</f>
        <v/>
      </c>
    </row>
    <row r="44">
      <c r="A44" s="41" t="inlineStr">
        <is>
          <t>Total</t>
        </is>
      </c>
      <c r="B44" s="41" t="n"/>
      <c r="C44" s="365" t="n"/>
      <c r="D44" s="122" t="n"/>
      <c r="E44" s="122" t="n"/>
      <c r="F44" s="122" t="n"/>
      <c r="G44" s="123">
        <f>SUM(G29:G43)</f>
        <v/>
      </c>
      <c r="H44" s="123">
        <f>SUM(H29:H43)</f>
        <v/>
      </c>
      <c r="I44" s="123" t="n"/>
      <c r="J44" s="128" t="n"/>
      <c r="K44" s="41" t="n"/>
    </row>
  </sheetData>
  <mergeCells count="3">
    <mergeCell ref="A1:L5"/>
    <mergeCell ref="A26:L26"/>
    <mergeCell ref="A7:L7"/>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2026-05-04T18:39:13Z</dcterms:modified>
  <cp:lastModifiedBy>Ginny Chen</cp:lastModifiedBy>
  <cp:lastPrinted>2025-01-06T23:05:56Z</cp:lastPrinted>
</cp:coreProperties>
</file>